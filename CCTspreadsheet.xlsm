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05" yWindow="12975" windowWidth="23115" windowHeight="702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Today">'[1]Periph Roll'!$A$1</definedName>
  </definedNames>
  <calcPr calcId="145621"/>
</workbook>
</file>

<file path=xl/calcChain.xml><?xml version="1.0" encoding="utf-8"?>
<calcChain xmlns="http://schemas.openxmlformats.org/spreadsheetml/2006/main">
  <c r="G56" i="1" l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C54" i="1"/>
  <c r="C12" i="1"/>
  <c r="E13" i="1"/>
  <c r="E9" i="1"/>
  <c r="C14" i="1"/>
  <c r="B42" i="1"/>
  <c r="B6" i="1"/>
  <c r="C52" i="1"/>
  <c r="E55" i="1"/>
  <c r="C11" i="1"/>
  <c r="G10" i="1"/>
  <c r="G6" i="1"/>
  <c r="B53" i="1"/>
  <c r="D9" i="1"/>
  <c r="D6" i="1"/>
  <c r="B12" i="1"/>
  <c r="B51" i="1"/>
  <c r="C49" i="1"/>
  <c r="B55" i="1"/>
  <c r="E7" i="1"/>
  <c r="G13" i="1"/>
  <c r="E50" i="1"/>
  <c r="C38" i="1"/>
  <c r="C53" i="1"/>
  <c r="E44" i="1"/>
  <c r="C7" i="1"/>
  <c r="B41" i="1"/>
  <c r="E15" i="1"/>
  <c r="E8" i="1"/>
  <c r="E43" i="1"/>
  <c r="B46" i="1"/>
  <c r="D8" i="1"/>
  <c r="E54" i="1"/>
  <c r="C37" i="1"/>
  <c r="D15" i="1"/>
  <c r="D12" i="1"/>
  <c r="B37" i="1"/>
  <c r="C43" i="1"/>
  <c r="B7" i="1"/>
  <c r="C55" i="1"/>
  <c r="B8" i="1"/>
  <c r="C41" i="1"/>
  <c r="C44" i="1"/>
  <c r="C8" i="1"/>
  <c r="B47" i="1"/>
  <c r="B39" i="1"/>
  <c r="C40" i="1"/>
  <c r="E51" i="1"/>
  <c r="B14" i="1"/>
  <c r="E10" i="1"/>
  <c r="E12" i="1"/>
  <c r="B11" i="1"/>
  <c r="C9" i="1"/>
  <c r="B44" i="1"/>
  <c r="E36" i="1"/>
  <c r="B9" i="1"/>
  <c r="C47" i="1"/>
  <c r="E41" i="1"/>
  <c r="E38" i="1"/>
  <c r="E47" i="1"/>
  <c r="B36" i="1"/>
  <c r="C42" i="1"/>
  <c r="D5" i="1"/>
  <c r="C36" i="1"/>
  <c r="B15" i="1"/>
  <c r="C10" i="1"/>
  <c r="B45" i="1"/>
  <c r="E40" i="1"/>
  <c r="C15" i="1"/>
  <c r="B56" i="1"/>
  <c r="C48" i="1"/>
  <c r="E5" i="1"/>
  <c r="E39" i="1"/>
  <c r="E56" i="1"/>
  <c r="G9" i="1"/>
  <c r="B40" i="1"/>
  <c r="C13" i="1"/>
  <c r="D7" i="1"/>
  <c r="E52" i="1"/>
  <c r="B10" i="1"/>
  <c r="D14" i="1"/>
  <c r="D10" i="1"/>
  <c r="B38" i="1"/>
  <c r="B13" i="1"/>
  <c r="G14" i="1"/>
  <c r="E46" i="1"/>
  <c r="G7" i="1"/>
  <c r="C6" i="1"/>
  <c r="D13" i="1"/>
  <c r="C56" i="1"/>
  <c r="G8" i="1"/>
  <c r="E45" i="1"/>
  <c r="C5" i="1"/>
  <c r="E42" i="1"/>
  <c r="B52" i="1"/>
  <c r="B49" i="1"/>
  <c r="G11" i="1"/>
  <c r="B50" i="1"/>
  <c r="G5" i="1"/>
  <c r="C46" i="1"/>
  <c r="E6" i="1"/>
  <c r="E14" i="1"/>
  <c r="E11" i="1"/>
  <c r="C50" i="1"/>
  <c r="B5" i="1"/>
  <c r="E49" i="1"/>
  <c r="B54" i="1"/>
  <c r="E37" i="1"/>
  <c r="G15" i="1"/>
  <c r="B43" i="1"/>
  <c r="E48" i="1"/>
  <c r="D11" i="1"/>
  <c r="C51" i="1"/>
  <c r="G12" i="1"/>
  <c r="B48" i="1"/>
  <c r="C39" i="1"/>
  <c r="C45" i="1"/>
  <c r="E53" i="1"/>
  <c r="F14" i="1" l="1"/>
  <c r="D40" i="1"/>
  <c r="F9" i="1"/>
  <c r="O5" i="1"/>
  <c r="F10" i="1"/>
  <c r="O15" i="1"/>
  <c r="D36" i="1"/>
  <c r="O6" i="1"/>
  <c r="F11" i="1"/>
  <c r="D43" i="1"/>
  <c r="D48" i="1"/>
  <c r="D56" i="1"/>
  <c r="O7" i="1"/>
  <c r="F12" i="1"/>
  <c r="O14" i="1"/>
  <c r="O8" i="1"/>
  <c r="D39" i="1"/>
  <c r="O9" i="1"/>
  <c r="D44" i="1"/>
  <c r="D52" i="1"/>
  <c r="F8" i="1"/>
  <c r="O13" i="1"/>
  <c r="F15" i="1"/>
  <c r="F7" i="1"/>
  <c r="O12" i="1"/>
  <c r="D38" i="1"/>
  <c r="D42" i="1"/>
  <c r="D46" i="1"/>
  <c r="D50" i="1"/>
  <c r="D54" i="1"/>
  <c r="F6" i="1"/>
  <c r="O11" i="1"/>
  <c r="F5" i="1"/>
  <c r="O10" i="1"/>
  <c r="F13" i="1"/>
  <c r="D37" i="1"/>
  <c r="D41" i="1"/>
  <c r="D45" i="1"/>
  <c r="D49" i="1"/>
  <c r="D53" i="1"/>
  <c r="D47" i="1"/>
  <c r="D51" i="1"/>
  <c r="D55" i="1"/>
  <c r="H11" i="1"/>
  <c r="H9" i="1"/>
  <c r="H14" i="1"/>
  <c r="H15" i="1"/>
  <c r="F48" i="1"/>
  <c r="F47" i="1"/>
  <c r="F41" i="1"/>
  <c r="F52" i="1"/>
  <c r="H6" i="1"/>
  <c r="H13" i="1"/>
  <c r="H10" i="1"/>
  <c r="H12" i="1"/>
  <c r="F51" i="1"/>
  <c r="F40" i="1"/>
  <c r="F42" i="1"/>
  <c r="H7" i="1"/>
  <c r="H5" i="1"/>
  <c r="F43" i="1"/>
  <c r="H8" i="1"/>
  <c r="F38" i="1"/>
  <c r="F44" i="1"/>
  <c r="F56" i="1"/>
  <c r="F50" i="1"/>
  <c r="F46" i="1"/>
  <c r="F55" i="1"/>
  <c r="F39" i="1"/>
  <c r="F37" i="1"/>
  <c r="F49" i="1"/>
  <c r="F54" i="1"/>
  <c r="F53" i="1"/>
  <c r="F45" i="1"/>
  <c r="F36" i="1"/>
  <c r="L13" i="1" l="1"/>
  <c r="K13" i="1"/>
  <c r="P13" i="1"/>
  <c r="P15" i="1"/>
  <c r="K15" i="1"/>
  <c r="L15" i="1"/>
  <c r="K11" i="1"/>
  <c r="L11" i="1"/>
  <c r="P11" i="1"/>
  <c r="P8" i="1"/>
  <c r="L8" i="1"/>
  <c r="K8" i="1"/>
  <c r="L6" i="1"/>
  <c r="P6" i="1"/>
  <c r="K6" i="1"/>
  <c r="P7" i="1"/>
  <c r="L7" i="1"/>
  <c r="K7" i="1"/>
  <c r="L5" i="1"/>
  <c r="K5" i="1"/>
  <c r="P5" i="1"/>
  <c r="L14" i="1"/>
  <c r="P14" i="1"/>
  <c r="K14" i="1"/>
  <c r="P10" i="1"/>
  <c r="L10" i="1"/>
  <c r="K10" i="1"/>
  <c r="P9" i="1"/>
  <c r="L9" i="1"/>
  <c r="K9" i="1"/>
  <c r="L12" i="1"/>
  <c r="K12" i="1"/>
  <c r="P12" i="1"/>
  <c r="N9" i="1" l="1"/>
  <c r="M9" i="1"/>
  <c r="M15" i="1"/>
  <c r="N15" i="1"/>
  <c r="M13" i="1"/>
  <c r="N13" i="1"/>
  <c r="N12" i="1"/>
  <c r="M12" i="1"/>
  <c r="M10" i="1"/>
  <c r="N10" i="1"/>
  <c r="N11" i="1"/>
  <c r="M11" i="1"/>
  <c r="N7" i="1"/>
  <c r="M7" i="1"/>
  <c r="N14" i="1"/>
  <c r="M14" i="1"/>
  <c r="N6" i="1"/>
  <c r="M6" i="1"/>
  <c r="M5" i="1"/>
  <c r="N5" i="1"/>
  <c r="N8" i="1"/>
  <c r="M8" i="1"/>
  <c r="I5" i="1" l="1"/>
  <c r="J5" i="1" s="1"/>
  <c r="I8" i="1"/>
  <c r="J8" i="1" s="1"/>
  <c r="I6" i="1"/>
  <c r="J6" i="1" s="1"/>
  <c r="I9" i="1"/>
  <c r="J9" i="1" s="1"/>
  <c r="I12" i="1"/>
  <c r="J12" i="1" s="1"/>
  <c r="I7" i="1"/>
  <c r="J7" i="1" s="1"/>
  <c r="I14" i="1"/>
  <c r="J14" i="1" s="1"/>
  <c r="I10" i="1"/>
  <c r="J10" i="1" s="1"/>
  <c r="I13" i="1"/>
  <c r="J13" i="1" s="1"/>
  <c r="I11" i="1"/>
  <c r="J11" i="1" s="1"/>
  <c r="I15" i="1"/>
  <c r="J15" i="1" s="1"/>
  <c r="B1" i="1" l="1"/>
</calcChain>
</file>

<file path=xl/sharedStrings.xml><?xml version="1.0" encoding="utf-8"?>
<sst xmlns="http://schemas.openxmlformats.org/spreadsheetml/2006/main" count="42" uniqueCount="42">
  <si>
    <t>Int</t>
  </si>
  <si>
    <t>vs BTP</t>
  </si>
  <si>
    <t>Maturity</t>
  </si>
  <si>
    <t>Spread</t>
  </si>
  <si>
    <t>CPN</t>
  </si>
  <si>
    <t>BID</t>
  </si>
  <si>
    <t>MID</t>
  </si>
  <si>
    <t>ASK</t>
  </si>
  <si>
    <t>Z_SPRD_MID</t>
  </si>
  <si>
    <t>EI306659 Corp</t>
  </si>
  <si>
    <t>EH916838 Corp</t>
  </si>
  <si>
    <t>EI155945 Corp</t>
  </si>
  <si>
    <t>EJ109292 Corp</t>
  </si>
  <si>
    <t>EI444410 Corp</t>
  </si>
  <si>
    <t>EI651430 Corp</t>
  </si>
  <si>
    <t>EJ671485 Corp</t>
  </si>
  <si>
    <t>EK147627 Corp</t>
  </si>
  <si>
    <t>EK515042 Corp</t>
  </si>
  <si>
    <t>EK828355 Corp</t>
  </si>
  <si>
    <t>UV993359 Corp</t>
  </si>
  <si>
    <t>BTPs</t>
  </si>
  <si>
    <t>EJ478633 Corp</t>
  </si>
  <si>
    <t>EI638977 Corp</t>
  </si>
  <si>
    <t>EF295148 Corp</t>
  </si>
  <si>
    <t>EG064852 Corp</t>
  </si>
  <si>
    <t>EJ000941 Corp</t>
  </si>
  <si>
    <t>EJ216483 Corp</t>
  </si>
  <si>
    <t>EC520268 Corp</t>
  </si>
  <si>
    <t>EJ421905 Corp</t>
  </si>
  <si>
    <t>EG766047 Corp</t>
  </si>
  <si>
    <t>EK849938 Corp</t>
  </si>
  <si>
    <t>EH326554 Corp</t>
  </si>
  <si>
    <t>EJ807144 Corp</t>
  </si>
  <si>
    <t>EH802597 Corp</t>
  </si>
  <si>
    <t>EK624270 Corp</t>
  </si>
  <si>
    <t>EI201806 Corp</t>
  </si>
  <si>
    <t>EI385633 Corp</t>
  </si>
  <si>
    <t>EI793398 Corp</t>
  </si>
  <si>
    <t>EJ042056 Corp</t>
  </si>
  <si>
    <t>EJ341690 Corp</t>
  </si>
  <si>
    <t>EJ568862 Corp</t>
  </si>
  <si>
    <t>EH3056924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</si>
</sst>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m/d;@"/>
    <numFmt numFmtId="166" formatCode="[$-409]mmm\-yy;@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2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3" fillId="0" borderId="0" xfId="0" applyFont="1" applyFill="1"/>
    <xf numFmtId="166" fontId="1" fillId="0" borderId="0" xfId="0" applyNumberFormat="1" applyFont="1" applyFill="1" applyAlignment="1"/>
    <xf numFmtId="0" fontId="4" fillId="0" borderId="0" xfId="0" applyFont="1" applyFill="1" applyAlignment="1">
      <alignment horizontal="center"/>
    </xf>
    <xf numFmtId="167" fontId="1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Alignment="1"/>
    <xf numFmtId="167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7" fontId="0" fillId="0" borderId="0" xfId="0" applyNumberFormat="1" applyFill="1" applyBorder="1"/>
    <xf numFmtId="165" fontId="0" fillId="0" borderId="0" xfId="0" applyNumberFormat="1" applyFill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3" fillId="0" borderId="2" xfId="0" applyFont="1" applyFill="1" applyBorder="1"/>
    <xf numFmtId="0" fontId="3" fillId="0" borderId="3" xfId="0" applyFont="1" applyFill="1" applyBorder="1"/>
    <xf numFmtId="167" fontId="1" fillId="0" borderId="3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/>
    </xf>
    <xf numFmtId="0" fontId="3" fillId="0" borderId="5" xfId="0" applyFont="1" applyFill="1" applyBorder="1"/>
    <xf numFmtId="0" fontId="3" fillId="0" borderId="6" xfId="0" applyFont="1" applyFill="1" applyBorder="1" applyAlignment="1">
      <alignment horizontal="center"/>
    </xf>
    <xf numFmtId="0" fontId="3" fillId="0" borderId="6" xfId="0" applyFont="1" applyFill="1" applyBorder="1"/>
    <xf numFmtId="0" fontId="3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166" fontId="1" fillId="0" borderId="7" xfId="0" applyNumberFormat="1" applyFont="1" applyFill="1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166" fontId="1" fillId="0" borderId="8" xfId="0" applyNumberFormat="1" applyFont="1" applyFill="1" applyBorder="1" applyAlignment="1"/>
    <xf numFmtId="0" fontId="0" fillId="0" borderId="1" xfId="0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/>
    </xf>
    <xf numFmtId="167" fontId="0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100.045</v>
        <stp/>
        <stp>##V3_BDPV12</stp>
        <stp>EK849938 Corp</stp>
        <stp>ASK</stp>
        <stp>[CCTspreadsheet.xlsm]Sheet1!R45C5</stp>
        <tr r="E45" s="1"/>
      </tp>
      <tp>
        <v>99.864999999999995</v>
        <stp/>
        <stp>##V3_BDPV12</stp>
        <stp>EK828355 Corp</stp>
        <stp>ASK</stp>
        <stp>[CCTspreadsheet.xlsm]Sheet1!R14C7</stp>
        <tr r="G14" s="1"/>
      </tp>
      <tp>
        <v>109.355</v>
        <stp/>
        <stp>##V3_BDPV12</stp>
        <stp>EC520268 Corp</stp>
        <stp>BID</stp>
        <stp>[CCTspreadsheet.xlsm]Sheet1!R42C3</stp>
        <tr r="C42" s="1"/>
      </tp>
      <tp>
        <v>122.235</v>
        <stp/>
        <stp>##V3_BDPV12</stp>
        <stp>EJ568862 Corp</stp>
        <stp>ASK</stp>
        <stp>[CCTspreadsheet.xlsm]Sheet1!R55C5</stp>
        <tr r="E55" s="1"/>
      </tp>
      <tp>
        <v>106.99</v>
        <stp/>
        <stp>##V3_BDPV12</stp>
        <stp>EJ421905 Corp</stp>
        <stp>BID</stp>
        <stp>[CCTspreadsheet.xlsm]Sheet1!R43C3</stp>
        <tr r="C43" s="1"/>
      </tp>
      <tp>
        <v>109.995</v>
        <stp/>
        <stp>##V3_BDPV12</stp>
        <stp>EG766047 Corp</stp>
        <stp>BID</stp>
        <stp>[CCTspreadsheet.xlsm]Sheet1!R44C3</stp>
        <tr r="C44" s="1"/>
      </tp>
      <tp>
        <v>103.05</v>
        <stp/>
        <stp>##V3_BDPV12</stp>
        <stp>EF295148 Corp</stp>
        <stp>ASK</stp>
        <stp>[CCTspreadsheet.xlsm]Sheet1!R38C5</stp>
        <tr r="E38" s="1"/>
      </tp>
      <tp>
        <v>101.86</v>
        <stp/>
        <stp>##V3_BDPV12</stp>
        <stp>EK624270 Corp</stp>
        <stp>ASK</stp>
        <stp>[CCTspreadsheet.xlsm]Sheet1!R49C5</stp>
        <tr r="E49" s="1"/>
      </tp>
      <tp>
        <v>105.205</v>
        <stp/>
        <stp>##V3_BDPV12</stp>
        <stp>EG064852 Corp</stp>
        <stp>ASK</stp>
        <stp>[CCTspreadsheet.xlsm]Sheet1!R39C5</stp>
        <tr r="E39" s="1"/>
      </tp>
      <tp>
        <v>115.55</v>
        <stp/>
        <stp>##V3_BDPV12</stp>
        <stp>EI201806 Corp</stp>
        <stp>BID</stp>
        <stp>[CCTspreadsheet.xlsm]Sheet1!R50C3</stp>
        <tr r="C50" s="1"/>
      </tp>
      <tp>
        <v>127.93</v>
        <stp/>
        <stp>##V3_BDPV12</stp>
        <stp>EJ042056 Corp</stp>
        <stp>BID</stp>
        <stp>[CCTspreadsheet.xlsm]Sheet1!R53C3</stp>
        <tr r="C53" s="1"/>
      </tp>
      <tp>
        <v>123.85</v>
        <stp/>
        <stp>##V3_BDPV12</stp>
        <stp>EI793398 Corp</stp>
        <stp>BID</stp>
        <stp>[CCTspreadsheet.xlsm]Sheet1!R52C3</stp>
        <tr r="C52" s="1"/>
      </tp>
      <tp>
        <v>100.41500000000001</v>
        <stp/>
        <stp>##V3_BDPV12</stp>
        <stp>EJ478633 Corp</stp>
        <stp>ASK</stp>
        <stp>[CCTspreadsheet.xlsm]Sheet1!R36C5</stp>
        <tr r="E36" s="1"/>
      </tp>
      <tp>
        <v>102.045</v>
        <stp/>
        <stp>##V3_BDPV12</stp>
        <stp>EI651430 Corp</stp>
        <stp>BID</stp>
        <stp>[CCTspreadsheet.xlsm]Sheet1!R10C5</stp>
        <tr r="E10" s="1"/>
      </tp>
      <tp>
        <v>101.955</v>
        <stp/>
        <stp>##V3_BDPV12</stp>
        <stp>EI638977 Corp</stp>
        <stp>ASK</stp>
        <stp>[CCTspreadsheet.xlsm]Sheet1!R37C5</stp>
        <tr r="E37" s="1"/>
      </tp>
      <tp>
        <v>107.3</v>
        <stp/>
        <stp>##V3_BDPV12</stp>
        <stp>EJ000941 Corp</stp>
        <stp>BID</stp>
        <stp>[CCTspreadsheet.xlsm]Sheet1!R40C3</stp>
        <tr r="C40" s="1"/>
      </tp>
      <tp>
        <v>109.955</v>
        <stp/>
        <stp>##V3_BDPV12</stp>
        <stp>EJ807144 Corp</stp>
        <stp>BID</stp>
        <stp>[CCTspreadsheet.xlsm]Sheet1!R47C3</stp>
        <tr r="C47" s="1"/>
      </tp>
      <tp>
        <v>111.9</v>
        <stp/>
        <stp>##V3_BDPV12</stp>
        <stp>EH326554 Corp</stp>
        <stp>BID</stp>
        <stp>[CCTspreadsheet.xlsm]Sheet1!R46C3</stp>
        <tr r="C46" s="1"/>
      </tp>
      <tp>
        <v>104.83</v>
        <stp/>
        <stp>##V3_BDPV12</stp>
        <stp>EJ671485 Corp</stp>
        <stp>BID</stp>
        <stp>[CCTspreadsheet.xlsm]Sheet1!R11C5</stp>
        <tr r="E11" s="1"/>
      </tp>
      <tp>
        <v>107.66500000000001</v>
        <stp/>
        <stp>##V3_BDPV12</stp>
        <stp>EJ216483 Corp</stp>
        <stp>BID</stp>
        <stp>[CCTspreadsheet.xlsm]Sheet1!R41C3</stp>
        <tr r="C41" s="1"/>
      </tp>
      <tp>
        <v>0.59899999999999998</v>
        <stp/>
        <stp>##V3_BDPV12</stp>
        <stp>EK828355 Corp</stp>
        <stp>CPN</stp>
        <stp>[CCTspreadsheet.xlsm]Sheet1!R14C4</stp>
        <tr r="D14" s="1"/>
      </tp>
      <tp>
        <v>101.825</v>
        <stp/>
        <stp>##V3_BDPV12</stp>
        <stp>EK515042 Corp</stp>
        <stp>BID</stp>
        <stp>[CCTspreadsheet.xlsm]Sheet1!R13C5</stp>
        <tr r="E13" s="1"/>
      </tp>
      <tp>
        <v>128.09</v>
        <stp/>
        <stp>##V3_BDPV12</stp>
        <stp>EJ341690 Corp</stp>
        <stp>BID</stp>
        <stp>[CCTspreadsheet.xlsm]Sheet1!R54C3</stp>
        <tr r="C54" s="1"/>
      </tp>
      <tp>
        <v>114.39</v>
        <stp/>
        <stp>##V3_BDPV12</stp>
        <stp>EH802597 Corp</stp>
        <stp>ASK</stp>
        <stp>[CCTspreadsheet.xlsm]Sheet1!R48C5</stp>
        <tr r="E48" s="1"/>
      </tp>
      <tp>
        <v>103.5</v>
        <stp/>
        <stp>##V3_BDPV12</stp>
        <stp>EK147627 Corp</stp>
        <stp>BID</stp>
        <stp>[CCTspreadsheet.xlsm]Sheet1!R12C5</stp>
        <tr r="E12" s="1"/>
      </tp>
      <tp>
        <v>114.97499999999999</v>
        <stp/>
        <stp>##V3_BDPV12</stp>
        <stp>EI385633 Corp</stp>
        <stp>BID</stp>
        <stp>[CCTspreadsheet.xlsm]Sheet1!R51C3</stp>
        <tr r="C51" s="1"/>
      </tp>
      <tp>
        <v>1.0780000000000001</v>
        <stp/>
        <stp>##V3_BDPV12</stp>
        <stp>EI651430 Corp</stp>
        <stp>CPN</stp>
        <stp>[CCTspreadsheet.xlsm]Sheet1!R10C4</stp>
        <tr r="D10" s="1"/>
      </tp>
      <tp>
        <v>114.995</v>
        <stp/>
        <stp>##V3_BDPV12</stp>
        <stp>EI385633 Corp</stp>
        <stp>ASK</stp>
        <stp>[CCTspreadsheet.xlsm]Sheet1!R51C5</stp>
        <tr r="E51" s="1"/>
      </tp>
      <tp>
        <v>128.11500000000001</v>
        <stp/>
        <stp>##V3_BDPV12</stp>
        <stp>EJ341690 Corp</stp>
        <stp>ASK</stp>
        <stp>[CCTspreadsheet.xlsm]Sheet1!R54C5</stp>
        <tr r="E54" s="1"/>
      </tp>
      <tp>
        <v>114.37</v>
        <stp/>
        <stp>##V3_BDPV12</stp>
        <stp>EH802597 Corp</stp>
        <stp>BID</stp>
        <stp>[CCTspreadsheet.xlsm]Sheet1!R48C3</stp>
        <tr r="C48" s="1"/>
      </tp>
      <tp>
        <v>103.535</v>
        <stp/>
        <stp>##V3_BDPV12</stp>
        <stp>EK147627 Corp</stp>
        <stp>ASK</stp>
        <stp>[CCTspreadsheet.xlsm]Sheet1!R12C7</stp>
        <tr r="G12" s="1"/>
      </tp>
      <tp>
        <v>1.8610000000000002</v>
        <stp/>
        <stp>##V3_BDPV12</stp>
        <stp>EJ671485 Corp</stp>
        <stp>CPN</stp>
        <stp>[CCTspreadsheet.xlsm]Sheet1!R11C4</stp>
        <tr r="D11" s="1"/>
      </tp>
      <tp>
        <v>101.86</v>
        <stp/>
        <stp>##V3_BDPV12</stp>
        <stp>EK515042 Corp</stp>
        <stp>ASK</stp>
        <stp>[CCTspreadsheet.xlsm]Sheet1!R13C7</stp>
        <tr r="G13" s="1"/>
      </tp>
      <tp>
        <v>107.68</v>
        <stp/>
        <stp>##V3_BDPV12</stp>
        <stp>EJ216483 Corp</stp>
        <stp>ASK</stp>
        <stp>[CCTspreadsheet.xlsm]Sheet1!R41C5</stp>
        <tr r="E41" s="1"/>
      </tp>
      <tp>
        <v>101.95</v>
        <stp/>
        <stp>##V3_BDPV12</stp>
        <stp>EI638977 Corp</stp>
        <stp>BID</stp>
        <stp>[CCTspreadsheet.xlsm]Sheet1!R37C3</stp>
        <tr r="C37" s="1"/>
      </tp>
      <tp>
        <v>107.32</v>
        <stp/>
        <stp>##V3_BDPV12</stp>
        <stp>EJ000941 Corp</stp>
        <stp>ASK</stp>
        <stp>[CCTspreadsheet.xlsm]Sheet1!R40C5</stp>
        <tr r="E40" s="1"/>
      </tp>
      <tp>
        <v>109.97499999999999</v>
        <stp/>
        <stp>##V3_BDPV12</stp>
        <stp>EJ807144 Corp</stp>
        <stp>ASK</stp>
        <stp>[CCTspreadsheet.xlsm]Sheet1!R47C5</stp>
        <tr r="E47" s="1"/>
      </tp>
      <tp>
        <v>111.925</v>
        <stp/>
        <stp>##V3_BDPV12</stp>
        <stp>EH326554 Corp</stp>
        <stp>ASK</stp>
        <stp>[CCTspreadsheet.xlsm]Sheet1!R46C5</stp>
        <tr r="E46" s="1"/>
      </tp>
      <tp>
        <v>1.26</v>
        <stp/>
        <stp>##V3_BDPV12</stp>
        <stp>EK147627 Corp</stp>
        <stp>CPN</stp>
        <stp>[CCTspreadsheet.xlsm]Sheet1!R12C4</stp>
        <tr r="D12" s="1"/>
      </tp>
      <tp>
        <v>104.86</v>
        <stp/>
        <stp>##V3_BDPV12</stp>
        <stp>EJ671485 Corp</stp>
        <stp>ASK</stp>
        <stp>[CCTspreadsheet.xlsm]Sheet1!R11C7</stp>
        <tr r="G11" s="1"/>
      </tp>
      <tp>
        <v>115.57</v>
        <stp/>
        <stp>##V3_BDPV12</stp>
        <stp>EI201806 Corp</stp>
        <stp>ASK</stp>
        <stp>[CCTspreadsheet.xlsm]Sheet1!R50C5</stp>
        <tr r="E50" s="1"/>
      </tp>
      <tp>
        <v>127.95</v>
        <stp/>
        <stp>##V3_BDPV12</stp>
        <stp>EJ042056 Corp</stp>
        <stp>ASK</stp>
        <stp>[CCTspreadsheet.xlsm]Sheet1!R53C5</stp>
        <tr r="E53" s="1"/>
      </tp>
      <tp>
        <v>123.88</v>
        <stp/>
        <stp>##V3_BDPV12</stp>
        <stp>EI793398 Corp</stp>
        <stp>ASK</stp>
        <stp>[CCTspreadsheet.xlsm]Sheet1!R52C5</stp>
        <tr r="E52" s="1"/>
      </tp>
      <tp>
        <v>100.41</v>
        <stp/>
        <stp>##V3_BDPV12</stp>
        <stp>EJ478633 Corp</stp>
        <stp>BID</stp>
        <stp>[CCTspreadsheet.xlsm]Sheet1!R36C3</stp>
        <tr r="C36" s="1"/>
      </tp>
      <tp>
        <v>102.07</v>
        <stp/>
        <stp>##V3_BDPV12</stp>
        <stp>EI651430 Corp</stp>
        <stp>ASK</stp>
        <stp>[CCTspreadsheet.xlsm]Sheet1!R10C7</stp>
        <tr r="G10" s="1"/>
      </tp>
      <tp>
        <v>109.375</v>
        <stp/>
        <stp>##V3_BDPV12</stp>
        <stp>EC520268 Corp</stp>
        <stp>ASK</stp>
        <stp>[CCTspreadsheet.xlsm]Sheet1!R42C5</stp>
        <tr r="E42" s="1"/>
      </tp>
      <tp>
        <v>122.205</v>
        <stp/>
        <stp>##V3_BDPV12</stp>
        <stp>EJ568862 Corp</stp>
        <stp>BID</stp>
        <stp>[CCTspreadsheet.xlsm]Sheet1!R55C3</stp>
        <tr r="C55" s="1"/>
      </tp>
      <tp>
        <v>107</v>
        <stp/>
        <stp>##V3_BDPV12</stp>
        <stp>EJ421905 Corp</stp>
        <stp>ASK</stp>
        <stp>[CCTspreadsheet.xlsm]Sheet1!R43C5</stp>
        <tr r="E43" s="1"/>
      </tp>
      <tp>
        <v>103.045</v>
        <stp/>
        <stp>##V3_BDPV12</stp>
        <stp>EF295148 Corp</stp>
        <stp>BID</stp>
        <stp>[CCTspreadsheet.xlsm]Sheet1!R38C3</stp>
        <tr r="C38" s="1"/>
      </tp>
      <tp>
        <v>110.01</v>
        <stp/>
        <stp>##V3_BDPV12</stp>
        <stp>EG766047 Corp</stp>
        <stp>ASK</stp>
        <stp>[CCTspreadsheet.xlsm]Sheet1!R44C5</stp>
        <tr r="E44" s="1"/>
      </tp>
      <tp>
        <v>101.83499999999999</v>
        <stp/>
        <stp>##V3_BDPV12</stp>
        <stp>EK624270 Corp</stp>
        <stp>BID</stp>
        <stp>[CCTspreadsheet.xlsm]Sheet1!R49C3</stp>
        <tr r="C49" s="1"/>
      </tp>
      <tp>
        <v>105.19</v>
        <stp/>
        <stp>##V3_BDPV12</stp>
        <stp>EG064852 Corp</stp>
        <stp>BID</stp>
        <stp>[CCTspreadsheet.xlsm]Sheet1!R39C3</stp>
        <tr r="C39" s="1"/>
      </tp>
      <tp>
        <v>100.03</v>
        <stp/>
        <stp>##V3_BDPV12</stp>
        <stp>EK849938 Corp</stp>
        <stp>BID</stp>
        <stp>[CCTspreadsheet.xlsm]Sheet1!R45C3</stp>
        <tr r="C45" s="1"/>
      </tp>
      <tp>
        <v>99.82</v>
        <stp/>
        <stp>##V3_BDPV12</stp>
        <stp>EK828355 Corp</stp>
        <stp>BID</stp>
        <stp>[CCTspreadsheet.xlsm]Sheet1!R14C5</stp>
        <tr r="E14" s="1"/>
      </tp>
      <tp>
        <v>0.84899999999999998</v>
        <stp/>
        <stp>##V3_BDPV12</stp>
        <stp>EK515042 Corp</stp>
        <stp>CPN</stp>
        <stp>[CCTspreadsheet.xlsm]Sheet1!R13C4</stp>
        <tr r="D13" s="1"/>
      </tp>
      <tp>
        <v>74.990234795895276</v>
        <stp/>
        <stp>##V3_BDPV12</stp>
        <stp>EH305692@MTS Corp</stp>
        <stp>Z_SPRD_MID</stp>
        <stp>[CCTspreadsheet.xlsm]Sheet1!R56C6</stp>
        <stp>WORKOUT_PX_BID=100.000</stp>
        <stp>PX_MID=124.4025</stp>
        <stp>ASW_SWAP_PAR_AMOUNT=1000000.00</stp>
        <tr r="F56" s="1"/>
      </tp>
      <tp>
        <v>-4.3680582545030235</v>
        <stp/>
        <stp>##V3_BDPV12</stp>
        <stp>EI638977@MTS Corp</stp>
        <stp>Z_SPRD_MID</stp>
        <stp>[CCTspreadsheet.xlsm]Sheet1!R37C6</stp>
        <stp>WORKOUT_PX_BID=100.000</stp>
        <stp>PX_MID=101.9525</stp>
        <stp>ASW_SWAP_PAR_AMOUNT=1000000.00</stp>
        <tr r="F37" s="1"/>
      </tp>
      <tp t="s">
        <v>#N/A Requesting Data...</v>
        <stp/>
        <stp>##V3_BDPV12</stp>
        <stp>EJ216483@MTS Corp</stp>
        <stp>Z_SPRD_MID</stp>
        <stp>[CCTspreadsheet.xlsm]Sheet1!R41C6</stp>
        <stp>WORKOUT_PX_BID=100.000</stp>
        <stp>PX_MID=107.6725</stp>
        <stp>ASW_SWAP_PAR_AMOUNT=1000000.00</stp>
        <tr r="F41" s="1"/>
      </tp>
      <tp>
        <v>2.4380257251627704</v>
        <stp/>
        <stp>##V3_BDPV12</stp>
        <stp>EJ478633@MTS Corp</stp>
        <stp>Z_SPRD_MID</stp>
        <stp>[CCTspreadsheet.xlsm]Sheet1!R36C6</stp>
        <stp>WORKOUT_PX_BID=100.000</stp>
        <stp>PX_MID=100.4125</stp>
        <stp>ASW_SWAP_PAR_AMOUNT=1000000.00</stp>
        <tr r="F36" s="1"/>
      </tp>
      <tp>
        <v>67.651370066606404</v>
        <stp/>
        <stp>##V3_BDPV12</stp>
        <stp>UV993359 Corp</stp>
        <stp>Z_SPRD_MID</stp>
        <stp>[CCTspreadsheet.xlsm]Sheet1!R15C8</stp>
        <stp>PX_ASK</stp>
        <stp>100.1905</stp>
        <tr r="H15" s="1"/>
      </tp>
      <tp>
        <v>124.42</v>
        <stp/>
        <stp>##V3_BDPV12</stp>
        <stp>EH3056924 Corp</stp>
        <stp>ASK</stp>
        <stp>[CCTspreadsheet.xlsm]Sheet1!R56C5</stp>
        <tr r="E56" s="1"/>
      </tp>
      <tp>
        <v>-2.8734392350363116</v>
        <stp/>
        <stp>##V3_BDPV12</stp>
        <stp>EG064852@MTS Corp</stp>
        <stp>Z_SPRD_MID</stp>
        <stp>[CCTspreadsheet.xlsm]Sheet1!R39C6</stp>
        <stp>WORKOUT_PX_BID=100.000</stp>
        <stp>PX_MID=105.1975</stp>
        <stp>ASW_SWAP_PAR_AMOUNT=1000000.00</stp>
        <tr r="F39" s="1"/>
      </tp>
      <tp>
        <v>100.154</v>
        <stp/>
        <stp>##V3_BDPV12</stp>
        <stp>UV993359 Corp</stp>
        <stp>BID</stp>
        <stp>[CCTspreadsheet.xlsm]Sheet1!R15C5</stp>
        <tr r="E15" s="1"/>
      </tp>
      <tp>
        <v>72.414948046269686</v>
        <stp/>
        <stp>##V3_BDPV12</stp>
        <stp>EJ341690@MTS Corp</stp>
        <stp>Z_SPRD_MID</stp>
        <stp>[CCTspreadsheet.xlsm]Sheet1!R54C6</stp>
        <stp>WORKOUT_PX_BID=100.000</stp>
        <stp>PX_MID=128.1025</stp>
        <stp>ASW_SWAP_PAR_AMOUNT=1000000.00</stp>
        <tr r="F54" s="1"/>
      </tp>
      <tp>
        <v>180</v>
        <stp/>
        <stp>##V3_BDPV12</stp>
        <stp>EJ671485 Corp</stp>
        <stp>FLT_SPREAD</stp>
        <stp>[CCTspreadsheet.xlsm]Sheet1!R11C3</stp>
        <tr r="C11" s="1"/>
      </tp>
      <tp>
        <v>55</v>
        <stp/>
        <stp>##V3_BDPV12</stp>
        <stp>EK828355 Corp</stp>
        <stp>FLT_SPREAD</stp>
        <stp>[CCTspreadsheet.xlsm]Sheet1!R14C3</stp>
        <tr r="C14" s="1"/>
      </tp>
      <tp t="s">
        <v>#N/A Requesting Data...</v>
        <stp/>
        <stp>##V3_BDPV12</stp>
        <stp>EK849938@MTS Corp</stp>
        <stp>Z_SPRD_MID</stp>
        <stp>[CCTspreadsheet.xlsm]Sheet1!R45C6</stp>
        <stp>WORKOUT_PX_BID=100.000</stp>
        <stp>PX_MID=100.0375</stp>
        <stp>ASW_SWAP_PAR_AMOUNT=1000000.00</stp>
        <tr r="F45" s="1"/>
      </tp>
      <tp t="s">
        <v>#N/A Requesting Data...</v>
        <stp/>
        <stp>##V3_BDPV12</stp>
        <stp>EK624270@MTS Corp</stp>
        <stp>Z_SPRD_MID</stp>
        <stp>[CCTspreadsheet.xlsm]Sheet1!R49C6</stp>
        <stp>WORKOUT_PX_BID=100.000</stp>
        <stp>PX_MID=101.8475</stp>
        <stp>ASW_SWAP_PAR_AMOUNT=1000000.00</stp>
        <tr r="F49" s="1"/>
      </tp>
      <tp>
        <v>100.227</v>
        <stp/>
        <stp>##V3_BDPV12</stp>
        <stp>UV993359 Corp</stp>
        <stp>ASK</stp>
        <stp>[CCTspreadsheet.xlsm]Sheet1!R15C7</stp>
        <tr r="G15" s="1"/>
      </tp>
      <tp>
        <v>120</v>
        <stp/>
        <stp>##V3_BDPV12</stp>
        <stp>EK147627 Corp</stp>
        <stp>FLT_SPREAD</stp>
        <stp>[CCTspreadsheet.xlsm]Sheet1!R12C3</stp>
        <tr r="C12" s="1"/>
      </tp>
      <tp>
        <v>44.760595292431368</v>
        <stp/>
        <stp>##V3_BDPV12</stp>
        <stp>EK515042 Corp</stp>
        <stp>Z_SPRD_MID</stp>
        <stp>[CCTspreadsheet.xlsm]Sheet1!R13C8</stp>
        <stp>PX_ASK</stp>
        <stp>101.8425</stp>
        <tr r="H13" s="1"/>
      </tp>
      <tp>
        <v>80</v>
        <stp/>
        <stp>##V3_BDPV12</stp>
        <stp>EK515042 Corp</stp>
        <stp>FLT_SPREAD</stp>
        <stp>[CCTspreadsheet.xlsm]Sheet1!R13C3</stp>
        <tr r="C13" s="1"/>
      </tp>
      <tp>
        <v>9.3795262060822289</v>
        <stp/>
        <stp>##V3_BDPV12</stp>
        <stp>EG766047@MTS Corp</stp>
        <stp>Z_SPRD_MID</stp>
        <stp>[CCTspreadsheet.xlsm]Sheet1!R44C6</stp>
        <stp>WORKOUT_PX_BID=100.000</stp>
        <stp>PX_MID=110.0025</stp>
        <stp>ASW_SWAP_PAR_AMOUNT=1000000.00</stp>
        <tr r="F44" s="1"/>
      </tp>
      <tp>
        <v>-7.7776990306569918</v>
        <stp/>
        <stp>##V3_BDPV12</stp>
        <stp>EF295148@MTS Corp</stp>
        <stp>Z_SPRD_MID</stp>
        <stp>[CCTspreadsheet.xlsm]Sheet1!R38C6</stp>
        <stp>WORKOUT_PX_BID=100.000</stp>
        <stp>PX_MID=103.0475</stp>
        <stp>ASW_SWAP_PAR_AMOUNT=1000000.00</stp>
        <tr r="F38" s="1"/>
      </tp>
      <tp>
        <v>124.38500000000001</v>
        <stp/>
        <stp>##V3_BDPV12</stp>
        <stp>EH3056924 Corp</stp>
        <stp>BID</stp>
        <stp>[CCTspreadsheet.xlsm]Sheet1!R56C3</stp>
        <tr r="C56" s="1"/>
      </tp>
      <tp>
        <v>70</v>
        <stp/>
        <stp>##V3_BDPV12</stp>
        <stp>UV993359 Corp</stp>
        <stp>FLT_SPREAD</stp>
        <stp>[CCTspreadsheet.xlsm]Sheet1!R15C3</stp>
        <tr r="C15" s="1"/>
      </tp>
      <tp>
        <v>100</v>
        <stp/>
        <stp>##V3_BDPV12</stp>
        <stp>EI651430 Corp</stp>
        <stp>FLT_SPREAD</stp>
        <stp>[CCTspreadsheet.xlsm]Sheet1!R10C3</stp>
        <tr r="C10" s="1"/>
      </tp>
      <tp t="s">
        <v>#N/A Requesting Data...</v>
        <stp/>
        <stp>##V3_BDPV12</stp>
        <stp>EH326554@MTS Corp</stp>
        <stp>Z_SPRD_MID</stp>
        <stp>[CCTspreadsheet.xlsm]Sheet1!R46C6</stp>
        <stp>WORKOUT_PX_BID=100.000</stp>
        <stp>PX_MID=111.9125</stp>
        <stp>ASW_SWAP_PAR_AMOUNT=1000000.00</stp>
        <tr r="F46" s="1"/>
      </tp>
      <tp>
        <v>0.74900000000000011</v>
        <stp/>
        <stp>##V3_BDPV12</stp>
        <stp>UV993359 Corp</stp>
        <stp>CPN</stp>
        <stp>[CCTspreadsheet.xlsm]Sheet1!R15C4</stp>
        <tr r="D15" s="1"/>
      </tp>
      <tp>
        <v>34.990790748046386</v>
        <stp/>
        <stp>##V3_BDPV12</stp>
        <stp>EK147627 Corp</stp>
        <stp>Z_SPRD_MID</stp>
        <stp>[CCTspreadsheet.xlsm]Sheet1!R12C8</stp>
        <stp>PX_ASK</stp>
        <stp>103.5175</stp>
        <tr r="H12" s="1"/>
      </tp>
      <tp>
        <v>19.472037212891756</v>
        <stp/>
        <stp>##V3_BDPV12</stp>
        <stp>EI651430 Corp</stp>
        <stp>Z_SPRD_MID</stp>
        <stp>[CCTspreadsheet.xlsm]Sheet1!R10C8</stp>
        <stp>PX_ASK</stp>
        <stp>102.0575</stp>
        <tr r="H10" s="1"/>
      </tp>
    </main>
    <main first="bloomberg.rtd">
      <tp t="s">
        <v>3/1/2017</v>
        <stp/>
        <stp>##V3_BDPV12</stp>
        <stp>EI155945 Corp</stp>
        <stp>Maturity</stp>
        <stp>[CCTspreadsheet.xlsm]Sheet1!R7C2</stp>
        <tr r="B7" s="1"/>
      </tp>
      <tp t="s">
        <v>12/15/2015</v>
        <stp/>
        <stp>##V3_BDPV12</stp>
        <stp>EI306659 Corp</stp>
        <stp>Maturity</stp>
        <stp>[CCTspreadsheet.xlsm]Sheet1!R5C2</stp>
        <tr r="B5" s="1"/>
      </tp>
      <tp t="s">
        <v>7/1/2016</v>
        <stp/>
        <stp>##V3_BDPV12</stp>
        <stp>EH916838 Corp</stp>
        <stp>Maturity</stp>
        <stp>[CCTspreadsheet.xlsm]Sheet1!R6C2</stp>
        <tr r="B6" s="1"/>
      </tp>
      <tp t="s">
        <v>6/15/2017</v>
        <stp/>
        <stp>##V3_BDPV12</stp>
        <stp>EJ109292 Corp</stp>
        <stp>Maturity</stp>
        <stp>[CCTspreadsheet.xlsm]Sheet1!R8C2</stp>
        <tr r="B8" s="1"/>
      </tp>
      <tp>
        <v>23.874807356603863</v>
        <stp/>
        <stp>##V3_BDPV12</stp>
        <stp>EJ671485 Corp</stp>
        <stp>Z_SPRD_MID</stp>
        <stp>[CCTspreadsheet.xlsm]Sheet1!R11C8</stp>
        <stp>PX_ASK</stp>
        <stp>104.845</stp>
        <tr r="H11" s="1"/>
      </tp>
      <tp t="s">
        <v>10/15/2017</v>
        <stp/>
        <stp>##V3_BDPV12</stp>
        <stp>EI444410 Corp</stp>
        <stp>Maturity</stp>
        <stp>[CCTspreadsheet.xlsm]Sheet1!R9C2</stp>
        <tr r="B9" s="1"/>
      </tp>
      <tp>
        <v>57.696562566883159</v>
        <stp/>
        <stp>##V3_BDPV12</stp>
        <stp>EK828355 Corp</stp>
        <stp>Z_SPRD_MID</stp>
        <stp>[CCTspreadsheet.xlsm]Sheet1!R14C8</stp>
        <stp>PX_ASK</stp>
        <stp>99.842500000000001</stp>
        <tr r="H14" s="1"/>
      </tp>
      <tp t="s">
        <v>5/15/2018</v>
        <stp/>
        <stp>##V3_BDPV12</stp>
        <stp>EK849938 Corp</stp>
        <stp>Maturity</stp>
        <stp>[CCTspreadsheet.xlsm]Sheet1!R45C2</stp>
        <tr r="B45" s="1"/>
      </tp>
      <tp t="s">
        <v>4/15/2016</v>
        <stp/>
        <stp>##V3_BDPV12</stp>
        <stp>EI638977 Corp</stp>
        <stp>Maturity</stp>
        <stp>[CCTspreadsheet.xlsm]Sheet1!R37C2</stp>
        <tr r="B37" s="1"/>
      </tp>
      <tp t="s">
        <v>5/1/2023</v>
        <stp/>
        <stp>##V3_BDPV12</stp>
        <stp>EJ568862 Corp</stp>
        <stp>Maturity</stp>
        <stp>[CCTspreadsheet.xlsm]Sheet1!R55C2</stp>
        <tr r="B55" s="1"/>
      </tp>
      <tp t="s">
        <v>2/1/2017</v>
        <stp/>
        <stp>##V3_BDPV12</stp>
        <stp>EG064852 Corp</stp>
        <stp>Maturity</stp>
        <stp>[CCTspreadsheet.xlsm]Sheet1!R39C2</stp>
        <tr r="B39" s="1"/>
      </tp>
      <tp t="s">
        <v>9/1/2019</v>
        <stp/>
        <stp>##V3_BDPV12</stp>
        <stp>EH802597 Corp</stp>
        <stp>Maturity</stp>
        <stp>[CCTspreadsheet.xlsm]Sheet1!R48C2</stp>
        <tr r="B48" s="1"/>
      </tp>
      <tp t="s">
        <v>5/1/2017</v>
        <stp/>
        <stp>##V3_BDPV12</stp>
        <stp>EJ000941 Corp</stp>
        <stp>Maturity</stp>
        <stp>[CCTspreadsheet.xlsm]Sheet1!R40C2</stp>
        <tr r="B40" s="1"/>
      </tp>
      <tp t="s">
        <v>8/1/2017</v>
        <stp/>
        <stp>##V3_BDPV12</stp>
        <stp>EC520268 Corp</stp>
        <stp>Maturity</stp>
        <stp>[CCTspreadsheet.xlsm]Sheet1!R42C2</stp>
        <tr r="B42" s="1"/>
      </tp>
      <tp t="s">
        <v>2/1/2018</v>
        <stp/>
        <stp>##V3_BDPV12</stp>
        <stp>EG766047 Corp</stp>
        <stp>Maturity</stp>
        <stp>[CCTspreadsheet.xlsm]Sheet1!R44C2</stp>
        <tr r="B44" s="1"/>
      </tp>
      <tp t="s">
        <v>9/1/2020</v>
        <stp/>
        <stp>##V3_BDPV12</stp>
        <stp>EI201806 Corp</stp>
        <stp>Maturity</stp>
        <stp>[CCTspreadsheet.xlsm]Sheet1!R50C2</stp>
        <tr r="B50" s="1"/>
      </tp>
      <tp t="s">
        <v>11/1/2017</v>
        <stp/>
        <stp>##V3_BDPV12</stp>
        <stp>EJ421905 Corp</stp>
        <stp>Maturity</stp>
        <stp>[CCTspreadsheet.xlsm]Sheet1!R43C2</stp>
        <tr r="B43" s="1"/>
      </tp>
      <tp t="s">
        <v>12/1/2019</v>
        <stp/>
        <stp>##V3_BDPV12</stp>
        <stp>EK624270 Corp</stp>
        <stp>Maturity</stp>
        <stp>[CCTspreadsheet.xlsm]Sheet1!R49C2</stp>
        <tr r="B49" s="1"/>
      </tp>
      <tp t="s">
        <v>11/1/2018</v>
        <stp/>
        <stp>##V3_BDPV12</stp>
        <stp>EJ671485 Corp</stp>
        <stp>Maturity</stp>
        <stp>[CCTspreadsheet.xlsm]Sheet1!R11C2</stp>
        <tr r="B11" s="1"/>
      </tp>
      <tp t="s">
        <v>6/1/2017</v>
        <stp/>
        <stp>##V3_BDPV12</stp>
        <stp>EJ216483 Corp</stp>
        <stp>Maturity</stp>
        <stp>[CCTspreadsheet.xlsm]Sheet1!R41C2</stp>
        <tr r="B41" s="1"/>
      </tp>
      <tp t="s">
        <v>8/1/2016</v>
        <stp/>
        <stp>##V3_BDPV12</stp>
        <stp>EF295148 Corp</stp>
        <stp>Maturity</stp>
        <stp>[CCTspreadsheet.xlsm]Sheet1!R38C2</stp>
        <tr r="B38" s="1"/>
      </tp>
      <tp t="s">
        <v>11/15/2019</v>
        <stp/>
        <stp>##V3_BDPV12</stp>
        <stp>EK147627 Corp</stp>
        <stp>Maturity</stp>
        <stp>[CCTspreadsheet.xlsm]Sheet1!R12C2</stp>
        <tr r="B12" s="1"/>
      </tp>
      <tp t="s">
        <v>3/1/2021</v>
        <stp/>
        <stp>##V3_BDPV12</stp>
        <stp>EI385633 Corp</stp>
        <stp>Maturity</stp>
        <stp>[CCTspreadsheet.xlsm]Sheet1!R51C2</stp>
        <tr r="B51" s="1"/>
      </tp>
      <tp t="s">
        <v>4/15/2018</v>
        <stp/>
        <stp>##V3_BDPV12</stp>
        <stp>EI651430 Corp</stp>
        <stp>Maturity</stp>
        <stp>[CCTspreadsheet.xlsm]Sheet1!R10C2</stp>
        <tr r="B10" s="1"/>
      </tp>
      <tp t="s">
        <v>12/1/2018</v>
        <stp/>
        <stp>##V3_BDPV12</stp>
        <stp>EJ807144 Corp</stp>
        <stp>Maturity</stp>
        <stp>[CCTspreadsheet.xlsm]Sheet1!R47C2</stp>
        <tr r="B47" s="1"/>
      </tp>
      <tp t="s">
        <v>6/15/2022</v>
        <stp/>
        <stp>##V3_BDPV12</stp>
        <stp>EK828355 Corp</stp>
        <stp>Maturity</stp>
        <stp>[CCTspreadsheet.xlsm]Sheet1!R14C2</stp>
        <tr r="B14" s="1"/>
      </tp>
      <tp t="s">
        <v>8/1/2018</v>
        <stp/>
        <stp>##V3_BDPV12</stp>
        <stp>EH326554 Corp</stp>
        <stp>Maturity</stp>
        <stp>[CCTspreadsheet.xlsm]Sheet1!R46C2</stp>
        <tr r="B46" s="1"/>
      </tp>
      <tp t="s">
        <v>12/1/2015</v>
        <stp/>
        <stp>##V3_BDPV12</stp>
        <stp>EJ478633 Corp</stp>
        <stp>Maturity</stp>
        <stp>[CCTspreadsheet.xlsm]Sheet1!R36C2</stp>
        <tr r="B36" s="1"/>
      </tp>
      <tp t="s">
        <v>9/1/2022</v>
        <stp/>
        <stp>##V3_BDPV12</stp>
        <stp>EJ042056 Corp</stp>
        <stp>Maturity</stp>
        <stp>[CCTspreadsheet.xlsm]Sheet1!R53C2</stp>
        <tr r="B53" s="1"/>
      </tp>
      <tp t="s">
        <v>3/1/2022</v>
        <stp/>
        <stp>##V3_BDPV12</stp>
        <stp>EI793398 Corp</stp>
        <stp>Maturity</stp>
        <stp>[CCTspreadsheet.xlsm]Sheet1!R52C2</stp>
        <tr r="B52" s="1"/>
      </tp>
      <tp t="s">
        <v>11/1/2022</v>
        <stp/>
        <stp>##V3_BDPV12</stp>
        <stp>EJ341690 Corp</stp>
        <stp>Maturity</stp>
        <stp>[CCTspreadsheet.xlsm]Sheet1!R54C2</stp>
        <tr r="B54" s="1"/>
      </tp>
      <tp t="s">
        <v>12/15/2020</v>
        <stp/>
        <stp>##V3_BDPV12</stp>
        <stp>EK515042 Corp</stp>
        <stp>Maturity</stp>
        <stp>[CCTspreadsheet.xlsm]Sheet1!R13C2</stp>
        <tr r="B13" s="1"/>
      </tp>
      <tp t="s">
        <v>#N/A Requesting Data...</v>
        <stp/>
        <stp>##V3_BDPV12</stp>
        <stp>EI201806@MTS Corp</stp>
        <stp>Z_SPRD_MID</stp>
        <stp>[CCTspreadsheet.xlsm]Sheet1!R50C6</stp>
        <stp>WORKOUT_PX_BID=100.000</stp>
        <stp>PX_MID=115.56</stp>
        <stp>ASW_SWAP_PAR_AMOUNT=1000000.00</stp>
        <tr r="F50" s="1"/>
      </tp>
      <tp>
        <v>73.349161014898797</v>
        <stp/>
        <stp>##V3_BDPV12</stp>
        <stp>EJ568862@MTS Corp</stp>
        <stp>Z_SPRD_MID</stp>
        <stp>[CCTspreadsheet.xlsm]Sheet1!R55C6</stp>
        <stp>WORKOUT_PX_BID=100.000</stp>
        <stp>PX_MID=122.22</stp>
        <stp>ASW_SWAP_PAR_AMOUNT=1000000.00</stp>
        <tr r="F55" s="1"/>
      </tp>
      <tp t="s">
        <v>#N/A Requesting Data...</v>
        <stp/>
        <stp>##V3_BDPV12</stp>
        <stp>EJ042056@MTS Corp</stp>
        <stp>Z_SPRD_MID</stp>
        <stp>[CCTspreadsheet.xlsm]Sheet1!R53C6</stp>
        <stp>WORKOUT_PX_BID=100.000</stp>
        <stp>PX_MID=127.94</stp>
        <stp>ASW_SWAP_PAR_AMOUNT=1000000.00</stp>
        <tr r="F53" s="1"/>
      </tp>
      <tp>
        <v>3.9630824085601821</v>
        <stp/>
        <stp>##V3_BDPV12</stp>
        <stp>EJ000941@MTS Corp</stp>
        <stp>Z_SPRD_MID</stp>
        <stp>[CCTspreadsheet.xlsm]Sheet1!R40C6</stp>
        <stp>WORKOUT_PX_BID=100.000</stp>
        <stp>PX_MID=107.31</stp>
        <stp>ASW_SWAP_PAR_AMOUNT=1000000.00</stp>
        <tr r="F40" s="1"/>
      </tp>
      <tp t="s">
        <v>12/15/2022</v>
        <stp/>
        <stp>##V3_BDPV12</stp>
        <stp>UV993359 Corp</stp>
        <stp>Maturity</stp>
        <stp>[CCTspreadsheet.xlsm]Sheet1!R15C2</stp>
        <tr r="B15" s="1"/>
      </tp>
      <tp>
        <v>30.218063404203605</v>
        <stp/>
        <stp>##V3_BDPV12</stp>
        <stp>EH802597@MTS Corp</stp>
        <stp>Z_SPRD_MID</stp>
        <stp>[CCTspreadsheet.xlsm]Sheet1!R48C6</stp>
        <stp>WORKOUT_PX_BID=100.000</stp>
        <stp>PX_MID=114.38</stp>
        <stp>ASW_SWAP_PAR_AMOUNT=1000000.00</stp>
        <tr r="F48" s="1"/>
      </tp>
      <tp>
        <v>100.22499999999999</v>
        <stp/>
        <stp>##V3_BDPV12</stp>
        <stp>EH916838 Corp</stp>
        <stp>BID</stp>
        <stp>[CCTspreadsheet.xlsm]Sheet1!R6C5</stp>
        <tr r="E6" s="1"/>
      </tp>
      <tp>
        <v>3.5103545371413269</v>
        <stp/>
        <stp>##V3_BDPV12</stp>
        <stp>EI306659 Corp</stp>
        <stp>Z_SPRD_MID</stp>
        <stp>[CCTspreadsheet.xlsm]Sheet1!R5C8</stp>
        <stp>PX_ASK</stp>
        <stp>100.1675</stp>
        <tr r="H5" s="1"/>
      </tp>
      <tp>
        <v>101.39</v>
        <stp/>
        <stp>##V3_BDPV12</stp>
        <stp>EI444410 Corp</stp>
        <stp>BID</stp>
        <stp>[CCTspreadsheet.xlsm]Sheet1!R9C5</stp>
        <tr r="E9" s="1"/>
      </tp>
      <tp>
        <v>7.0733787384268059</v>
        <stp/>
        <stp>##V3_BDPV12</stp>
        <stp>EI155945 Corp</stp>
        <stp>Z_SPRD_MID</stp>
        <stp>[CCTspreadsheet.xlsm]Sheet1!R7C8</stp>
        <stp>PX_ASK</stp>
        <stp>100.3475</stp>
        <tr r="H7" s="1"/>
      </tp>
      <tp>
        <v>100.16500000000001</v>
        <stp/>
        <stp>##V3_BDPV12</stp>
        <stp>EI306659 Corp</stp>
        <stp>BID</stp>
        <stp>[CCTspreadsheet.xlsm]Sheet1!R5C5</stp>
        <tr r="E5" s="1"/>
      </tp>
      <tp>
        <v>104.07</v>
        <stp/>
        <stp>##V3_BDPV12</stp>
        <stp>EJ109292 Corp</stp>
        <stp>BID</stp>
        <stp>[CCTspreadsheet.xlsm]Sheet1!R8C5</stp>
        <tr r="E8" s="1"/>
      </tp>
      <tp t="s">
        <v>8/1/2023</v>
        <stp/>
        <stp>##V3_BDPV12</stp>
        <stp>EH3056924 Corp</stp>
        <stp>Maturity</stp>
        <stp>[CCTspreadsheet.xlsm]Sheet1!R56C2</stp>
        <tr r="B56" s="1"/>
      </tp>
      <tp>
        <v>100.34</v>
        <stp/>
        <stp>##V3_BDPV12</stp>
        <stp>EI155945 Corp</stp>
        <stp>BID</stp>
        <stp>[CCTspreadsheet.xlsm]Sheet1!R7C5</stp>
        <tr r="E7" s="1"/>
      </tp>
      <tp>
        <v>3.5018907378317983</v>
        <stp/>
        <stp>##V3_BDPV12</stp>
        <stp>EH916838 Corp</stp>
        <stp>Z_SPRD_MID</stp>
        <stp>[CCTspreadsheet.xlsm]Sheet1!R6C8</stp>
        <stp>PX_ASK</stp>
        <stp>100.23249999999999</stp>
        <tr r="H6" s="1"/>
      </tp>
      <tp>
        <v>30</v>
        <stp/>
        <stp>##V3_BDPV12</stp>
        <stp>EI155945 Corp</stp>
        <stp>FLT_SPREAD</stp>
        <stp>[CCTspreadsheet.xlsm]Sheet1!R7C3</stp>
        <tr r="C7" s="1"/>
      </tp>
      <tp>
        <v>80</v>
        <stp/>
        <stp>##V3_BDPV12</stp>
        <stp>EI306659 Corp</stp>
        <stp>FLT_SPREAD</stp>
        <stp>[CCTspreadsheet.xlsm]Sheet1!R5C3</stp>
        <tr r="C5" s="1"/>
      </tp>
      <tp>
        <v>0.30000000000000004</v>
        <stp/>
        <stp>##V3_BDPV12</stp>
        <stp>EI155945 Corp</stp>
        <stp>CPN</stp>
        <stp>[CCTspreadsheet.xlsm]Sheet1!R7C4</stp>
        <tr r="D7" s="1"/>
      </tp>
      <tp>
        <v>250</v>
        <stp/>
        <stp>##V3_BDPV12</stp>
        <stp>EJ109292 Corp</stp>
        <stp>FLT_SPREAD</stp>
        <stp>[CCTspreadsheet.xlsm]Sheet1!R8C3</stp>
        <tr r="C8" s="1"/>
      </tp>
      <tp>
        <v>100.355</v>
        <stp/>
        <stp>##V3_BDPV12</stp>
        <stp>EI155945 Corp</stp>
        <stp>ASK</stp>
        <stp>[CCTspreadsheet.xlsm]Sheet1!R7C7</stp>
        <tr r="G7" s="1"/>
      </tp>
      <tp>
        <v>11.904027586608466</v>
        <stp/>
        <stp>##V3_BDPV12</stp>
        <stp>EI444410 Corp</stp>
        <stp>Z_SPRD_MID</stp>
        <stp>[CCTspreadsheet.xlsm]Sheet1!R9C8</stp>
        <stp>PX_ASK</stp>
        <stp>101.40000000000001</stp>
        <tr r="H9" s="1"/>
      </tp>
      <tp>
        <v>101.41</v>
        <stp/>
        <stp>##V3_BDPV12</stp>
        <stp>EI444410 Corp</stp>
        <stp>ASK</stp>
        <stp>[CCTspreadsheet.xlsm]Sheet1!R9C7</stp>
        <tr r="G9" s="1"/>
      </tp>
      <tp>
        <v>17.819971932857889</v>
        <stp/>
        <stp>##V3_BDPV12</stp>
        <stp>EJ807144@MTS Corp</stp>
        <stp>Z_SPRD_MID</stp>
        <stp>[CCTspreadsheet.xlsm]Sheet1!R47C6</stp>
        <stp>WORKOUT_PX_BID=100.000</stp>
        <stp>PX_MID=109.965</stp>
        <stp>ASW_SWAP_PAR_AMOUNT=1000000.00</stp>
        <tr r="F47" s="1"/>
      </tp>
      <tp>
        <v>100.17</v>
        <stp/>
        <stp>##V3_BDPV12</stp>
        <stp>EI306659 Corp</stp>
        <stp>ASK</stp>
        <stp>[CCTspreadsheet.xlsm]Sheet1!R5C7</stp>
        <tr r="G5" s="1"/>
      </tp>
      <tp>
        <v>0.36000000000000004</v>
        <stp/>
        <stp>##V3_BDPV12</stp>
        <stp>EH916838 Corp</stp>
        <stp>CPN</stp>
        <stp>[CCTspreadsheet.xlsm]Sheet1!R6C4</stp>
        <tr r="D6" s="1"/>
      </tp>
      <tp>
        <v>100.24</v>
        <stp/>
        <stp>##V3_BDPV12</stp>
        <stp>EH916838 Corp</stp>
        <stp>ASK</stp>
        <stp>[CCTspreadsheet.xlsm]Sheet1!R6C7</stp>
        <tr r="G6" s="1"/>
      </tp>
      <tp>
        <v>0.84899999999999998</v>
        <stp/>
        <stp>##V3_BDPV12</stp>
        <stp>EI306659 Corp</stp>
        <stp>CPN</stp>
        <stp>[CCTspreadsheet.xlsm]Sheet1!R5C4</stp>
        <tr r="D5" s="1"/>
      </tp>
      <tp>
        <v>50.346295932836867</v>
        <stp/>
        <stp>##V3_BDPV12</stp>
        <stp>EI385633@MTS Corp</stp>
        <stp>Z_SPRD_MID</stp>
        <stp>[CCTspreadsheet.xlsm]Sheet1!R51C6</stp>
        <stp>WORKOUT_PX_BID=100.000</stp>
        <stp>PX_MID=114.985</stp>
        <stp>ASW_SWAP_PAR_AMOUNT=1000000.00</stp>
        <tr r="F51" s="1"/>
      </tp>
      <tp>
        <v>0.878</v>
        <stp/>
        <stp>##V3_BDPV12</stp>
        <stp>EI444410 Corp</stp>
        <stp>CPN</stp>
        <stp>[CCTspreadsheet.xlsm]Sheet1!R9C4</stp>
        <tr r="D9" s="1"/>
      </tp>
      <tp>
        <v>2.5489999999999999</v>
        <stp/>
        <stp>##V3_BDPV12</stp>
        <stp>EJ109292 Corp</stp>
        <stp>CPN</stp>
        <stp>[CCTspreadsheet.xlsm]Sheet1!R8C4</stp>
        <tr r="D8" s="1"/>
      </tp>
      <tp t="s">
        <v>#N/A Requesting Data...</v>
        <stp/>
        <stp>##V3_BDPV12</stp>
        <stp>EI793398@MTS Corp</stp>
        <stp>Z_SPRD_MID</stp>
        <stp>[CCTspreadsheet.xlsm]Sheet1!R52C6</stp>
        <stp>WORKOUT_PX_BID=100.000</stp>
        <stp>PX_MID=123.865</stp>
        <stp>ASW_SWAP_PAR_AMOUNT=1000000.00</stp>
        <tr r="F52" s="1"/>
      </tp>
      <tp>
        <v>3.790989967367882</v>
        <stp/>
        <stp>##V3_BDPV12</stp>
        <stp>EC520268@MTS Corp</stp>
        <stp>Z_SPRD_MID</stp>
        <stp>[CCTspreadsheet.xlsm]Sheet1!R42C6</stp>
        <stp>WORKOUT_PX_BID=100.000</stp>
        <stp>PX_MID=109.365</stp>
        <stp>ASW_SWAP_PAR_AMOUNT=1000000.00</stp>
        <tr r="F42" s="1"/>
      </tp>
      <tp>
        <v>30</v>
        <stp/>
        <stp>##V3_BDPV12</stp>
        <stp>EH916838 Corp</stp>
        <stp>FLT_SPREAD</stp>
        <stp>[CCTspreadsheet.xlsm]Sheet1!R6C3</stp>
        <tr r="C6" s="1"/>
      </tp>
      <tp>
        <v>80</v>
        <stp/>
        <stp>##V3_BDPV12</stp>
        <stp>EI444410 Corp</stp>
        <stp>FLT_SPREAD</stp>
        <stp>[CCTspreadsheet.xlsm]Sheet1!R9C3</stp>
        <tr r="C9" s="1"/>
      </tp>
      <tp>
        <v>12.629054648793277</v>
        <stp/>
        <stp>##V3_BDPV12</stp>
        <stp>EJ109292 Corp</stp>
        <stp>Z_SPRD_MID</stp>
        <stp>[CCTspreadsheet.xlsm]Sheet1!R8C8</stp>
        <stp>PX_ASK</stp>
        <stp>104.07749999999999</stp>
        <tr r="H8" s="1"/>
      </tp>
      <tp>
        <v>4.7877242724534455</v>
        <stp/>
        <stp>##V3_BDPV12</stp>
        <stp>EJ421905@MTS Corp</stp>
        <stp>Z_SPRD_MID</stp>
        <stp>[CCTspreadsheet.xlsm]Sheet1!R43C6</stp>
        <stp>WORKOUT_PX_BID=100.000</stp>
        <stp>PX_MID=106.995</stp>
        <stp>ASW_SWAP_PAR_AMOUNT=1000000.00</stp>
        <tr r="F43" s="1"/>
      </tp>
      <tp>
        <v>104.08499999999999</v>
        <stp/>
        <stp>##V3_BDPV12</stp>
        <stp>EJ109292 Corp</stp>
        <stp>ASK</stp>
        <stp>[CCTspreadsheet.xlsm]Sheet1!R8C7</stp>
        <tr r="G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volatileDependencies" Target="volatileDependenci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18</xdr:col>
      <xdr:colOff>9525</xdr:colOff>
      <xdr:row>10</xdr:row>
      <xdr:rowOff>9525</xdr:rowOff>
    </xdr:to>
    <xdr:pic>
      <xdr:nvPicPr>
        <xdr:cNvPr id="2" name="imgTa_131015795700737418" descr="http://its.tradelab.fr/?type=imp&amp;cnt=0&amp;location=http%3A%2F%2Fwww.get-digital-help.com%2F2009%2F05%2F18%2Ffinding-the-nearest-date-in-a-range-of-dates-using-excel-formula%2F&amp;ua=Mozilla%2F5.0%20(compatible%3B%20MSIE%2010.0%3B%20Windows%20NT%206.1%3B%20WOW64%3B%20Trident%2F6.0%3B%20SLCC2%3B%20.NET%20CLR%202.0.50727%3B%20.NET%20CLR%203.5.30729%3B%20.NET%20CLR%203.0.30729%3B%20.NET4.0C%3B%20.NET4.0E%3B%20InfoPath.3)&amp;it=1443441396&amp;advid=454706&amp;lineid=2218374&amp;cpgid=10194663&amp;aucid=131015795700737418&amp;plid=5604221&amp;creid=33229731&amp;ecp=1.511&amp;rpce=0&amp;sfq=-1&amp;age=0&amp;gnd=u&amp;pce=0.279861&amp;rurl=http%3A%2F%2Fwww.get-digital-help.com%2F2009%2F05%2F18%2Ffinding-the-nearest-date-in-a-range-of-dates-using-excel-formula%2F&amp;bid=0.279861&amp;inv=0&amp;uuid2=2684686131351652484&amp;uip=193.227.215.0&amp;zip=20121&amp;afq=0&amp;rmk=0&amp;seg=&amp;city=Milan&amp;state=IT%3A09&amp;seller=3264&amp;site=1532066&amp;pub=650195&amp;sz=728x9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61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10</xdr:row>
      <xdr:rowOff>0</xdr:rowOff>
    </xdr:from>
    <xdr:to>
      <xdr:col>18</xdr:col>
      <xdr:colOff>9525</xdr:colOff>
      <xdr:row>10</xdr:row>
      <xdr:rowOff>9525</xdr:rowOff>
    </xdr:to>
    <xdr:pic>
      <xdr:nvPicPr>
        <xdr:cNvPr id="3" name="Picture 2" descr="http://ib.adnxs.com/seg?add=2491894:84&amp;t=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515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10</xdr:row>
      <xdr:rowOff>0</xdr:rowOff>
    </xdr:from>
    <xdr:to>
      <xdr:col>18</xdr:col>
      <xdr:colOff>9525</xdr:colOff>
      <xdr:row>10</xdr:row>
      <xdr:rowOff>9525</xdr:rowOff>
    </xdr:to>
    <xdr:pic>
      <xdr:nvPicPr>
        <xdr:cNvPr id="4" name="imgTa_6627801107065141420" descr="http://its.tradelab.fr/?type=imp&amp;cnt=0&amp;location=http%3A%2F%2Fwww.get-digital-help.com%2F2009%2F05%2F18%2Ffinding-the-nearest-date-in-a-range-of-dates-using-excel-formula%2F&amp;ua=Mozilla%2F5.0%20(compatible%3B%20MSIE%2010.0%3B%20Windows%20NT%206.1%3B%20WOW64%3B%20Trident%2F6.0%3B%20SLCC2%3B%20.NET%20CLR%202.0.50727%3B%20.NET%20CLR%203.5.30729%3B%20.NET%20CLR%203.0.30729%3B%20.NET4.0C%3B%20.NET4.0E%3B%20InfoPath.3)&amp;it=1443441397&amp;advid=454706&amp;lineid=1740515&amp;cpgid=10233251&amp;aucid=6627801107065141420&amp;plid=5604187&amp;creid=33229020&amp;ecp=1.511&amp;rpce=0&amp;sfq=-1&amp;age=0&amp;gnd=u&amp;pce=0.279861&amp;rurl=http%3A%2F%2Fwww.get-digital-help.com%2F2009%2F05%2F18%2Ffinding-the-nearest-date-in-a-range-of-dates-using-excel-formula%2F&amp;bid=0.279861&amp;inv=0&amp;uuid2=2684686131351652484&amp;uip=193.227.215.0&amp;zip=20121&amp;afq=1&amp;rmk=0&amp;seg=&amp;city=Milan&amp;state=IT%3A09&amp;seller=3264&amp;site=1532066&amp;pub=650195&amp;sz=160x60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10</xdr:row>
      <xdr:rowOff>0</xdr:rowOff>
    </xdr:from>
    <xdr:to>
      <xdr:col>18</xdr:col>
      <xdr:colOff>9525</xdr:colOff>
      <xdr:row>10</xdr:row>
      <xdr:rowOff>9525</xdr:rowOff>
    </xdr:to>
    <xdr:pic>
      <xdr:nvPicPr>
        <xdr:cNvPr id="5" name="Picture 4" descr="http://ib.adnxs.com/seg?add=2491894:84&amp;t=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10</xdr:row>
      <xdr:rowOff>0</xdr:rowOff>
    </xdr:from>
    <xdr:to>
      <xdr:col>18</xdr:col>
      <xdr:colOff>9525</xdr:colOff>
      <xdr:row>10</xdr:row>
      <xdr:rowOff>9525</xdr:rowOff>
    </xdr:to>
    <xdr:pic>
      <xdr:nvPicPr>
        <xdr:cNvPr id="6" name="Picture 5" descr="http://ib.adnxs.com/seg?add=:NaN&amp;t=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3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AppData/Local/Microsoft/Windows/Temporary%20Internet%20Files/Content.Outlook/X2W85T8K/Andrea%20Roll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 Roll"/>
      <sheetName val="CCTs"/>
      <sheetName val="Core Roll"/>
      <sheetName val="Sheet1"/>
      <sheetName val="Curve"/>
      <sheetName val="Forward Matrix"/>
      <sheetName val="CurveID"/>
      <sheetName val="Dati"/>
      <sheetName val="Single Point Forward"/>
    </sheetNames>
    <sheetDataSet>
      <sheetData sheetId="0">
        <row r="1">
          <cell r="A1">
            <v>42283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6"/>
  <sheetViews>
    <sheetView tabSelected="1"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4" width="9.140625" style="3"/>
    <col min="5" max="5" width="8.28515625" style="3" customWidth="1"/>
    <col min="6" max="6" width="14.140625" style="3" customWidth="1"/>
    <col min="7" max="7" width="8.28515625" style="3" customWidth="1"/>
    <col min="8" max="8" width="10.42578125" style="3" customWidth="1"/>
    <col min="9" max="9" width="11.7109375" style="3" customWidth="1"/>
    <col min="10" max="10" width="7.5703125" style="3" customWidth="1"/>
    <col min="11" max="18" width="0" style="3" hidden="1" customWidth="1"/>
    <col min="19" max="16384" width="9.140625" style="3"/>
  </cols>
  <sheetData>
    <row r="1" spans="2:24" x14ac:dyDescent="0.25">
      <c r="B1" s="1">
        <f>Today</f>
        <v>42283</v>
      </c>
      <c r="C1" s="2"/>
      <c r="D1" s="2"/>
      <c r="E1" s="2"/>
      <c r="F1" s="2"/>
      <c r="G1" s="2"/>
    </row>
    <row r="2" spans="2:24" x14ac:dyDescent="0.25">
      <c r="C2" s="2"/>
      <c r="D2" s="2"/>
      <c r="E2" s="2"/>
      <c r="F2" s="2"/>
      <c r="G2" s="2"/>
    </row>
    <row r="3" spans="2:24" x14ac:dyDescent="0.25">
      <c r="B3" s="20"/>
      <c r="C3" s="21"/>
      <c r="D3" s="21"/>
      <c r="E3" s="21"/>
      <c r="F3" s="21"/>
      <c r="G3" s="21"/>
      <c r="H3" s="22"/>
      <c r="I3" s="22" t="s">
        <v>0</v>
      </c>
      <c r="J3" s="16" t="s">
        <v>1</v>
      </c>
      <c r="K3" s="4"/>
      <c r="L3" s="4"/>
      <c r="M3" s="4"/>
      <c r="N3" s="4"/>
      <c r="O3" s="4"/>
      <c r="P3" s="4"/>
    </row>
    <row r="4" spans="2:24" x14ac:dyDescent="0.25">
      <c r="B4" s="23" t="s">
        <v>2</v>
      </c>
      <c r="C4" s="24" t="s">
        <v>3</v>
      </c>
      <c r="D4" s="24" t="s">
        <v>4</v>
      </c>
      <c r="E4" s="24" t="s">
        <v>5</v>
      </c>
      <c r="F4" s="24" t="s">
        <v>6</v>
      </c>
      <c r="G4" s="24" t="s">
        <v>7</v>
      </c>
      <c r="H4" s="24" t="s">
        <v>8</v>
      </c>
      <c r="I4" s="25"/>
      <c r="J4" s="17"/>
      <c r="K4" s="4"/>
      <c r="L4" s="4"/>
      <c r="M4" s="4"/>
      <c r="N4" s="4"/>
      <c r="O4" s="4"/>
      <c r="P4" s="4"/>
      <c r="X4" s="13"/>
    </row>
    <row r="5" spans="2:24" x14ac:dyDescent="0.25">
      <c r="B5" s="26">
        <f>DATEVALUE(_xll.BDP($Q5,B$4))</f>
        <v>42353</v>
      </c>
      <c r="C5" s="27">
        <f>_xll.BDP(Q5,"FLT_SPREAD")</f>
        <v>80</v>
      </c>
      <c r="D5" s="28">
        <f>_xll.BDP(Q5,D$4)</f>
        <v>0.84899999999999998</v>
      </c>
      <c r="E5" s="29">
        <f>_xll.BDP($Q5,E$4)</f>
        <v>100.16500000000001</v>
      </c>
      <c r="F5" s="27">
        <f>(E5+G5)/2</f>
        <v>100.1675</v>
      </c>
      <c r="G5" s="29">
        <f>_xll.BDP($Q5,G$4)</f>
        <v>100.17</v>
      </c>
      <c r="H5" s="7">
        <f>_xll.BDP(Q5,H$4, "PX_ASK",F5)</f>
        <v>3.5103545371413269</v>
      </c>
      <c r="I5" s="8">
        <f t="shared" ref="I5:I11" si="0">L5+(N5-L5)*(B5-K5)/(M5-K5)</f>
        <v>1.7373994331383504</v>
      </c>
      <c r="J5" s="18">
        <f t="shared" ref="J5:J8" si="1">IFERROR((H5-I5),"")</f>
        <v>1.7729551040029765</v>
      </c>
      <c r="K5" s="9">
        <f t="shared" ref="K5:K15" si="2">VLOOKUP(O5,$A$36:$F$56,2)</f>
        <v>42339</v>
      </c>
      <c r="L5" s="10">
        <f t="shared" ref="L5:L15" si="3">VLOOKUP(O5,$A$36:$F$56,6)</f>
        <v>2.4380257251627704</v>
      </c>
      <c r="M5" s="9">
        <f t="shared" ref="M5:M15" si="4">VLOOKUP(P5,$A$36:$F$56,2)</f>
        <v>42475</v>
      </c>
      <c r="N5" s="10">
        <f t="shared" ref="N5:N15" si="5">VLOOKUP(P5,$A$36:$F$56,6)</f>
        <v>-4.3680582545030235</v>
      </c>
      <c r="O5" s="11">
        <f t="shared" ref="O5:O15" si="6">MATCH(B5,$B$36:$B$56,1)</f>
        <v>1</v>
      </c>
      <c r="P5" s="11">
        <f>O5+1</f>
        <v>2</v>
      </c>
      <c r="Q5" s="3" t="s">
        <v>9</v>
      </c>
      <c r="W5" s="5"/>
      <c r="X5" s="10"/>
    </row>
    <row r="6" spans="2:24" x14ac:dyDescent="0.25">
      <c r="B6" s="26">
        <f>DATEVALUE(_xll.BDP($Q6,B$4))</f>
        <v>42552</v>
      </c>
      <c r="C6" s="27">
        <f>_xll.BDP(Q6,"FLT_SPREAD")</f>
        <v>30</v>
      </c>
      <c r="D6" s="28">
        <f>_xll.BDP(Q6,D$4)</f>
        <v>0.36000000000000004</v>
      </c>
      <c r="E6" s="29">
        <f>_xll.BDP($Q6,E$4)</f>
        <v>100.22499999999999</v>
      </c>
      <c r="F6" s="27">
        <f t="shared" ref="F6:F15" si="7">(E6+G6)/2</f>
        <v>100.23249999999999</v>
      </c>
      <c r="G6" s="29">
        <f>_xll.BDP($Q6,G$4)</f>
        <v>100.24</v>
      </c>
      <c r="H6" s="7">
        <f>_xll.BDP(Q6,H$4, "PX_ASK",F6)</f>
        <v>3.5018907378317983</v>
      </c>
      <c r="I6" s="8">
        <f t="shared" si="0"/>
        <v>-6.7990058449090931</v>
      </c>
      <c r="J6" s="18">
        <f t="shared" si="1"/>
        <v>10.300896582740892</v>
      </c>
      <c r="K6" s="9">
        <f t="shared" si="2"/>
        <v>42475</v>
      </c>
      <c r="L6" s="10">
        <f t="shared" si="3"/>
        <v>-4.3680582545030235</v>
      </c>
      <c r="M6" s="9">
        <f t="shared" si="4"/>
        <v>42583</v>
      </c>
      <c r="N6" s="10">
        <f t="shared" si="5"/>
        <v>-7.7776990306569918</v>
      </c>
      <c r="O6" s="11">
        <f t="shared" si="6"/>
        <v>2</v>
      </c>
      <c r="P6" s="11">
        <f t="shared" ref="P6:P15" si="8">O6+1</f>
        <v>3</v>
      </c>
      <c r="Q6" s="3" t="s">
        <v>10</v>
      </c>
      <c r="W6" s="5"/>
      <c r="X6" s="10"/>
    </row>
    <row r="7" spans="2:24" x14ac:dyDescent="0.25">
      <c r="B7" s="26">
        <f>DATEVALUE(_xll.BDP($Q7,B$4))</f>
        <v>42795</v>
      </c>
      <c r="C7" s="27">
        <f>_xll.BDP(Q7,"FLT_SPREAD")</f>
        <v>30</v>
      </c>
      <c r="D7" s="28">
        <f>_xll.BDP(Q7,D$4)</f>
        <v>0.30000000000000004</v>
      </c>
      <c r="E7" s="29">
        <f>_xll.BDP($Q7,E$4)</f>
        <v>100.34</v>
      </c>
      <c r="F7" s="27">
        <f t="shared" si="7"/>
        <v>100.3475</v>
      </c>
      <c r="G7" s="29">
        <f>_xll.BDP($Q7,G$4)</f>
        <v>100.355</v>
      </c>
      <c r="H7" s="7">
        <f>_xll.BDP(Q7,H$4, "PX_ASK",F7)</f>
        <v>7.0733787384268059</v>
      </c>
      <c r="I7" s="8">
        <f t="shared" si="0"/>
        <v>-0.72262343705089771</v>
      </c>
      <c r="J7" s="18">
        <f t="shared" si="1"/>
        <v>7.7960021754777031</v>
      </c>
      <c r="K7" s="9">
        <f t="shared" si="2"/>
        <v>42767</v>
      </c>
      <c r="L7" s="10">
        <f t="shared" si="3"/>
        <v>-2.8734392350363116</v>
      </c>
      <c r="M7" s="9">
        <f t="shared" si="4"/>
        <v>42856</v>
      </c>
      <c r="N7" s="10">
        <f t="shared" si="5"/>
        <v>3.9630824085601821</v>
      </c>
      <c r="O7" s="11">
        <f t="shared" si="6"/>
        <v>4</v>
      </c>
      <c r="P7" s="11">
        <f t="shared" si="8"/>
        <v>5</v>
      </c>
      <c r="Q7" s="3" t="s">
        <v>11</v>
      </c>
      <c r="W7" s="5"/>
      <c r="X7" s="10"/>
    </row>
    <row r="8" spans="2:24" x14ac:dyDescent="0.25">
      <c r="B8" s="26">
        <f>DATEVALUE(_xll.BDP($Q8,B$4))</f>
        <v>42901</v>
      </c>
      <c r="C8" s="27">
        <f>_xll.BDP(Q8,"FLT_SPREAD")</f>
        <v>250</v>
      </c>
      <c r="D8" s="28">
        <f>_xll.BDP(Q8,D$4)</f>
        <v>2.5489999999999999</v>
      </c>
      <c r="E8" s="29">
        <f>_xll.BDP($Q8,E$4)</f>
        <v>104.07</v>
      </c>
      <c r="F8" s="27">
        <f t="shared" si="7"/>
        <v>104.07749999999999</v>
      </c>
      <c r="G8" s="29">
        <f>_xll.BDP($Q8,G$4)</f>
        <v>104.08499999999999</v>
      </c>
      <c r="H8" s="7">
        <f>_xll.BDP(Q8,H$4, "PX_ASK",F8)</f>
        <v>12.629054648793277</v>
      </c>
      <c r="I8" s="8" t="e">
        <f t="shared" si="0"/>
        <v>#VALUE!</v>
      </c>
      <c r="J8" s="18" t="str">
        <f t="shared" si="1"/>
        <v/>
      </c>
      <c r="K8" s="9">
        <f t="shared" si="2"/>
        <v>42887</v>
      </c>
      <c r="L8" s="10" t="str">
        <f t="shared" si="3"/>
        <v>#N/A Requesting Data...</v>
      </c>
      <c r="M8" s="9">
        <f t="shared" si="4"/>
        <v>42948</v>
      </c>
      <c r="N8" s="10">
        <f t="shared" si="5"/>
        <v>3.790989967367882</v>
      </c>
      <c r="O8" s="11">
        <f t="shared" si="6"/>
        <v>6</v>
      </c>
      <c r="P8" s="11">
        <f t="shared" si="8"/>
        <v>7</v>
      </c>
      <c r="Q8" s="3" t="s">
        <v>12</v>
      </c>
      <c r="W8" s="5"/>
      <c r="X8" s="10"/>
    </row>
    <row r="9" spans="2:24" x14ac:dyDescent="0.25">
      <c r="B9" s="26">
        <f>DATEVALUE(_xll.BDP($Q9,B$4))</f>
        <v>43023</v>
      </c>
      <c r="C9" s="27">
        <f>_xll.BDP(Q9,"FLT_SPREAD")</f>
        <v>80</v>
      </c>
      <c r="D9" s="28">
        <f>_xll.BDP(Q9,D$4)</f>
        <v>0.878</v>
      </c>
      <c r="E9" s="29">
        <f>_xll.BDP($Q9,E$4)</f>
        <v>101.39</v>
      </c>
      <c r="F9" s="27">
        <f t="shared" si="7"/>
        <v>101.4</v>
      </c>
      <c r="G9" s="29">
        <f>_xll.BDP($Q9,G$4)</f>
        <v>101.41</v>
      </c>
      <c r="H9" s="7">
        <f>_xll.BDP(Q9,H$4, "PX_ASK",F9)</f>
        <v>11.904027586608466</v>
      </c>
      <c r="I9" s="8">
        <f t="shared" si="0"/>
        <v>4.6035451073832867</v>
      </c>
      <c r="J9" s="18">
        <f>IFERROR((H9-I9),"")</f>
        <v>7.3004824792251792</v>
      </c>
      <c r="K9" s="9">
        <f t="shared" si="2"/>
        <v>42948</v>
      </c>
      <c r="L9" s="10">
        <f t="shared" si="3"/>
        <v>3.790989967367882</v>
      </c>
      <c r="M9" s="9">
        <f t="shared" si="4"/>
        <v>43040</v>
      </c>
      <c r="N9" s="10">
        <f t="shared" si="5"/>
        <v>4.7877242724534455</v>
      </c>
      <c r="O9" s="11">
        <f t="shared" si="6"/>
        <v>7</v>
      </c>
      <c r="P9" s="11">
        <f t="shared" si="8"/>
        <v>8</v>
      </c>
      <c r="Q9" s="3" t="s">
        <v>13</v>
      </c>
      <c r="W9" s="5"/>
      <c r="X9" s="10"/>
    </row>
    <row r="10" spans="2:24" x14ac:dyDescent="0.25">
      <c r="B10" s="26">
        <f>DATEVALUE(_xll.BDP($Q10,B$4))</f>
        <v>43205</v>
      </c>
      <c r="C10" s="27">
        <f>_xll.BDP(Q10,"FLT_SPREAD")</f>
        <v>100</v>
      </c>
      <c r="D10" s="28">
        <f>_xll.BDP(Q10,D$4)</f>
        <v>1.0780000000000001</v>
      </c>
      <c r="E10" s="29">
        <f>_xll.BDP($Q10,E$4)</f>
        <v>102.045</v>
      </c>
      <c r="F10" s="27">
        <f t="shared" si="7"/>
        <v>102.0575</v>
      </c>
      <c r="G10" s="29">
        <f>_xll.BDP($Q10,G$4)</f>
        <v>102.07</v>
      </c>
      <c r="H10" s="7">
        <f>_xll.BDP(Q10,H$4, "PX_ASK",F10)</f>
        <v>19.472037212891756</v>
      </c>
      <c r="I10" s="8" t="e">
        <f t="shared" si="0"/>
        <v>#VALUE!</v>
      </c>
      <c r="J10" s="18" t="str">
        <f t="shared" ref="J10:J15" si="9">IFERROR((H10-I10),"")</f>
        <v/>
      </c>
      <c r="K10" s="9">
        <f t="shared" si="2"/>
        <v>43132</v>
      </c>
      <c r="L10" s="10">
        <f t="shared" si="3"/>
        <v>9.3795262060822289</v>
      </c>
      <c r="M10" s="9">
        <f t="shared" si="4"/>
        <v>43235</v>
      </c>
      <c r="N10" s="10" t="str">
        <f t="shared" si="5"/>
        <v>#N/A Requesting Data...</v>
      </c>
      <c r="O10" s="11">
        <f t="shared" si="6"/>
        <v>9</v>
      </c>
      <c r="P10" s="11">
        <f t="shared" si="8"/>
        <v>10</v>
      </c>
      <c r="Q10" s="3" t="s">
        <v>14</v>
      </c>
      <c r="W10" s="5"/>
      <c r="X10" s="10"/>
    </row>
    <row r="11" spans="2:24" x14ac:dyDescent="0.25">
      <c r="B11" s="26">
        <f>DATEVALUE(_xll.BDP($Q11,B$4))</f>
        <v>43405</v>
      </c>
      <c r="C11" s="27">
        <f>_xll.BDP(Q11,"FLT_SPREAD")</f>
        <v>180</v>
      </c>
      <c r="D11" s="28">
        <f>_xll.BDP(Q11,D$4)</f>
        <v>1.8610000000000002</v>
      </c>
      <c r="E11" s="29">
        <f>_xll.BDP($Q11,E$4)</f>
        <v>104.83</v>
      </c>
      <c r="F11" s="27">
        <f t="shared" si="7"/>
        <v>104.845</v>
      </c>
      <c r="G11" s="29">
        <f>_xll.BDP($Q11,G$4)</f>
        <v>104.86</v>
      </c>
      <c r="H11" s="7">
        <f>_xll.BDP(Q11,H$4, "PX_ASK",F11)</f>
        <v>23.874807356603863</v>
      </c>
      <c r="I11" s="8" t="e">
        <f t="shared" si="0"/>
        <v>#VALUE!</v>
      </c>
      <c r="J11" s="18" t="str">
        <f t="shared" si="9"/>
        <v/>
      </c>
      <c r="K11" s="9">
        <f t="shared" si="2"/>
        <v>43313</v>
      </c>
      <c r="L11" s="10" t="str">
        <f t="shared" si="3"/>
        <v>#N/A Requesting Data...</v>
      </c>
      <c r="M11" s="9">
        <f t="shared" si="4"/>
        <v>43435</v>
      </c>
      <c r="N11" s="10">
        <f t="shared" si="5"/>
        <v>17.819971932857889</v>
      </c>
      <c r="O11" s="11">
        <f t="shared" si="6"/>
        <v>11</v>
      </c>
      <c r="P11" s="11">
        <f t="shared" si="8"/>
        <v>12</v>
      </c>
      <c r="Q11" s="3" t="s">
        <v>15</v>
      </c>
      <c r="W11" s="5"/>
      <c r="X11" s="10"/>
    </row>
    <row r="12" spans="2:24" x14ac:dyDescent="0.25">
      <c r="B12" s="26">
        <f>DATEVALUE(_xll.BDP($Q12,B$4))</f>
        <v>43784</v>
      </c>
      <c r="C12" s="27">
        <f>_xll.BDP(Q12,"FLT_SPREAD")</f>
        <v>120</v>
      </c>
      <c r="D12" s="28">
        <f>_xll.BDP(Q12,D$4)</f>
        <v>1.26</v>
      </c>
      <c r="E12" s="29">
        <f>_xll.BDP($Q12,E$4)</f>
        <v>103.5</v>
      </c>
      <c r="F12" s="27">
        <f t="shared" si="7"/>
        <v>103.5175</v>
      </c>
      <c r="G12" s="29">
        <f>_xll.BDP($Q12,G$4)</f>
        <v>103.535</v>
      </c>
      <c r="H12" s="7">
        <f>_xll.BDP(Q12,H$4, "PX_ASK",F12)</f>
        <v>34.990790748046386</v>
      </c>
      <c r="I12" s="8" t="e">
        <f>L12+(N12-L12)*(B12-K12)/(M12-K12)</f>
        <v>#VALUE!</v>
      </c>
      <c r="J12" s="18" t="str">
        <f t="shared" si="9"/>
        <v/>
      </c>
      <c r="K12" s="9">
        <f t="shared" si="2"/>
        <v>43709</v>
      </c>
      <c r="L12" s="10">
        <f t="shared" si="3"/>
        <v>30.218063404203605</v>
      </c>
      <c r="M12" s="9">
        <f t="shared" si="4"/>
        <v>43800</v>
      </c>
      <c r="N12" s="10" t="str">
        <f t="shared" si="5"/>
        <v>#N/A Requesting Data...</v>
      </c>
      <c r="O12" s="11">
        <f t="shared" si="6"/>
        <v>13</v>
      </c>
      <c r="P12" s="11">
        <f t="shared" si="8"/>
        <v>14</v>
      </c>
      <c r="Q12" s="3" t="s">
        <v>16</v>
      </c>
      <c r="W12" s="5"/>
      <c r="X12" s="10"/>
    </row>
    <row r="13" spans="2:24" x14ac:dyDescent="0.25">
      <c r="B13" s="26">
        <f>DATEVALUE(_xll.BDP($Q13,B$4))</f>
        <v>44180</v>
      </c>
      <c r="C13" s="27">
        <f>_xll.BDP(Q13,"FLT_SPREAD")</f>
        <v>80</v>
      </c>
      <c r="D13" s="28">
        <f>_xll.BDP(Q13,D$4)</f>
        <v>0.84899999999999998</v>
      </c>
      <c r="E13" s="29">
        <f>_xll.BDP($Q13,E$4)</f>
        <v>101.825</v>
      </c>
      <c r="F13" s="27">
        <f t="shared" si="7"/>
        <v>101.8425</v>
      </c>
      <c r="G13" s="29">
        <f>_xll.BDP($Q13,G$4)</f>
        <v>101.86</v>
      </c>
      <c r="H13" s="7">
        <f>_xll.BDP(Q13,H$4, "PX_ASK",F13)</f>
        <v>44.760595292431368</v>
      </c>
      <c r="I13" s="8" t="e">
        <f t="shared" ref="I13:I15" si="10">L13+(N13-L13)*(B13-K13)/(M13-K13)</f>
        <v>#VALUE!</v>
      </c>
      <c r="J13" s="18" t="str">
        <f t="shared" si="9"/>
        <v/>
      </c>
      <c r="K13" s="9">
        <f t="shared" si="2"/>
        <v>44075</v>
      </c>
      <c r="L13" s="10" t="str">
        <f t="shared" si="3"/>
        <v>#N/A Requesting Data...</v>
      </c>
      <c r="M13" s="9">
        <f t="shared" si="4"/>
        <v>44256</v>
      </c>
      <c r="N13" s="10">
        <f t="shared" si="5"/>
        <v>50.346295932836867</v>
      </c>
      <c r="O13" s="11">
        <f t="shared" si="6"/>
        <v>15</v>
      </c>
      <c r="P13" s="11">
        <f t="shared" si="8"/>
        <v>16</v>
      </c>
      <c r="Q13" s="3" t="s">
        <v>17</v>
      </c>
      <c r="W13" s="5"/>
      <c r="X13" s="10"/>
    </row>
    <row r="14" spans="2:24" x14ac:dyDescent="0.25">
      <c r="B14" s="26">
        <f>DATEVALUE(_xll.BDP($Q14,B$4))</f>
        <v>44727</v>
      </c>
      <c r="C14" s="27">
        <f>_xll.BDP(Q14,"FLT_SPREAD")</f>
        <v>55</v>
      </c>
      <c r="D14" s="28">
        <f>_xll.BDP(Q14,D$4)</f>
        <v>0.59899999999999998</v>
      </c>
      <c r="E14" s="29">
        <f>_xll.BDP($Q14,E$4)</f>
        <v>99.82</v>
      </c>
      <c r="F14" s="27">
        <f t="shared" si="7"/>
        <v>99.842500000000001</v>
      </c>
      <c r="G14" s="29">
        <f>_xll.BDP($Q14,G$4)</f>
        <v>99.864999999999995</v>
      </c>
      <c r="H14" s="7">
        <f>_xll.BDP(Q14,H$4, "PX_ASK",F14)</f>
        <v>57.696562566883159</v>
      </c>
      <c r="I14" s="8" t="e">
        <f t="shared" si="10"/>
        <v>#VALUE!</v>
      </c>
      <c r="J14" s="18" t="str">
        <f t="shared" si="9"/>
        <v/>
      </c>
      <c r="K14" s="9">
        <f t="shared" si="2"/>
        <v>44621</v>
      </c>
      <c r="L14" s="10" t="str">
        <f t="shared" si="3"/>
        <v>#N/A Requesting Data...</v>
      </c>
      <c r="M14" s="9">
        <f t="shared" si="4"/>
        <v>44805</v>
      </c>
      <c r="N14" s="10" t="str">
        <f t="shared" si="5"/>
        <v>#N/A Requesting Data...</v>
      </c>
      <c r="O14" s="11">
        <f t="shared" si="6"/>
        <v>17</v>
      </c>
      <c r="P14" s="11">
        <f t="shared" si="8"/>
        <v>18</v>
      </c>
      <c r="Q14" s="3" t="s">
        <v>18</v>
      </c>
      <c r="W14" s="5"/>
      <c r="X14" s="10"/>
    </row>
    <row r="15" spans="2:24" x14ac:dyDescent="0.25">
      <c r="B15" s="30">
        <f>DATEVALUE(_xll.BDP($Q15,B$4))</f>
        <v>44910</v>
      </c>
      <c r="C15" s="15">
        <f>_xll.BDP(Q15,"FLT_SPREAD")</f>
        <v>70</v>
      </c>
      <c r="D15" s="31">
        <f>_xll.BDP(Q15,D$4)</f>
        <v>0.74900000000000011</v>
      </c>
      <c r="E15" s="32">
        <f>_xll.BDP($Q15,E$4)</f>
        <v>100.154</v>
      </c>
      <c r="F15" s="15">
        <f t="shared" si="7"/>
        <v>100.1905</v>
      </c>
      <c r="G15" s="32">
        <f>_xll.BDP($Q15,G$4)</f>
        <v>100.227</v>
      </c>
      <c r="H15" s="33">
        <f>_xll.BDP(Q15,H$4, "PX_ASK",F15)</f>
        <v>67.651370066606404</v>
      </c>
      <c r="I15" s="34">
        <f t="shared" si="10"/>
        <v>72.642049541406038</v>
      </c>
      <c r="J15" s="19">
        <f t="shared" si="9"/>
        <v>-4.9906794747996344</v>
      </c>
      <c r="K15" s="9">
        <f t="shared" si="2"/>
        <v>44866</v>
      </c>
      <c r="L15" s="10">
        <f t="shared" si="3"/>
        <v>72.414948046269686</v>
      </c>
      <c r="M15" s="9">
        <f t="shared" si="4"/>
        <v>45047</v>
      </c>
      <c r="N15" s="10">
        <f t="shared" si="5"/>
        <v>73.349161014898797</v>
      </c>
      <c r="O15" s="11">
        <f t="shared" si="6"/>
        <v>19</v>
      </c>
      <c r="P15" s="11">
        <f t="shared" si="8"/>
        <v>20</v>
      </c>
      <c r="Q15" s="3" t="s">
        <v>19</v>
      </c>
      <c r="W15" s="5"/>
      <c r="X15" s="10"/>
    </row>
    <row r="16" spans="2:24" x14ac:dyDescent="0.25">
      <c r="C16" s="2"/>
      <c r="D16" s="2"/>
      <c r="E16" s="6"/>
      <c r="F16" s="2"/>
      <c r="G16" s="6"/>
      <c r="H16" s="7"/>
      <c r="K16" s="2"/>
      <c r="L16" s="2"/>
      <c r="M16" s="2"/>
      <c r="N16" s="2"/>
      <c r="O16" s="2"/>
      <c r="P16" s="2"/>
    </row>
    <row r="17" spans="3:16" x14ac:dyDescent="0.25">
      <c r="C17" s="2"/>
      <c r="D17" s="2"/>
      <c r="E17" s="6"/>
      <c r="F17" s="2"/>
      <c r="G17" s="6"/>
      <c r="H17" s="7"/>
      <c r="K17" s="2"/>
      <c r="L17" s="2"/>
      <c r="M17" s="2"/>
      <c r="N17" s="2"/>
      <c r="O17" s="2"/>
      <c r="P17" s="2"/>
    </row>
    <row r="18" spans="3:16" x14ac:dyDescent="0.25">
      <c r="C18" s="2"/>
      <c r="D18" s="2"/>
      <c r="E18" s="6"/>
      <c r="F18" s="2"/>
      <c r="G18" s="6"/>
      <c r="H18" s="7"/>
    </row>
    <row r="19" spans="3:16" x14ac:dyDescent="0.25">
      <c r="C19" s="2"/>
      <c r="D19" s="2"/>
      <c r="E19" s="6"/>
      <c r="F19" s="2"/>
      <c r="G19" s="6"/>
      <c r="H19" s="7"/>
    </row>
    <row r="20" spans="3:16" x14ac:dyDescent="0.25">
      <c r="C20" s="2"/>
      <c r="D20" s="2"/>
      <c r="E20" s="6"/>
      <c r="F20" s="2"/>
      <c r="G20" s="6"/>
      <c r="H20" s="7"/>
    </row>
    <row r="21" spans="3:16" x14ac:dyDescent="0.25">
      <c r="C21" s="2"/>
      <c r="D21" s="2"/>
      <c r="E21" s="6"/>
      <c r="F21" s="2"/>
      <c r="G21" s="6"/>
      <c r="H21" s="7"/>
    </row>
    <row r="22" spans="3:16" x14ac:dyDescent="0.25">
      <c r="C22" s="2"/>
      <c r="D22" s="2"/>
      <c r="E22" s="6"/>
      <c r="F22" s="2"/>
      <c r="G22" s="6"/>
      <c r="H22" s="7"/>
    </row>
    <row r="23" spans="3:16" x14ac:dyDescent="0.25">
      <c r="C23" s="2"/>
      <c r="D23" s="2"/>
      <c r="E23" s="6"/>
      <c r="F23" s="2"/>
      <c r="G23" s="6"/>
      <c r="H23" s="7"/>
    </row>
    <row r="24" spans="3:16" x14ac:dyDescent="0.25">
      <c r="C24" s="2"/>
      <c r="D24" s="2"/>
      <c r="E24" s="6"/>
      <c r="F24" s="2"/>
      <c r="G24" s="6"/>
      <c r="H24" s="7"/>
    </row>
    <row r="25" spans="3:16" x14ac:dyDescent="0.25">
      <c r="C25" s="2"/>
      <c r="D25" s="2"/>
      <c r="E25" s="6"/>
      <c r="F25" s="2"/>
      <c r="G25" s="6"/>
      <c r="H25" s="7"/>
    </row>
    <row r="26" spans="3:16" x14ac:dyDescent="0.25">
      <c r="C26" s="2"/>
      <c r="D26" s="2"/>
      <c r="E26" s="2"/>
      <c r="F26" s="2"/>
      <c r="G26" s="2"/>
      <c r="H26" s="7"/>
    </row>
    <row r="27" spans="3:16" x14ac:dyDescent="0.25">
      <c r="C27" s="2"/>
      <c r="D27" s="2"/>
      <c r="E27" s="2"/>
      <c r="F27" s="2"/>
      <c r="G27" s="2"/>
      <c r="H27" s="7"/>
    </row>
    <row r="28" spans="3:16" x14ac:dyDescent="0.25">
      <c r="C28" s="2"/>
      <c r="D28" s="2"/>
      <c r="E28" s="2"/>
      <c r="F28" s="2"/>
      <c r="G28" s="2"/>
      <c r="H28" s="7"/>
    </row>
    <row r="29" spans="3:16" x14ac:dyDescent="0.25">
      <c r="C29" s="2"/>
      <c r="D29" s="2"/>
      <c r="E29" s="2"/>
      <c r="F29" s="2"/>
      <c r="G29" s="2"/>
      <c r="H29" s="12"/>
    </row>
    <row r="30" spans="3:16" x14ac:dyDescent="0.25">
      <c r="C30" s="2"/>
      <c r="D30" s="2"/>
      <c r="E30" s="2"/>
      <c r="F30" s="2"/>
      <c r="G30" s="2"/>
      <c r="H30" s="12"/>
    </row>
    <row r="31" spans="3:16" x14ac:dyDescent="0.25">
      <c r="C31" s="2"/>
      <c r="D31" s="2"/>
      <c r="E31" s="2"/>
      <c r="F31" s="2"/>
      <c r="G31" s="2"/>
      <c r="H31" s="12"/>
    </row>
    <row r="32" spans="3:16" x14ac:dyDescent="0.25">
      <c r="C32" s="2"/>
      <c r="D32" s="2"/>
      <c r="E32" s="2"/>
      <c r="F32" s="2"/>
      <c r="G32" s="2"/>
      <c r="H32" s="12"/>
    </row>
    <row r="33" spans="1:9" x14ac:dyDescent="0.25">
      <c r="C33" s="2"/>
      <c r="D33" s="2"/>
      <c r="E33" s="2"/>
      <c r="F33" s="2"/>
      <c r="G33" s="2"/>
    </row>
    <row r="34" spans="1:9" x14ac:dyDescent="0.25">
      <c r="C34" s="2"/>
      <c r="D34" s="2"/>
      <c r="E34" s="2"/>
      <c r="F34" s="2"/>
      <c r="G34" s="2"/>
    </row>
    <row r="35" spans="1:9" x14ac:dyDescent="0.25">
      <c r="A35" s="14"/>
      <c r="B35" s="14" t="s">
        <v>20</v>
      </c>
      <c r="C35" s="15"/>
      <c r="D35" s="15"/>
      <c r="E35" s="15"/>
      <c r="F35" s="15"/>
      <c r="G35" s="15"/>
      <c r="H35" s="14"/>
      <c r="I35" s="14"/>
    </row>
    <row r="36" spans="1:9" x14ac:dyDescent="0.25">
      <c r="A36" s="3">
        <v>1</v>
      </c>
      <c r="B36" s="5">
        <f>DATEVALUE(_xll.BDP($H36,B$4))</f>
        <v>42339</v>
      </c>
      <c r="C36" s="6">
        <f>_xll.BDP($H36,E$4)</f>
        <v>100.41</v>
      </c>
      <c r="D36" s="2">
        <f t="shared" ref="D36:D56" si="11">(C36+E36)/2</f>
        <v>100.41249999999999</v>
      </c>
      <c r="E36" s="6">
        <f>_xll.BDP($H36,G$4)</f>
        <v>100.41500000000001</v>
      </c>
      <c r="F36" s="7">
        <f>_xll.BDP(G36&amp;"@MTS Corp","Z_SPRD_MID", "WORKOUT_PX_BID=100.000", "PX_MID="&amp;D36, "ASW_SWAP_PAR_AMOUNT=1000000.00")</f>
        <v>2.4380257251627704</v>
      </c>
      <c r="G36" s="3" t="str">
        <f t="shared" ref="G36:G56" si="12">LEFT(H36,8)</f>
        <v>EJ478633</v>
      </c>
      <c r="H36" s="3" t="s">
        <v>21</v>
      </c>
    </row>
    <row r="37" spans="1:9" x14ac:dyDescent="0.25">
      <c r="A37" s="3">
        <v>2</v>
      </c>
      <c r="B37" s="5">
        <f>DATEVALUE(_xll.BDP($H37,B$4))</f>
        <v>42475</v>
      </c>
      <c r="C37" s="6">
        <f>_xll.BDP($H37,E$4)</f>
        <v>101.95</v>
      </c>
      <c r="D37" s="2">
        <f t="shared" si="11"/>
        <v>101.9525</v>
      </c>
      <c r="E37" s="6">
        <f>_xll.BDP($H37,G$4)</f>
        <v>101.955</v>
      </c>
      <c r="F37" s="7">
        <f>_xll.BDP(G37&amp;"@MTS Corp","Z_SPRD_MID", "WORKOUT_PX_BID=100.000", "PX_MID="&amp;D37, "ASW_SWAP_PAR_AMOUNT=1000000.00")</f>
        <v>-4.3680582545030235</v>
      </c>
      <c r="G37" s="3" t="str">
        <f t="shared" si="12"/>
        <v>EI638977</v>
      </c>
      <c r="H37" s="3" t="s">
        <v>22</v>
      </c>
    </row>
    <row r="38" spans="1:9" x14ac:dyDescent="0.25">
      <c r="A38" s="3">
        <v>3</v>
      </c>
      <c r="B38" s="5">
        <f>DATEVALUE(_xll.BDP($H38,B$4))</f>
        <v>42583</v>
      </c>
      <c r="C38" s="6">
        <f>_xll.BDP($H38,E$4)</f>
        <v>103.045</v>
      </c>
      <c r="D38" s="2">
        <f t="shared" si="11"/>
        <v>103.0475</v>
      </c>
      <c r="E38" s="6">
        <f>_xll.BDP($H38,G$4)</f>
        <v>103.05</v>
      </c>
      <c r="F38" s="7">
        <f>_xll.BDP(G38&amp;"@MTS Corp","Z_SPRD_MID", "WORKOUT_PX_BID=100.000", "PX_MID="&amp;D38, "ASW_SWAP_PAR_AMOUNT=1000000.00")</f>
        <v>-7.7776990306569918</v>
      </c>
      <c r="G38" s="3" t="str">
        <f t="shared" si="12"/>
        <v>EF295148</v>
      </c>
      <c r="H38" s="3" t="s">
        <v>23</v>
      </c>
    </row>
    <row r="39" spans="1:9" x14ac:dyDescent="0.25">
      <c r="A39" s="3">
        <v>4</v>
      </c>
      <c r="B39" s="5">
        <f>DATEVALUE(_xll.BDP($H39,B$4))</f>
        <v>42767</v>
      </c>
      <c r="C39" s="6">
        <f>_xll.BDP($H39,E$4)</f>
        <v>105.19</v>
      </c>
      <c r="D39" s="2">
        <f t="shared" si="11"/>
        <v>105.19749999999999</v>
      </c>
      <c r="E39" s="6">
        <f>_xll.BDP($H39,G$4)</f>
        <v>105.205</v>
      </c>
      <c r="F39" s="7">
        <f>_xll.BDP(G39&amp;"@MTS Corp","Z_SPRD_MID", "WORKOUT_PX_BID=100.000", "PX_MID="&amp;D39, "ASW_SWAP_PAR_AMOUNT=1000000.00")</f>
        <v>-2.8734392350363116</v>
      </c>
      <c r="G39" s="3" t="str">
        <f t="shared" si="12"/>
        <v>EG064852</v>
      </c>
      <c r="H39" s="3" t="s">
        <v>24</v>
      </c>
    </row>
    <row r="40" spans="1:9" x14ac:dyDescent="0.25">
      <c r="A40" s="3">
        <v>5</v>
      </c>
      <c r="B40" s="5">
        <f>DATEVALUE(_xll.BDP($H40,B$4))</f>
        <v>42856</v>
      </c>
      <c r="C40" s="6">
        <f>_xll.BDP($H40,E$4)</f>
        <v>107.3</v>
      </c>
      <c r="D40" s="2">
        <f t="shared" si="11"/>
        <v>107.31</v>
      </c>
      <c r="E40" s="6">
        <f>_xll.BDP($H40,G$4)</f>
        <v>107.32</v>
      </c>
      <c r="F40" s="7">
        <f>_xll.BDP(G40&amp;"@MTS Corp","Z_SPRD_MID", "WORKOUT_PX_BID=100.000", "PX_MID="&amp;D40, "ASW_SWAP_PAR_AMOUNT=1000000.00")</f>
        <v>3.9630824085601821</v>
      </c>
      <c r="G40" s="3" t="str">
        <f t="shared" si="12"/>
        <v>EJ000941</v>
      </c>
      <c r="H40" s="3" t="s">
        <v>25</v>
      </c>
    </row>
    <row r="41" spans="1:9" x14ac:dyDescent="0.25">
      <c r="A41" s="3">
        <v>6</v>
      </c>
      <c r="B41" s="5">
        <f>DATEVALUE(_xll.BDP($H41,B$4))</f>
        <v>42887</v>
      </c>
      <c r="C41" s="6">
        <f>_xll.BDP($H41,E$4)</f>
        <v>107.66500000000001</v>
      </c>
      <c r="D41" s="2">
        <f t="shared" si="11"/>
        <v>107.67250000000001</v>
      </c>
      <c r="E41" s="6">
        <f>_xll.BDP($H41,G$4)</f>
        <v>107.68</v>
      </c>
      <c r="F41" s="7" t="str">
        <f>_xll.BDP(G41&amp;"@MTS Corp","Z_SPRD_MID", "WORKOUT_PX_BID=100.000", "PX_MID="&amp;D41, "ASW_SWAP_PAR_AMOUNT=1000000.00")</f>
        <v>#N/A Requesting Data...</v>
      </c>
      <c r="G41" s="3" t="str">
        <f t="shared" si="12"/>
        <v>EJ216483</v>
      </c>
      <c r="H41" s="3" t="s">
        <v>26</v>
      </c>
    </row>
    <row r="42" spans="1:9" x14ac:dyDescent="0.25">
      <c r="A42" s="3">
        <v>7</v>
      </c>
      <c r="B42" s="5">
        <f>DATEVALUE(_xll.BDP($H42,B$4))</f>
        <v>42948</v>
      </c>
      <c r="C42" s="6">
        <f>_xll.BDP($H42,E$4)</f>
        <v>109.355</v>
      </c>
      <c r="D42" s="2">
        <f t="shared" si="11"/>
        <v>109.36500000000001</v>
      </c>
      <c r="E42" s="6">
        <f>_xll.BDP($H42,G$4)</f>
        <v>109.375</v>
      </c>
      <c r="F42" s="7">
        <f>_xll.BDP(G42&amp;"@MTS Corp","Z_SPRD_MID", "WORKOUT_PX_BID=100.000", "PX_MID="&amp;D42, "ASW_SWAP_PAR_AMOUNT=1000000.00")</f>
        <v>3.790989967367882</v>
      </c>
      <c r="G42" s="3" t="str">
        <f t="shared" si="12"/>
        <v>EC520268</v>
      </c>
      <c r="H42" s="3" t="s">
        <v>27</v>
      </c>
    </row>
    <row r="43" spans="1:9" x14ac:dyDescent="0.25">
      <c r="A43" s="3">
        <v>8</v>
      </c>
      <c r="B43" s="5">
        <f>DATEVALUE(_xll.BDP($H43,B$4))</f>
        <v>43040</v>
      </c>
      <c r="C43" s="6">
        <f>_xll.BDP($H43,E$4)</f>
        <v>106.99</v>
      </c>
      <c r="D43" s="2">
        <f t="shared" si="11"/>
        <v>106.995</v>
      </c>
      <c r="E43" s="6">
        <f>_xll.BDP($H43,G$4)</f>
        <v>107</v>
      </c>
      <c r="F43" s="7">
        <f>_xll.BDP(G43&amp;"@MTS Corp","Z_SPRD_MID", "WORKOUT_PX_BID=100.000", "PX_MID="&amp;D43, "ASW_SWAP_PAR_AMOUNT=1000000.00")</f>
        <v>4.7877242724534455</v>
      </c>
      <c r="G43" s="3" t="str">
        <f t="shared" si="12"/>
        <v>EJ421905</v>
      </c>
      <c r="H43" s="3" t="s">
        <v>28</v>
      </c>
    </row>
    <row r="44" spans="1:9" x14ac:dyDescent="0.25">
      <c r="A44" s="3">
        <v>9</v>
      </c>
      <c r="B44" s="5">
        <f>DATEVALUE(_xll.BDP($H44,B$4))</f>
        <v>43132</v>
      </c>
      <c r="C44" s="6">
        <f>_xll.BDP($H44,E$4)</f>
        <v>109.995</v>
      </c>
      <c r="D44" s="2">
        <f t="shared" si="11"/>
        <v>110.0025</v>
      </c>
      <c r="E44" s="6">
        <f>_xll.BDP($H44,G$4)</f>
        <v>110.01</v>
      </c>
      <c r="F44" s="7">
        <f>_xll.BDP(G44&amp;"@MTS Corp","Z_SPRD_MID", "WORKOUT_PX_BID=100.000", "PX_MID="&amp;D44, "ASW_SWAP_PAR_AMOUNT=1000000.00")</f>
        <v>9.3795262060822289</v>
      </c>
      <c r="G44" s="3" t="str">
        <f t="shared" si="12"/>
        <v>EG766047</v>
      </c>
      <c r="H44" s="3" t="s">
        <v>29</v>
      </c>
    </row>
    <row r="45" spans="1:9" x14ac:dyDescent="0.25">
      <c r="A45" s="3">
        <v>10</v>
      </c>
      <c r="B45" s="5">
        <f>DATEVALUE(_xll.BDP($H45,B$4))</f>
        <v>43235</v>
      </c>
      <c r="C45" s="6">
        <f>_xll.BDP($H45,E$4)</f>
        <v>100.03</v>
      </c>
      <c r="D45" s="2">
        <f t="shared" si="11"/>
        <v>100.03749999999999</v>
      </c>
      <c r="E45" s="6">
        <f>_xll.BDP($H45,G$4)</f>
        <v>100.045</v>
      </c>
      <c r="F45" s="7" t="str">
        <f>_xll.BDP(G45&amp;"@MTS Corp","Z_SPRD_MID", "WORKOUT_PX_BID=100.000", "PX_MID="&amp;D45, "ASW_SWAP_PAR_AMOUNT=1000000.00")</f>
        <v>#N/A Requesting Data...</v>
      </c>
      <c r="G45" s="3" t="str">
        <f t="shared" si="12"/>
        <v>EK849938</v>
      </c>
      <c r="H45" s="3" t="s">
        <v>30</v>
      </c>
    </row>
    <row r="46" spans="1:9" x14ac:dyDescent="0.25">
      <c r="A46" s="3">
        <v>11</v>
      </c>
      <c r="B46" s="5">
        <f>DATEVALUE(_xll.BDP($H46,B$4))</f>
        <v>43313</v>
      </c>
      <c r="C46" s="6">
        <f>_xll.BDP($H46,E$4)</f>
        <v>111.9</v>
      </c>
      <c r="D46" s="2">
        <f t="shared" si="11"/>
        <v>111.91249999999999</v>
      </c>
      <c r="E46" s="6">
        <f>_xll.BDP($H46,G$4)</f>
        <v>111.925</v>
      </c>
      <c r="F46" s="7" t="str">
        <f>_xll.BDP(G46&amp;"@MTS Corp","Z_SPRD_MID", "WORKOUT_PX_BID=100.000", "PX_MID="&amp;D46, "ASW_SWAP_PAR_AMOUNT=1000000.00")</f>
        <v>#N/A Requesting Data...</v>
      </c>
      <c r="G46" s="3" t="str">
        <f t="shared" si="12"/>
        <v>EH326554</v>
      </c>
      <c r="H46" s="3" t="s">
        <v>31</v>
      </c>
    </row>
    <row r="47" spans="1:9" x14ac:dyDescent="0.25">
      <c r="A47" s="3">
        <v>12</v>
      </c>
      <c r="B47" s="5">
        <f>DATEVALUE(_xll.BDP($H47,B$4))</f>
        <v>43435</v>
      </c>
      <c r="C47" s="6">
        <f>_xll.BDP($H47,E$4)</f>
        <v>109.955</v>
      </c>
      <c r="D47" s="2">
        <f t="shared" si="11"/>
        <v>109.965</v>
      </c>
      <c r="E47" s="6">
        <f>_xll.BDP($H47,G$4)</f>
        <v>109.97499999999999</v>
      </c>
      <c r="F47" s="7">
        <f>_xll.BDP(G47&amp;"@MTS Corp","Z_SPRD_MID", "WORKOUT_PX_BID=100.000", "PX_MID="&amp;D47, "ASW_SWAP_PAR_AMOUNT=1000000.00")</f>
        <v>17.819971932857889</v>
      </c>
      <c r="G47" s="3" t="str">
        <f t="shared" si="12"/>
        <v>EJ807144</v>
      </c>
      <c r="H47" s="3" t="s">
        <v>32</v>
      </c>
    </row>
    <row r="48" spans="1:9" x14ac:dyDescent="0.25">
      <c r="A48" s="3">
        <v>13</v>
      </c>
      <c r="B48" s="5">
        <f>DATEVALUE(_xll.BDP($H48,B$4))</f>
        <v>43709</v>
      </c>
      <c r="C48" s="6">
        <f>_xll.BDP($H48,E$4)</f>
        <v>114.37</v>
      </c>
      <c r="D48" s="2">
        <f t="shared" si="11"/>
        <v>114.38</v>
      </c>
      <c r="E48" s="6">
        <f>_xll.BDP($H48,G$4)</f>
        <v>114.39</v>
      </c>
      <c r="F48" s="7">
        <f>_xll.BDP(G48&amp;"@MTS Corp","Z_SPRD_MID", "WORKOUT_PX_BID=100.000", "PX_MID="&amp;D48, "ASW_SWAP_PAR_AMOUNT=1000000.00")</f>
        <v>30.218063404203605</v>
      </c>
      <c r="G48" s="3" t="str">
        <f t="shared" si="12"/>
        <v>EH802597</v>
      </c>
      <c r="H48" s="3" t="s">
        <v>33</v>
      </c>
    </row>
    <row r="49" spans="1:8" x14ac:dyDescent="0.25">
      <c r="A49" s="3">
        <v>14</v>
      </c>
      <c r="B49" s="5">
        <f>DATEVALUE(_xll.BDP($H49,B$4))</f>
        <v>43800</v>
      </c>
      <c r="C49" s="6">
        <f>_xll.BDP($H49,E$4)</f>
        <v>101.83499999999999</v>
      </c>
      <c r="D49" s="2">
        <f t="shared" si="11"/>
        <v>101.8475</v>
      </c>
      <c r="E49" s="6">
        <f>_xll.BDP($H49,G$4)</f>
        <v>101.86</v>
      </c>
      <c r="F49" s="7" t="str">
        <f>_xll.BDP(G49&amp;"@MTS Corp","Z_SPRD_MID", "WORKOUT_PX_BID=100.000", "PX_MID="&amp;D49, "ASW_SWAP_PAR_AMOUNT=1000000.00")</f>
        <v>#N/A Requesting Data...</v>
      </c>
      <c r="G49" s="3" t="str">
        <f t="shared" si="12"/>
        <v>EK624270</v>
      </c>
      <c r="H49" s="3" t="s">
        <v>34</v>
      </c>
    </row>
    <row r="50" spans="1:8" x14ac:dyDescent="0.25">
      <c r="A50" s="3">
        <v>15</v>
      </c>
      <c r="B50" s="5">
        <f>DATEVALUE(_xll.BDP($H50,B$4))</f>
        <v>44075</v>
      </c>
      <c r="C50" s="6">
        <f>_xll.BDP($H50,E$4)</f>
        <v>115.55</v>
      </c>
      <c r="D50" s="2">
        <f t="shared" si="11"/>
        <v>115.56</v>
      </c>
      <c r="E50" s="6">
        <f>_xll.BDP($H50,G$4)</f>
        <v>115.57</v>
      </c>
      <c r="F50" s="7" t="str">
        <f>_xll.BDP(G50&amp;"@MTS Corp","Z_SPRD_MID", "WORKOUT_PX_BID=100.000", "PX_MID="&amp;D50, "ASW_SWAP_PAR_AMOUNT=1000000.00")</f>
        <v>#N/A Requesting Data...</v>
      </c>
      <c r="G50" s="3" t="str">
        <f t="shared" si="12"/>
        <v>EI201806</v>
      </c>
      <c r="H50" s="3" t="s">
        <v>35</v>
      </c>
    </row>
    <row r="51" spans="1:8" x14ac:dyDescent="0.25">
      <c r="A51" s="3">
        <v>16</v>
      </c>
      <c r="B51" s="5">
        <f>DATEVALUE(_xll.BDP($H51,B$4))</f>
        <v>44256</v>
      </c>
      <c r="C51" s="6">
        <f>_xll.BDP($H51,E$4)</f>
        <v>114.97499999999999</v>
      </c>
      <c r="D51" s="2">
        <f t="shared" si="11"/>
        <v>114.985</v>
      </c>
      <c r="E51" s="6">
        <f>_xll.BDP($H51,G$4)</f>
        <v>114.995</v>
      </c>
      <c r="F51" s="7">
        <f>_xll.BDP(G51&amp;"@MTS Corp","Z_SPRD_MID", "WORKOUT_PX_BID=100.000", "PX_MID="&amp;D51, "ASW_SWAP_PAR_AMOUNT=1000000.00")</f>
        <v>50.346295932836867</v>
      </c>
      <c r="G51" s="3" t="str">
        <f t="shared" si="12"/>
        <v>EI385633</v>
      </c>
      <c r="H51" s="3" t="s">
        <v>36</v>
      </c>
    </row>
    <row r="52" spans="1:8" x14ac:dyDescent="0.25">
      <c r="A52" s="3">
        <v>17</v>
      </c>
      <c r="B52" s="5">
        <f>DATEVALUE(_xll.BDP($H52,B$4))</f>
        <v>44621</v>
      </c>
      <c r="C52" s="6">
        <f>_xll.BDP($H52,E$4)</f>
        <v>123.85</v>
      </c>
      <c r="D52" s="2">
        <f t="shared" si="11"/>
        <v>123.86499999999999</v>
      </c>
      <c r="E52" s="6">
        <f>_xll.BDP($H52,G$4)</f>
        <v>123.88</v>
      </c>
      <c r="F52" s="7" t="str">
        <f>_xll.BDP(G52&amp;"@MTS Corp","Z_SPRD_MID", "WORKOUT_PX_BID=100.000", "PX_MID="&amp;D52, "ASW_SWAP_PAR_AMOUNT=1000000.00")</f>
        <v>#N/A Requesting Data...</v>
      </c>
      <c r="G52" s="3" t="str">
        <f t="shared" si="12"/>
        <v>EI793398</v>
      </c>
      <c r="H52" s="3" t="s">
        <v>37</v>
      </c>
    </row>
    <row r="53" spans="1:8" x14ac:dyDescent="0.25">
      <c r="A53" s="3">
        <v>18</v>
      </c>
      <c r="B53" s="5">
        <f>DATEVALUE(_xll.BDP($H53,B$4))</f>
        <v>44805</v>
      </c>
      <c r="C53" s="6">
        <f>_xll.BDP($H53,E$4)</f>
        <v>127.93</v>
      </c>
      <c r="D53" s="2">
        <f t="shared" si="11"/>
        <v>127.94</v>
      </c>
      <c r="E53" s="6">
        <f>_xll.BDP($H53,G$4)</f>
        <v>127.95</v>
      </c>
      <c r="F53" s="7" t="str">
        <f>_xll.BDP(G53&amp;"@MTS Corp","Z_SPRD_MID", "WORKOUT_PX_BID=100.000", "PX_MID="&amp;D53, "ASW_SWAP_PAR_AMOUNT=1000000.00")</f>
        <v>#N/A Requesting Data...</v>
      </c>
      <c r="G53" s="3" t="str">
        <f t="shared" si="12"/>
        <v>EJ042056</v>
      </c>
      <c r="H53" s="3" t="s">
        <v>38</v>
      </c>
    </row>
    <row r="54" spans="1:8" x14ac:dyDescent="0.25">
      <c r="A54" s="3">
        <v>19</v>
      </c>
      <c r="B54" s="5">
        <f>DATEVALUE(_xll.BDP($H54,B$4))</f>
        <v>44866</v>
      </c>
      <c r="C54" s="6">
        <f>_xll.BDP($H54,E$4)</f>
        <v>128.09</v>
      </c>
      <c r="D54" s="2">
        <f t="shared" si="11"/>
        <v>128.10250000000002</v>
      </c>
      <c r="E54" s="6">
        <f>_xll.BDP($H54,G$4)</f>
        <v>128.11500000000001</v>
      </c>
      <c r="F54" s="7">
        <f>_xll.BDP(G54&amp;"@MTS Corp","Z_SPRD_MID", "WORKOUT_PX_BID=100.000", "PX_MID="&amp;D54, "ASW_SWAP_PAR_AMOUNT=1000000.00")</f>
        <v>72.414948046269686</v>
      </c>
      <c r="G54" s="3" t="str">
        <f t="shared" si="12"/>
        <v>EJ341690</v>
      </c>
      <c r="H54" s="3" t="s">
        <v>39</v>
      </c>
    </row>
    <row r="55" spans="1:8" x14ac:dyDescent="0.25">
      <c r="A55" s="3">
        <v>20</v>
      </c>
      <c r="B55" s="5">
        <f>DATEVALUE(_xll.BDP($H55,B$4))</f>
        <v>45047</v>
      </c>
      <c r="C55" s="6">
        <f>_xll.BDP($H55,E$4)</f>
        <v>122.205</v>
      </c>
      <c r="D55" s="2">
        <f t="shared" si="11"/>
        <v>122.22</v>
      </c>
      <c r="E55" s="6">
        <f>_xll.BDP($H55,G$4)</f>
        <v>122.235</v>
      </c>
      <c r="F55" s="7">
        <f>_xll.BDP(G55&amp;"@MTS Corp","Z_SPRD_MID", "WORKOUT_PX_BID=100.000", "PX_MID="&amp;D55, "ASW_SWAP_PAR_AMOUNT=1000000.00")</f>
        <v>73.349161014898797</v>
      </c>
      <c r="G55" s="3" t="str">
        <f t="shared" si="12"/>
        <v>EJ568862</v>
      </c>
      <c r="H55" s="3" t="s">
        <v>40</v>
      </c>
    </row>
    <row r="56" spans="1:8" x14ac:dyDescent="0.25">
      <c r="A56" s="3">
        <v>21</v>
      </c>
      <c r="B56" s="5">
        <f>DATEVALUE(_xll.BDP($H56,B$4))</f>
        <v>45139</v>
      </c>
      <c r="C56" s="6">
        <f>_xll.BDP($H56,E$4)</f>
        <v>124.38500000000001</v>
      </c>
      <c r="D56" s="2">
        <f t="shared" si="11"/>
        <v>124.4025</v>
      </c>
      <c r="E56" s="6">
        <f>_xll.BDP($H56,G$4)</f>
        <v>124.42</v>
      </c>
      <c r="F56" s="7">
        <f>_xll.BDP(G56&amp;"@MTS Corp","Z_SPRD_MID", "WORKOUT_PX_BID=100.000", "PX_MID="&amp;D56, "ASW_SWAP_PAR_AMOUNT=1000000.00")</f>
        <v>74.990234795895276</v>
      </c>
      <c r="G56" s="3" t="str">
        <f t="shared" si="12"/>
        <v>EH305692</v>
      </c>
      <c r="H56" s="3" t="s">
        <v>41</v>
      </c>
    </row>
  </sheetData>
  <pageMargins left="0.7" right="0.7" top="0.75" bottom="0.75" header="0.3" footer="0.3"/>
  <ignoredErrors>
    <ignoredError sqref="F5:F13 F15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</dc:creator>
  <cp:lastModifiedBy>ASARO VINCENZO</cp:lastModifiedBy>
  <dcterms:created xsi:type="dcterms:W3CDTF">2015-10-06T09:03:40Z</dcterms:created>
  <dcterms:modified xsi:type="dcterms:W3CDTF">2015-10-06T13:48:29Z</dcterms:modified>
</cp:coreProperties>
</file>