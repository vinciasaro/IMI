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35" yWindow="45" windowWidth="25005" windowHeight="9105" activeTab="4"/>
  </bookViews>
  <sheets>
    <sheet name="EUR EONIA" sheetId="12" r:id="rId1"/>
    <sheet name="POS KEP" sheetId="13" r:id="rId2"/>
    <sheet name="NET POS" sheetId="14" r:id="rId3"/>
    <sheet name="PREZ MED" sheetId="24" r:id="rId4"/>
    <sheet name="ITA" sheetId="1" r:id="rId5"/>
    <sheet name="SPA" sheetId="22" r:id="rId6"/>
    <sheet name="GER" sheetId="23" r:id="rId7"/>
    <sheet name="FRA" sheetId="21" r:id="rId8"/>
  </sheets>
  <externalReferences>
    <externalReference r:id="rId9"/>
    <externalReference r:id="rId10"/>
  </externalReferences>
  <definedNames>
    <definedName name="_xlnm._FilterDatabase" localSheetId="7" hidden="1">FRA!$B$3:$AJ$3</definedName>
    <definedName name="_xlnm._FilterDatabase" localSheetId="6" hidden="1">GER!$B$3:$AJ$3</definedName>
    <definedName name="_xlnm._FilterDatabase" localSheetId="4" hidden="1">ITA!$B$3:$AJ$3</definedName>
    <definedName name="_xlnm._FilterDatabase" localSheetId="1" hidden="1">'POS KEP'!$A$1:$A$1</definedName>
    <definedName name="_xlnm._FilterDatabase" localSheetId="5" hidden="1">SPA!$B$3:$AJ$3</definedName>
    <definedName name="Book">#REF!</definedName>
    <definedName name="BookList" localSheetId="7">OFFSET(FRA!$A$6,0,0,COUNTIF(FRA!$A$6:$A$80,"&lt;&gt;"""""),1)</definedName>
    <definedName name="BookList" localSheetId="6">OFFSET(GER!$A$6,0,0,COUNTIF(GER!$A$6:$A$80,"&lt;&gt;"""""),1)</definedName>
    <definedName name="BookList" localSheetId="3">OFFSET(ITA!$A$6,0,0,COUNTIF(ITA!$A$6:$A$80,"&lt;&gt;"""""),1)</definedName>
    <definedName name="BookList" localSheetId="5">OFFSET(SPA!$A$6,0,0,COUNTIF(SPA!$A$6:$A$80,"&lt;&gt;"""""),1)</definedName>
    <definedName name="BookList">OFFSET(ITA!$A$6,0,0,COUNTIF(ITA!$A$6:$A$80,"&lt;&gt;"""""),1)</definedName>
    <definedName name="BTP_DATE">[1]Zero!$B$21</definedName>
    <definedName name="Maturity" localSheetId="7">OFFSET(FRA!$F$6,0,0,FRA!$C$5,1)</definedName>
    <definedName name="Maturity" localSheetId="6">OFFSET(GER!$F$6,0,0,GER!$C$5,1)</definedName>
    <definedName name="Maturity" localSheetId="3">OFFSET(ITA!$F$6,0,0,ITA!$C$5,1)</definedName>
    <definedName name="Maturity" localSheetId="5">OFFSET(SPA!$F$6,0,0,SPA!$C$5,1)</definedName>
    <definedName name="Maturity">OFFSET(ITA!$F$6,0,0,ITA!$C$5,1)</definedName>
    <definedName name="MaturityZZ">OFFSET([2]Bonds!$I$11,0,0,[2]Bonds!$E$10,1)</definedName>
    <definedName name="names1">#REF!</definedName>
    <definedName name="names2">#REF!</definedName>
    <definedName name="NBPeriods">#REF!</definedName>
    <definedName name="NList">[1]Bonds!$BB$11:$BB$144</definedName>
    <definedName name="table1">#REF!</definedName>
    <definedName name="table2">#REF!</definedName>
    <definedName name="today_date">[1]Zero!$B$2</definedName>
    <definedName name="Yield" localSheetId="7">OFFSET(FRA!$AA$6,0,0,FRA!$C$5,1)</definedName>
    <definedName name="Yield" localSheetId="6">OFFSET(GER!$AA$6,0,0,GER!$C$5,1)</definedName>
    <definedName name="Yield" localSheetId="3">OFFSET(ITA!$AA$6,0,0,ITA!$C$5,1)</definedName>
    <definedName name="Yield" localSheetId="5">OFFSET(SPA!$AA$6,0,0,SPA!$C$5,1)</definedName>
    <definedName name="Yield">OFFSET(ITA!$AA$6,0,0,ITA!$C$5,1)</definedName>
    <definedName name="YieldZZ">OFFSET([2]Bonds!$AI$11,0,0,[2]Bonds!$E$10,1)</definedName>
  </definedNames>
  <calcPr calcId="145621"/>
</workbook>
</file>

<file path=xl/calcChain.xml><?xml version="1.0" encoding="utf-8"?>
<calcChain xmlns="http://schemas.openxmlformats.org/spreadsheetml/2006/main">
  <c r="B27" i="24" l="1"/>
  <c r="D27" i="24" s="1"/>
  <c r="D25" i="24"/>
  <c r="D24" i="24"/>
  <c r="D23" i="24"/>
  <c r="D22" i="24"/>
  <c r="G18" i="24"/>
  <c r="B12" i="24"/>
  <c r="D12" i="24" s="1"/>
  <c r="L11" i="24"/>
  <c r="K11" i="24"/>
  <c r="D10" i="24"/>
  <c r="D9" i="24"/>
  <c r="D8" i="24"/>
  <c r="D7" i="24"/>
  <c r="J6" i="24"/>
  <c r="G6" i="24"/>
  <c r="L6" i="24" s="1"/>
  <c r="J4" i="24"/>
  <c r="G4" i="24"/>
  <c r="L4" i="24" s="1"/>
  <c r="C5" i="1" a="1"/>
  <c r="C5" i="21" a="1"/>
  <c r="C5" i="22" a="1"/>
  <c r="C5" i="23" a="1"/>
  <c r="H84" i="13"/>
  <c r="I74" i="13"/>
  <c r="I65" i="13"/>
  <c r="H53" i="13"/>
  <c r="I56" i="13"/>
  <c r="H90" i="13"/>
  <c r="I91" i="13"/>
  <c r="H60" i="13"/>
  <c r="I60" i="13"/>
  <c r="H41" i="13"/>
  <c r="H54" i="13"/>
  <c r="H62" i="13"/>
  <c r="I6" i="13"/>
  <c r="I11" i="13"/>
  <c r="I31" i="13"/>
  <c r="I21" i="13"/>
  <c r="H30" i="13"/>
  <c r="I24" i="13"/>
  <c r="I8" i="13"/>
  <c r="H18" i="13"/>
  <c r="I64" i="13"/>
  <c r="H33" i="13"/>
  <c r="H82" i="13"/>
  <c r="H92" i="13"/>
  <c r="I61" i="13"/>
  <c r="I76" i="13"/>
  <c r="I77" i="13"/>
  <c r="H77" i="13"/>
  <c r="I59" i="13"/>
  <c r="I92" i="13"/>
  <c r="I75" i="13"/>
  <c r="I28" i="13"/>
  <c r="I22" i="13"/>
  <c r="H28" i="13"/>
  <c r="I39" i="13"/>
  <c r="I32" i="13"/>
  <c r="I23" i="13"/>
  <c r="I20" i="13"/>
  <c r="H21" i="13"/>
  <c r="I44" i="13"/>
  <c r="I63" i="13"/>
  <c r="I69" i="13"/>
  <c r="I52" i="13"/>
  <c r="I68" i="13"/>
  <c r="H71" i="13"/>
  <c r="H69" i="13"/>
  <c r="H65" i="13"/>
  <c r="H57" i="13"/>
  <c r="I78" i="13"/>
  <c r="H39" i="13"/>
  <c r="H23" i="13"/>
  <c r="H31" i="13"/>
  <c r="H40" i="13"/>
  <c r="H76" i="13"/>
  <c r="I33" i="13"/>
  <c r="I88" i="13"/>
  <c r="I72" i="13"/>
  <c r="H59" i="13"/>
  <c r="H64" i="13"/>
  <c r="H80" i="13"/>
  <c r="I7" i="13"/>
  <c r="I34" i="13"/>
  <c r="H16" i="13"/>
  <c r="H6" i="13"/>
  <c r="H85" i="13"/>
  <c r="I53" i="13"/>
  <c r="I89" i="13"/>
  <c r="H42" i="13"/>
  <c r="H87" i="13"/>
  <c r="H44" i="13"/>
  <c r="I26" i="13"/>
  <c r="I15" i="13"/>
  <c r="H20" i="13"/>
  <c r="H9" i="13"/>
  <c r="I45" i="13"/>
  <c r="H56" i="13"/>
  <c r="H70" i="13"/>
  <c r="I87" i="13"/>
  <c r="H29" i="13"/>
  <c r="I19" i="13"/>
  <c r="I25" i="13"/>
  <c r="I36" i="13"/>
  <c r="H24" i="13"/>
  <c r="I43" i="13"/>
  <c r="H67" i="13"/>
  <c r="I80" i="13"/>
  <c r="I90" i="13"/>
  <c r="H19" i="13"/>
  <c r="I9" i="13"/>
  <c r="H15" i="13"/>
  <c r="I54" i="13"/>
  <c r="I85" i="13"/>
  <c r="H68" i="13"/>
  <c r="H73" i="13"/>
  <c r="H10" i="13"/>
  <c r="I35" i="13"/>
  <c r="H5" i="13"/>
  <c r="I55" i="13"/>
  <c r="I40" i="13"/>
  <c r="H63" i="13"/>
  <c r="I29" i="13"/>
  <c r="H14" i="13"/>
  <c r="H11" i="13"/>
  <c r="I38" i="13"/>
  <c r="I17" i="13"/>
  <c r="H37" i="13"/>
  <c r="H55" i="13"/>
  <c r="I66" i="13"/>
  <c r="I57" i="13"/>
  <c r="H89" i="13"/>
  <c r="I84" i="13"/>
  <c r="I14" i="13"/>
  <c r="H22" i="13"/>
  <c r="H7" i="13"/>
  <c r="H38" i="13"/>
  <c r="H79" i="13"/>
  <c r="I62" i="13"/>
  <c r="I79" i="13"/>
  <c r="H58" i="13"/>
  <c r="H74" i="13"/>
  <c r="H25" i="13"/>
  <c r="H32" i="13"/>
  <c r="H36" i="13"/>
  <c r="H12" i="13"/>
  <c r="I10" i="13"/>
  <c r="I71" i="13"/>
  <c r="H45" i="13"/>
  <c r="I86" i="13"/>
  <c r="H83" i="13"/>
  <c r="H81" i="13"/>
  <c r="I12" i="13"/>
  <c r="H26" i="13"/>
  <c r="H35" i="13"/>
  <c r="H72" i="13"/>
  <c r="H88" i="13"/>
  <c r="H61" i="13"/>
  <c r="I58" i="13"/>
  <c r="H27" i="13"/>
  <c r="H8" i="13"/>
  <c r="I37" i="13"/>
  <c r="H78" i="13"/>
  <c r="I70" i="13"/>
  <c r="I83" i="13"/>
  <c r="I42" i="13"/>
  <c r="I18" i="13"/>
  <c r="I13" i="13"/>
  <c r="I5" i="13"/>
  <c r="H91" i="13"/>
  <c r="I67" i="13"/>
  <c r="I81" i="13"/>
  <c r="H13" i="13"/>
  <c r="I16" i="13"/>
  <c r="I73" i="13"/>
  <c r="H66" i="13"/>
  <c r="H43" i="13"/>
  <c r="I82" i="13"/>
  <c r="I30" i="13"/>
  <c r="H17" i="13"/>
  <c r="H52" i="13"/>
  <c r="H86" i="13"/>
  <c r="H75" i="13"/>
  <c r="I41" i="13"/>
  <c r="H34" i="13"/>
  <c r="I27" i="13"/>
  <c r="C12" i="21" l="1"/>
  <c r="C20" i="21"/>
  <c r="C28" i="21"/>
  <c r="C36" i="21"/>
  <c r="C44" i="21"/>
  <c r="C52" i="21"/>
  <c r="C60" i="21"/>
  <c r="C68" i="21"/>
  <c r="C76" i="21"/>
  <c r="C7" i="21"/>
  <c r="C15" i="21"/>
  <c r="C23" i="21"/>
  <c r="C31" i="21"/>
  <c r="C39" i="21"/>
  <c r="C47" i="21"/>
  <c r="C55" i="21"/>
  <c r="C63" i="21"/>
  <c r="C71" i="21"/>
  <c r="C79" i="21"/>
  <c r="C8" i="21"/>
  <c r="C16" i="21"/>
  <c r="C24" i="21"/>
  <c r="C32" i="21"/>
  <c r="C40" i="21"/>
  <c r="C48" i="21"/>
  <c r="C56" i="21"/>
  <c r="C64" i="21"/>
  <c r="C72" i="21"/>
  <c r="C80" i="21"/>
  <c r="C9" i="21"/>
  <c r="C17" i="21"/>
  <c r="C25" i="21"/>
  <c r="C33" i="21"/>
  <c r="C41" i="21"/>
  <c r="C49" i="21"/>
  <c r="C57" i="21"/>
  <c r="C65" i="21"/>
  <c r="C73" i="21"/>
  <c r="C6" i="21"/>
  <c r="C22" i="21"/>
  <c r="C38" i="21"/>
  <c r="C54" i="21"/>
  <c r="C70" i="21"/>
  <c r="C11" i="21"/>
  <c r="C43" i="21"/>
  <c r="C75" i="21"/>
  <c r="C13" i="21"/>
  <c r="C29" i="21"/>
  <c r="C45" i="21"/>
  <c r="C77" i="21"/>
  <c r="C5" i="21"/>
  <c r="C69" i="21"/>
  <c r="C10" i="21"/>
  <c r="C26" i="21"/>
  <c r="C42" i="21"/>
  <c r="C58" i="21"/>
  <c r="C74" i="21"/>
  <c r="C27" i="21"/>
  <c r="C59" i="21"/>
  <c r="C61" i="21"/>
  <c r="C53" i="21"/>
  <c r="C21" i="21"/>
  <c r="C14" i="21"/>
  <c r="C30" i="21"/>
  <c r="C46" i="21"/>
  <c r="C62" i="21"/>
  <c r="C78" i="21"/>
  <c r="C18" i="21"/>
  <c r="C34" i="21"/>
  <c r="C50" i="21"/>
  <c r="C66" i="21"/>
  <c r="C19" i="21"/>
  <c r="C35" i="21"/>
  <c r="C51" i="21"/>
  <c r="C67" i="21"/>
  <c r="C37" i="21"/>
  <c r="C10" i="23"/>
  <c r="C18" i="23"/>
  <c r="C26" i="23"/>
  <c r="C34" i="23"/>
  <c r="C42" i="23"/>
  <c r="C50" i="23"/>
  <c r="C58" i="23"/>
  <c r="C66" i="23"/>
  <c r="C74" i="23"/>
  <c r="C27" i="23"/>
  <c r="C43" i="23"/>
  <c r="C51" i="23"/>
  <c r="C67" i="23"/>
  <c r="C75" i="23"/>
  <c r="C12" i="23"/>
  <c r="C20" i="23"/>
  <c r="C36" i="23"/>
  <c r="C52" i="23"/>
  <c r="C68" i="23"/>
  <c r="C11" i="23"/>
  <c r="C19" i="23"/>
  <c r="C35" i="23"/>
  <c r="C59" i="23"/>
  <c r="C28" i="23"/>
  <c r="C44" i="23"/>
  <c r="C60" i="23"/>
  <c r="C76" i="23"/>
  <c r="C7" i="23"/>
  <c r="C15" i="23"/>
  <c r="C23" i="23"/>
  <c r="C31" i="23"/>
  <c r="C39" i="23"/>
  <c r="C47" i="23"/>
  <c r="C55" i="23"/>
  <c r="C63" i="23"/>
  <c r="C71" i="23"/>
  <c r="C79" i="23"/>
  <c r="C13" i="23"/>
  <c r="C29" i="23"/>
  <c r="C45" i="23"/>
  <c r="C61" i="23"/>
  <c r="C77" i="23"/>
  <c r="C14" i="23"/>
  <c r="C30" i="23"/>
  <c r="C46" i="23"/>
  <c r="C62" i="23"/>
  <c r="C78" i="23"/>
  <c r="C17" i="23"/>
  <c r="C49" i="23"/>
  <c r="C22" i="23"/>
  <c r="C54" i="23"/>
  <c r="C16" i="23"/>
  <c r="C32" i="23"/>
  <c r="C48" i="23"/>
  <c r="C64" i="23"/>
  <c r="C80" i="23"/>
  <c r="C33" i="23"/>
  <c r="C65" i="23"/>
  <c r="C6" i="23"/>
  <c r="C38" i="23"/>
  <c r="C70" i="23"/>
  <c r="C9" i="23"/>
  <c r="C41" i="23"/>
  <c r="C73" i="23"/>
  <c r="C5" i="23"/>
  <c r="C21" i="23"/>
  <c r="C37" i="23"/>
  <c r="C53" i="23"/>
  <c r="C69" i="23"/>
  <c r="C25" i="23"/>
  <c r="C57" i="23"/>
  <c r="C8" i="23"/>
  <c r="C24" i="23"/>
  <c r="C40" i="23"/>
  <c r="C56" i="23"/>
  <c r="C72" i="23"/>
  <c r="C12" i="22"/>
  <c r="C20" i="22"/>
  <c r="C28" i="22"/>
  <c r="C36" i="22"/>
  <c r="C44" i="22"/>
  <c r="C52" i="22"/>
  <c r="C60" i="22"/>
  <c r="C68" i="22"/>
  <c r="C76" i="22"/>
  <c r="C5" i="22"/>
  <c r="C13" i="22"/>
  <c r="C21" i="22"/>
  <c r="C29" i="22"/>
  <c r="C37" i="22"/>
  <c r="C45" i="22"/>
  <c r="C53" i="22"/>
  <c r="C61" i="22"/>
  <c r="C69" i="22"/>
  <c r="C77" i="22"/>
  <c r="C6" i="22"/>
  <c r="C14" i="22"/>
  <c r="C22" i="22"/>
  <c r="C30" i="22"/>
  <c r="C38" i="22"/>
  <c r="C46" i="22"/>
  <c r="C54" i="22"/>
  <c r="C62" i="22"/>
  <c r="C70" i="22"/>
  <c r="C78" i="22"/>
  <c r="C7" i="22"/>
  <c r="C15" i="22"/>
  <c r="C23" i="22"/>
  <c r="C31" i="22"/>
  <c r="C39" i="22"/>
  <c r="C47" i="22"/>
  <c r="C55" i="22"/>
  <c r="C63" i="22"/>
  <c r="C71" i="22"/>
  <c r="C79" i="22"/>
  <c r="C8" i="22"/>
  <c r="C16" i="22"/>
  <c r="C24" i="22"/>
  <c r="C32" i="22"/>
  <c r="C40" i="22"/>
  <c r="C48" i="22"/>
  <c r="C56" i="22"/>
  <c r="C64" i="22"/>
  <c r="C72" i="22"/>
  <c r="C80" i="22"/>
  <c r="C9" i="22"/>
  <c r="C17" i="22"/>
  <c r="C25" i="22"/>
  <c r="C33" i="22"/>
  <c r="C41" i="22"/>
  <c r="C49" i="22"/>
  <c r="C57" i="22"/>
  <c r="C65" i="22"/>
  <c r="C73" i="22"/>
  <c r="C10" i="22"/>
  <c r="C18" i="22"/>
  <c r="C26" i="22"/>
  <c r="C34" i="22"/>
  <c r="C42" i="22"/>
  <c r="C50" i="22"/>
  <c r="C58" i="22"/>
  <c r="C66" i="22"/>
  <c r="C74" i="22"/>
  <c r="C11" i="22"/>
  <c r="C19" i="22"/>
  <c r="C27" i="22"/>
  <c r="C35" i="22"/>
  <c r="C43" i="22"/>
  <c r="C51" i="22"/>
  <c r="C59" i="22"/>
  <c r="C67" i="22"/>
  <c r="C75" i="22"/>
  <c r="C12" i="1"/>
  <c r="C20" i="1"/>
  <c r="C28" i="1"/>
  <c r="C36" i="1"/>
  <c r="C44" i="1"/>
  <c r="C52" i="1"/>
  <c r="C60" i="1"/>
  <c r="C68" i="1"/>
  <c r="C76" i="1"/>
  <c r="C5" i="1"/>
  <c r="C13" i="1"/>
  <c r="C21" i="1"/>
  <c r="C29" i="1"/>
  <c r="C37" i="1"/>
  <c r="C45" i="1"/>
  <c r="C53" i="1"/>
  <c r="C61" i="1"/>
  <c r="C69" i="1"/>
  <c r="C77" i="1"/>
  <c r="C6" i="1"/>
  <c r="C14" i="1"/>
  <c r="C22" i="1"/>
  <c r="C30" i="1"/>
  <c r="C38" i="1"/>
  <c r="C46" i="1"/>
  <c r="C54" i="1"/>
  <c r="C62" i="1"/>
  <c r="C70" i="1"/>
  <c r="C78" i="1"/>
  <c r="C7" i="1"/>
  <c r="C15" i="1"/>
  <c r="C23" i="1"/>
  <c r="C31" i="1"/>
  <c r="C39" i="1"/>
  <c r="C47" i="1"/>
  <c r="C55" i="1"/>
  <c r="C63" i="1"/>
  <c r="C71" i="1"/>
  <c r="C79" i="1"/>
  <c r="C8" i="1"/>
  <c r="C16" i="1"/>
  <c r="C24" i="1"/>
  <c r="C32" i="1"/>
  <c r="C40" i="1"/>
  <c r="C48" i="1"/>
  <c r="C56" i="1"/>
  <c r="C64" i="1"/>
  <c r="C72" i="1"/>
  <c r="C80" i="1"/>
  <c r="C9" i="1"/>
  <c r="C17" i="1"/>
  <c r="C25" i="1"/>
  <c r="C33" i="1"/>
  <c r="C41" i="1"/>
  <c r="C49" i="1"/>
  <c r="C57" i="1"/>
  <c r="C65" i="1"/>
  <c r="C73" i="1"/>
  <c r="C10" i="1"/>
  <c r="C18" i="1"/>
  <c r="C26" i="1"/>
  <c r="C34" i="1"/>
  <c r="C42" i="1"/>
  <c r="C50" i="1"/>
  <c r="C58" i="1"/>
  <c r="C66" i="1"/>
  <c r="C74" i="1"/>
  <c r="C11" i="1"/>
  <c r="C19" i="1"/>
  <c r="C27" i="1"/>
  <c r="C35" i="1"/>
  <c r="C43" i="1"/>
  <c r="C51" i="1"/>
  <c r="C59" i="1"/>
  <c r="C67" i="1"/>
  <c r="C75" i="1"/>
  <c r="J78" i="13"/>
  <c r="K78" i="13" s="1"/>
  <c r="J75" i="13"/>
  <c r="K75" i="13" s="1"/>
  <c r="J41" i="13"/>
  <c r="K41" i="13" s="1"/>
  <c r="J82" i="13"/>
  <c r="K82" i="13" s="1"/>
  <c r="J81" i="13"/>
  <c r="K81" i="13" s="1"/>
  <c r="J84" i="13"/>
  <c r="K84" i="13" s="1"/>
  <c r="J29" i="13"/>
  <c r="K29" i="13" s="1"/>
  <c r="J92" i="13"/>
  <c r="K92" i="13" s="1"/>
  <c r="J90" i="13"/>
  <c r="K90" i="13" s="1"/>
  <c r="J59" i="13"/>
  <c r="K59" i="13" s="1"/>
  <c r="J42" i="13"/>
  <c r="K42" i="13" s="1"/>
  <c r="J58" i="13"/>
  <c r="K58" i="13" s="1"/>
  <c r="J60" i="13"/>
  <c r="K60" i="13" s="1"/>
  <c r="J87" i="13"/>
  <c r="K87" i="13" s="1"/>
  <c r="J77" i="13"/>
  <c r="K77" i="13" s="1"/>
  <c r="J80" i="13"/>
  <c r="K80" i="13" s="1"/>
  <c r="J57" i="13"/>
  <c r="K57" i="13" s="1"/>
  <c r="J55" i="13"/>
  <c r="K55" i="13" s="1"/>
  <c r="J91" i="13"/>
  <c r="K91" i="13" s="1"/>
  <c r="J83" i="13"/>
  <c r="K83" i="13" s="1"/>
  <c r="J67" i="13"/>
  <c r="K67" i="13" s="1"/>
  <c r="J72" i="13"/>
  <c r="K72" i="13" s="1"/>
  <c r="J40" i="13"/>
  <c r="K40" i="13" s="1"/>
  <c r="J76" i="13"/>
  <c r="K76" i="13" s="1"/>
  <c r="J79" i="13"/>
  <c r="K79" i="13" s="1"/>
  <c r="J66" i="13"/>
  <c r="K66" i="13" s="1"/>
  <c r="J61" i="13"/>
  <c r="K61" i="13" s="1"/>
  <c r="J56" i="13"/>
  <c r="K56" i="13" s="1"/>
  <c r="J85" i="13"/>
  <c r="K85" i="13" s="1"/>
  <c r="J86" i="13"/>
  <c r="K86" i="13" s="1"/>
  <c r="J89" i="13"/>
  <c r="K89" i="13" s="1"/>
  <c r="J88" i="13"/>
  <c r="K88" i="13" s="1"/>
  <c r="J68" i="13"/>
  <c r="K68" i="13" s="1"/>
  <c r="J70" i="13"/>
  <c r="K70" i="13" s="1"/>
  <c r="J62" i="13"/>
  <c r="K62" i="13" s="1"/>
  <c r="J33" i="13"/>
  <c r="K33" i="13" s="1"/>
  <c r="J52" i="13"/>
  <c r="K52" i="13" s="1"/>
  <c r="K95" i="13" s="1"/>
  <c r="J65" i="13"/>
  <c r="K65" i="13" s="1"/>
  <c r="J73" i="13"/>
  <c r="K73" i="13" s="1"/>
  <c r="J53" i="13"/>
  <c r="K53" i="13" s="1"/>
  <c r="J69" i="13"/>
  <c r="K69" i="13" s="1"/>
  <c r="J74" i="13"/>
  <c r="K74" i="13" s="1"/>
  <c r="J54" i="13"/>
  <c r="K54" i="13" s="1"/>
  <c r="J45" i="13"/>
  <c r="K45" i="13" s="1"/>
  <c r="J63" i="13"/>
  <c r="K63" i="13" s="1"/>
  <c r="J64" i="13"/>
  <c r="K64" i="13" s="1"/>
  <c r="J43" i="13"/>
  <c r="K43" i="13" s="1"/>
  <c r="J71" i="13"/>
  <c r="K71" i="13" s="1"/>
  <c r="J44" i="13"/>
  <c r="K44" i="13" s="1"/>
  <c r="J22" i="13"/>
  <c r="K22" i="13" s="1"/>
  <c r="J30" i="13"/>
  <c r="K30" i="13" s="1"/>
  <c r="J26" i="13"/>
  <c r="K26" i="13" s="1"/>
  <c r="J11" i="13"/>
  <c r="K11" i="13" s="1"/>
  <c r="J32" i="13"/>
  <c r="K32" i="13" s="1"/>
  <c r="J13" i="13"/>
  <c r="K13" i="13" s="1"/>
  <c r="J36" i="13"/>
  <c r="K36" i="13" s="1"/>
  <c r="J8" i="13"/>
  <c r="K8" i="13" s="1"/>
  <c r="J20" i="13"/>
  <c r="K20" i="13" s="1"/>
  <c r="J31" i="13"/>
  <c r="K31" i="13" s="1"/>
  <c r="J15" i="13"/>
  <c r="K15" i="13" s="1"/>
  <c r="J17" i="13"/>
  <c r="K17" i="13" s="1"/>
  <c r="J6" i="13"/>
  <c r="K6" i="13" s="1"/>
  <c r="J28" i="13"/>
  <c r="K28" i="13" s="1"/>
  <c r="J18" i="13"/>
  <c r="K18" i="13" s="1"/>
  <c r="J12" i="13"/>
  <c r="K12" i="13" s="1"/>
  <c r="J25" i="13"/>
  <c r="K25" i="13" s="1"/>
  <c r="J16" i="13"/>
  <c r="K16" i="13" s="1"/>
  <c r="J5" i="13"/>
  <c r="K5" i="13" s="1"/>
  <c r="J19" i="13"/>
  <c r="K19" i="13" s="1"/>
  <c r="J37" i="13"/>
  <c r="K37" i="13" s="1"/>
  <c r="J21" i="13"/>
  <c r="K21" i="13" s="1"/>
  <c r="J9" i="13"/>
  <c r="K9" i="13" s="1"/>
  <c r="J24" i="13"/>
  <c r="K24" i="13" s="1"/>
  <c r="J10" i="13"/>
  <c r="K10" i="13" s="1"/>
  <c r="J35" i="13"/>
  <c r="K35" i="13" s="1"/>
  <c r="J7" i="13"/>
  <c r="K7" i="13" s="1"/>
  <c r="J27" i="13"/>
  <c r="K27" i="13" s="1"/>
  <c r="J23" i="13"/>
  <c r="K23" i="13" s="1"/>
  <c r="J38" i="13"/>
  <c r="K38" i="13" s="1"/>
  <c r="J14" i="13"/>
  <c r="K14" i="13" s="1"/>
  <c r="J39" i="13"/>
  <c r="K39" i="13" s="1"/>
  <c r="J34" i="13"/>
  <c r="K34" i="13" s="1"/>
  <c r="O68" i="22"/>
  <c r="D68" i="22" a="1"/>
  <c r="D53" i="22" a="1"/>
  <c r="O53" i="22"/>
  <c r="O38" i="22"/>
  <c r="D38" i="22" a="1"/>
  <c r="D23" i="22" a="1"/>
  <c r="O23" i="22"/>
  <c r="O8" i="22"/>
  <c r="D8" i="22" a="1"/>
  <c r="D72" i="22" a="1"/>
  <c r="O72" i="22"/>
  <c r="D57" i="22" a="1"/>
  <c r="O57" i="22"/>
  <c r="O50" i="22"/>
  <c r="D50" i="22" a="1"/>
  <c r="O43" i="22"/>
  <c r="D43" i="22" a="1"/>
  <c r="O52" i="22"/>
  <c r="D52" i="22" a="1"/>
  <c r="O37" i="22"/>
  <c r="D37" i="22" a="1"/>
  <c r="O22" i="22"/>
  <c r="D22" i="22" a="1"/>
  <c r="O7" i="22"/>
  <c r="D7" i="22" a="1"/>
  <c r="O71" i="22"/>
  <c r="D71" i="22" a="1"/>
  <c r="D56" i="22" a="1"/>
  <c r="O56" i="22"/>
  <c r="O41" i="22"/>
  <c r="D41" i="22" a="1"/>
  <c r="D34" i="22" a="1"/>
  <c r="O34" i="22"/>
  <c r="O27" i="22"/>
  <c r="D27" i="22" a="1"/>
  <c r="D68" i="1" a="1"/>
  <c r="O68" i="1"/>
  <c r="O53" i="1"/>
  <c r="D53" i="1" a="1"/>
  <c r="D38" i="1" a="1"/>
  <c r="O38" i="1"/>
  <c r="D23" i="1" a="1"/>
  <c r="O23" i="1"/>
  <c r="O8" i="1"/>
  <c r="D8" i="1" a="1"/>
  <c r="D72" i="1" a="1"/>
  <c r="O72" i="1"/>
  <c r="O57" i="1"/>
  <c r="D57" i="1" a="1"/>
  <c r="D50" i="1" a="1"/>
  <c r="O50" i="1"/>
  <c r="D43" i="1" a="1"/>
  <c r="O43" i="1"/>
  <c r="O60" i="22"/>
  <c r="D60" i="22" a="1"/>
  <c r="O45" i="22"/>
  <c r="D45" i="22" a="1"/>
  <c r="O30" i="22"/>
  <c r="D30" i="22" a="1"/>
  <c r="D15" i="22" a="1"/>
  <c r="O15" i="22"/>
  <c r="O79" i="22"/>
  <c r="D79" i="22" a="1"/>
  <c r="D64" i="22" a="1"/>
  <c r="O64" i="22"/>
  <c r="D49" i="22" a="1"/>
  <c r="O49" i="22"/>
  <c r="D42" i="22" a="1"/>
  <c r="O42" i="22"/>
  <c r="D35" i="22" a="1"/>
  <c r="O35" i="22"/>
  <c r="D12" i="22" a="1"/>
  <c r="O12" i="22"/>
  <c r="D76" i="22" a="1"/>
  <c r="O76" i="22"/>
  <c r="O61" i="22"/>
  <c r="D61" i="22" a="1"/>
  <c r="O46" i="22"/>
  <c r="D46" i="22" a="1"/>
  <c r="D31" i="22" a="1"/>
  <c r="O31" i="22"/>
  <c r="D16" i="22" a="1"/>
  <c r="O16" i="22"/>
  <c r="O80" i="22"/>
  <c r="D80" i="22" a="1"/>
  <c r="O65" i="22"/>
  <c r="D65" i="22" a="1"/>
  <c r="D58" i="22" a="1"/>
  <c r="O58" i="22"/>
  <c r="O51" i="22"/>
  <c r="D51" i="22" a="1"/>
  <c r="D36" i="1" a="1"/>
  <c r="O36" i="1"/>
  <c r="O21" i="1"/>
  <c r="D21" i="1" a="1"/>
  <c r="O6" i="1"/>
  <c r="D6" i="1" a="1"/>
  <c r="D70" i="1" a="1"/>
  <c r="O70" i="1"/>
  <c r="O55" i="1"/>
  <c r="D55" i="1" a="1"/>
  <c r="O40" i="1"/>
  <c r="D40" i="1" a="1"/>
  <c r="D25" i="1" a="1"/>
  <c r="O25" i="1"/>
  <c r="D18" i="1" a="1"/>
  <c r="O18" i="1"/>
  <c r="O11" i="1"/>
  <c r="D11" i="1" a="1"/>
  <c r="O75" i="1"/>
  <c r="D75" i="1" a="1"/>
  <c r="D63" i="21" a="1"/>
  <c r="D45" i="21" a="1"/>
  <c r="O28" i="21"/>
  <c r="O16" i="21"/>
  <c r="D10" i="21" a="1"/>
  <c r="D73" i="21" a="1"/>
  <c r="D50" i="21" a="1"/>
  <c r="D71" i="21" a="1"/>
  <c r="O77" i="21"/>
  <c r="D9" i="21" a="1"/>
  <c r="O49" i="21"/>
  <c r="D24" i="21" a="1"/>
  <c r="O72" i="21"/>
  <c r="O61" i="21"/>
  <c r="D60" i="21" a="1"/>
  <c r="O6" i="21"/>
  <c r="D68" i="21" a="1"/>
  <c r="D22" i="21" a="1"/>
  <c r="O19" i="21"/>
  <c r="O44" i="23"/>
  <c r="O33" i="23"/>
  <c r="D76" i="23" a="1"/>
  <c r="O6" i="23"/>
  <c r="O7" i="23"/>
  <c r="O38" i="23"/>
  <c r="O18" i="23"/>
  <c r="D55" i="23" a="1"/>
  <c r="D21" i="23" a="1"/>
  <c r="D79" i="23" a="1"/>
  <c r="O75" i="23"/>
  <c r="O62" i="23"/>
  <c r="D19" i="23" a="1"/>
  <c r="D31" i="23" a="1"/>
  <c r="O41" i="23"/>
  <c r="O20" i="23"/>
  <c r="O17" i="23"/>
  <c r="O67" i="23"/>
  <c r="D80" i="23" a="1"/>
  <c r="D32" i="23" a="1"/>
  <c r="O80" i="21"/>
  <c r="D15" i="21" a="1"/>
  <c r="D57" i="21" a="1"/>
  <c r="O18" i="21"/>
  <c r="D55" i="21" a="1"/>
  <c r="O10" i="23"/>
  <c r="D37" i="23" a="1"/>
  <c r="D53" i="23" a="1"/>
  <c r="O77" i="23"/>
  <c r="O51" i="23"/>
  <c r="D48" i="23" a="1"/>
  <c r="O29" i="23"/>
  <c r="O80" i="23"/>
  <c r="O40" i="22"/>
  <c r="D40" i="22" a="1"/>
  <c r="O20" i="22"/>
  <c r="D20" i="22" a="1"/>
  <c r="D69" i="22" a="1"/>
  <c r="O69" i="22"/>
  <c r="D54" i="22" a="1"/>
  <c r="O54" i="22"/>
  <c r="O39" i="22"/>
  <c r="D39" i="22" a="1"/>
  <c r="O24" i="22"/>
  <c r="D24" i="22" a="1"/>
  <c r="D9" i="22" a="1"/>
  <c r="O9" i="22"/>
  <c r="O73" i="22"/>
  <c r="D73" i="22" a="1"/>
  <c r="D66" i="22" a="1"/>
  <c r="O66" i="22"/>
  <c r="D59" i="22" a="1"/>
  <c r="O59" i="22"/>
  <c r="D44" i="1" a="1"/>
  <c r="O44" i="1"/>
  <c r="D29" i="1" a="1"/>
  <c r="O29" i="1"/>
  <c r="D14" i="1" a="1"/>
  <c r="O14" i="1"/>
  <c r="O78" i="1"/>
  <c r="D78" i="1" a="1"/>
  <c r="D63" i="1" a="1"/>
  <c r="O63" i="1"/>
  <c r="O48" i="1"/>
  <c r="D48" i="1" a="1"/>
  <c r="D33" i="1" a="1"/>
  <c r="O33" i="1"/>
  <c r="O26" i="1"/>
  <c r="D26" i="1" a="1"/>
  <c r="D19" i="1" a="1"/>
  <c r="O19" i="1"/>
  <c r="O48" i="21"/>
  <c r="O74" i="21"/>
  <c r="D67" i="21" a="1"/>
  <c r="D80" i="21" a="1"/>
  <c r="O53" i="21"/>
  <c r="D75" i="21" a="1"/>
  <c r="O66" i="21"/>
  <c r="D56" i="21" a="1"/>
  <c r="O27" i="21"/>
  <c r="O15" i="21"/>
  <c r="D70" i="21" a="1"/>
  <c r="O36" i="21"/>
  <c r="O57" i="21"/>
  <c r="D18" i="21" a="1"/>
  <c r="D47" i="21" a="1"/>
  <c r="D13" i="21" a="1"/>
  <c r="O55" i="21"/>
  <c r="D29" i="21" a="1"/>
  <c r="D10" i="23" a="1"/>
  <c r="O47" i="23"/>
  <c r="O24" i="23"/>
  <c r="O63" i="23"/>
  <c r="O37" i="23"/>
  <c r="O71" i="23"/>
  <c r="O53" i="23"/>
  <c r="D27" i="23" a="1"/>
  <c r="D77" i="23" a="1"/>
  <c r="O40" i="23"/>
  <c r="D51" i="23" a="1"/>
  <c r="D35" i="23" a="1"/>
  <c r="O48" i="23"/>
  <c r="O58" i="23"/>
  <c r="D29" i="23" a="1"/>
  <c r="D57" i="23" a="1"/>
  <c r="O28" i="23"/>
  <c r="O75" i="21"/>
  <c r="O70" i="21"/>
  <c r="O47" i="21"/>
  <c r="O29" i="21"/>
  <c r="D47" i="23" a="1"/>
  <c r="D63" i="23" a="1"/>
  <c r="D71" i="23" a="1"/>
  <c r="O27" i="23"/>
  <c r="O35" i="23"/>
  <c r="D58" i="23" a="1"/>
  <c r="O57" i="23"/>
  <c r="O32" i="23"/>
  <c r="D70" i="22" a="1"/>
  <c r="O70" i="22"/>
  <c r="O28" i="22"/>
  <c r="D28" i="22" a="1"/>
  <c r="D13" i="22" a="1"/>
  <c r="O13" i="22"/>
  <c r="D77" i="22" a="1"/>
  <c r="O77" i="22"/>
  <c r="D62" i="22" a="1"/>
  <c r="O62" i="22"/>
  <c r="O47" i="22"/>
  <c r="D47" i="22" a="1"/>
  <c r="D32" i="22" a="1"/>
  <c r="O32" i="22"/>
  <c r="O17" i="22"/>
  <c r="D17" i="22" a="1"/>
  <c r="O10" i="22"/>
  <c r="D10" i="22" a="1"/>
  <c r="D74" i="22" a="1"/>
  <c r="O74" i="22"/>
  <c r="D67" i="22" a="1"/>
  <c r="O67" i="22"/>
  <c r="O52" i="1"/>
  <c r="D52" i="1" a="1"/>
  <c r="O37" i="1"/>
  <c r="D37" i="1" a="1"/>
  <c r="O22" i="1"/>
  <c r="D22" i="1" a="1"/>
  <c r="D7" i="1" a="1"/>
  <c r="O7" i="1"/>
  <c r="O71" i="1"/>
  <c r="D71" i="1" a="1"/>
  <c r="D56" i="1" a="1"/>
  <c r="O56" i="1"/>
  <c r="O41" i="1"/>
  <c r="D41" i="1" a="1"/>
  <c r="O34" i="1"/>
  <c r="D34" i="1" a="1"/>
  <c r="O27" i="1"/>
  <c r="D27" i="1" a="1"/>
  <c r="D48" i="21" a="1"/>
  <c r="D74" i="21" a="1"/>
  <c r="O67" i="21"/>
  <c r="D53" i="21" a="1"/>
  <c r="D66" i="21" a="1"/>
  <c r="O56" i="21"/>
  <c r="D27" i="21" a="1"/>
  <c r="D36" i="21" a="1"/>
  <c r="O13" i="21"/>
  <c r="D24" i="23" a="1"/>
  <c r="D40" i="23" a="1"/>
  <c r="D28" i="23" a="1"/>
  <c r="D21" i="22" a="1"/>
  <c r="O21" i="22"/>
  <c r="D36" i="22" a="1"/>
  <c r="O36" i="22"/>
  <c r="D6" i="22" a="1"/>
  <c r="O6" i="22"/>
  <c r="O55" i="22"/>
  <c r="D55" i="22" a="1"/>
  <c r="O25" i="22"/>
  <c r="D25" i="22" a="1"/>
  <c r="D18" i="22" a="1"/>
  <c r="O18" i="22"/>
  <c r="O11" i="22"/>
  <c r="D11" i="22" a="1"/>
  <c r="D75" i="22" a="1"/>
  <c r="O75" i="22"/>
  <c r="D38" i="21" a="1"/>
  <c r="D44" i="21" a="1"/>
  <c r="O43" i="21"/>
  <c r="O26" i="21"/>
  <c r="O71" i="21"/>
  <c r="O51" i="21"/>
  <c r="D59" i="21" a="1"/>
  <c r="O8" i="21"/>
  <c r="O37" i="21"/>
  <c r="D6" i="21" a="1"/>
  <c r="D25" i="21" a="1"/>
  <c r="O74" i="23"/>
  <c r="O49" i="23"/>
  <c r="O14" i="23"/>
  <c r="D7" i="23" a="1"/>
  <c r="O42" i="23"/>
  <c r="D22" i="23" a="1"/>
  <c r="D11" i="23" a="1"/>
  <c r="O23" i="23"/>
  <c r="O19" i="23"/>
  <c r="D64" i="23" a="1"/>
  <c r="O39" i="23"/>
  <c r="O8" i="23"/>
  <c r="D12" i="21" a="1"/>
  <c r="O38" i="21"/>
  <c r="O10" i="21"/>
  <c r="D21" i="21" a="1"/>
  <c r="O41" i="21"/>
  <c r="D51" i="21" a="1"/>
  <c r="D72" i="21" a="1"/>
  <c r="O39" i="21"/>
  <c r="O25" i="21"/>
  <c r="D33" i="23" a="1"/>
  <c r="D54" i="23" a="1"/>
  <c r="D42" i="23" a="1"/>
  <c r="O22" i="23"/>
  <c r="D13" i="23" a="1"/>
  <c r="O64" i="23"/>
  <c r="D67" i="23" a="1"/>
  <c r="O45" i="21"/>
  <c r="D31" i="21" a="1"/>
  <c r="O21" i="21"/>
  <c r="D41" i="21" a="1"/>
  <c r="D78" i="21" a="1"/>
  <c r="D42" i="21" a="1"/>
  <c r="D36" i="23" a="1"/>
  <c r="O54" i="23"/>
  <c r="D65" i="23" a="1"/>
  <c r="O13" i="23"/>
  <c r="O45" i="23"/>
  <c r="D12" i="1" a="1"/>
  <c r="O12" i="1"/>
  <c r="D61" i="1" a="1"/>
  <c r="O61" i="1"/>
  <c r="O16" i="1"/>
  <c r="D16" i="1" a="1"/>
  <c r="D65" i="1" a="1"/>
  <c r="O65" i="1"/>
  <c r="D51" i="1" a="1"/>
  <c r="O51" i="1"/>
  <c r="D46" i="21" a="1"/>
  <c r="O50" i="21"/>
  <c r="O78" i="21"/>
  <c r="O14" i="21"/>
  <c r="O36" i="23"/>
  <c r="D6" i="23" a="1"/>
  <c r="O52" i="23"/>
  <c r="O46" i="23"/>
  <c r="D59" i="23" a="1"/>
  <c r="D45" i="23" a="1"/>
  <c r="D44" i="22" a="1"/>
  <c r="O44" i="22"/>
  <c r="D14" i="22" a="1"/>
  <c r="O14" i="22"/>
  <c r="O48" i="22"/>
  <c r="D48" i="22" a="1"/>
  <c r="O33" i="22"/>
  <c r="D33" i="22" a="1"/>
  <c r="D19" i="22" a="1"/>
  <c r="O19" i="22"/>
  <c r="D20" i="1" a="1"/>
  <c r="O20" i="1"/>
  <c r="D69" i="1" a="1"/>
  <c r="O69" i="1"/>
  <c r="D39" i="1" a="1"/>
  <c r="O39" i="1"/>
  <c r="O9" i="1"/>
  <c r="D9" i="1" a="1"/>
  <c r="D66" i="1" a="1"/>
  <c r="O66" i="1"/>
  <c r="D16" i="21" a="1"/>
  <c r="D20" i="21" a="1"/>
  <c r="D79" i="21" a="1"/>
  <c r="D69" i="21" a="1"/>
  <c r="D14" i="21" a="1"/>
  <c r="D44" i="23" a="1"/>
  <c r="D56" i="23" a="1"/>
  <c r="D52" i="23" a="1"/>
  <c r="O50" i="23"/>
  <c r="O59" i="23"/>
  <c r="D17" i="23" a="1"/>
  <c r="O28" i="1"/>
  <c r="D28" i="1" a="1"/>
  <c r="D62" i="1" a="1"/>
  <c r="O62" i="1"/>
  <c r="D32" i="1" a="1"/>
  <c r="O32" i="1"/>
  <c r="O74" i="1"/>
  <c r="D74" i="1" a="1"/>
  <c r="O52" i="21"/>
  <c r="D64" i="21" a="1"/>
  <c r="O69" i="21"/>
  <c r="O68" i="21"/>
  <c r="O61" i="23"/>
  <c r="D68" i="23" a="1"/>
  <c r="D38" i="23" a="1"/>
  <c r="D43" i="23" a="1"/>
  <c r="D9" i="23" a="1"/>
  <c r="O66" i="23"/>
  <c r="O73" i="23"/>
  <c r="O60" i="1"/>
  <c r="D60" i="1" a="1"/>
  <c r="D45" i="1" a="1"/>
  <c r="O45" i="1"/>
  <c r="O30" i="1"/>
  <c r="D30" i="1" a="1"/>
  <c r="O15" i="1"/>
  <c r="D15" i="1" a="1"/>
  <c r="O79" i="1"/>
  <c r="D79" i="1" a="1"/>
  <c r="O64" i="1"/>
  <c r="D64" i="1" a="1"/>
  <c r="D49" i="1" a="1"/>
  <c r="O49" i="1"/>
  <c r="D42" i="1" a="1"/>
  <c r="O42" i="1"/>
  <c r="O35" i="1"/>
  <c r="D35" i="1" a="1"/>
  <c r="O44" i="21"/>
  <c r="O59" i="21"/>
  <c r="O42" i="21"/>
  <c r="D74" i="23" a="1"/>
  <c r="D30" i="23" a="1"/>
  <c r="O79" i="23"/>
  <c r="D12" i="23" a="1"/>
  <c r="D39" i="23" a="1"/>
  <c r="O34" i="21"/>
  <c r="O9" i="21"/>
  <c r="D39" i="21" a="1"/>
  <c r="O22" i="21"/>
  <c r="O26" i="23"/>
  <c r="D18" i="23" a="1"/>
  <c r="D46" i="23" a="1"/>
  <c r="O12" i="23"/>
  <c r="D70" i="23" a="1"/>
  <c r="D76" i="1" a="1"/>
  <c r="O76" i="1"/>
  <c r="O46" i="1"/>
  <c r="D46" i="1" a="1"/>
  <c r="O80" i="1"/>
  <c r="D80" i="1" a="1"/>
  <c r="O58" i="1"/>
  <c r="D58" i="1" a="1"/>
  <c r="O12" i="21"/>
  <c r="D11" i="21" a="1"/>
  <c r="O30" i="23"/>
  <c r="D41" i="23" a="1"/>
  <c r="O31" i="1"/>
  <c r="D31" i="1" a="1"/>
  <c r="O76" i="21"/>
  <c r="D34" i="21" a="1"/>
  <c r="D54" i="21" a="1"/>
  <c r="O79" i="21"/>
  <c r="O11" i="21"/>
  <c r="O58" i="21"/>
  <c r="D26" i="23" a="1"/>
  <c r="O16" i="23"/>
  <c r="O65" i="23"/>
  <c r="D62" i="23" a="1"/>
  <c r="D15" i="23" a="1"/>
  <c r="O70" i="23"/>
  <c r="O29" i="22"/>
  <c r="D29" i="22" a="1"/>
  <c r="O78" i="22"/>
  <c r="D78" i="22" a="1"/>
  <c r="O63" i="22"/>
  <c r="D63" i="22" a="1"/>
  <c r="D26" i="22" a="1"/>
  <c r="O26" i="22"/>
  <c r="O54" i="1"/>
  <c r="D54" i="1" a="1"/>
  <c r="O24" i="1"/>
  <c r="D24" i="1" a="1"/>
  <c r="D73" i="1" a="1"/>
  <c r="O73" i="1"/>
  <c r="O59" i="1"/>
  <c r="D59" i="1" a="1"/>
  <c r="D76" i="21" a="1"/>
  <c r="O46" i="21"/>
  <c r="D52" i="21" a="1"/>
  <c r="O54" i="21"/>
  <c r="O24" i="21"/>
  <c r="D32" i="21" a="1"/>
  <c r="D58" i="21" a="1"/>
  <c r="O68" i="23"/>
  <c r="D16" i="23" a="1"/>
  <c r="O21" i="23"/>
  <c r="O9" i="23"/>
  <c r="O15" i="23"/>
  <c r="O69" i="23"/>
  <c r="O13" i="1"/>
  <c r="D13" i="1" a="1"/>
  <c r="O77" i="1"/>
  <c r="D77" i="1" a="1"/>
  <c r="O47" i="1"/>
  <c r="D47" i="1" a="1"/>
  <c r="D17" i="1" a="1"/>
  <c r="O17" i="1"/>
  <c r="D10" i="1" a="1"/>
  <c r="O10" i="1"/>
  <c r="O67" i="1"/>
  <c r="D67" i="1" a="1"/>
  <c r="O63" i="21"/>
  <c r="D35" i="21" a="1"/>
  <c r="O65" i="21"/>
  <c r="O20" i="21"/>
  <c r="D77" i="21" a="1"/>
  <c r="D23" i="21" a="1"/>
  <c r="O32" i="21"/>
  <c r="D30" i="21" a="1"/>
  <c r="O56" i="23"/>
  <c r="O60" i="23"/>
  <c r="D50" i="23" a="1"/>
  <c r="O31" i="23"/>
  <c r="O60" i="21"/>
  <c r="D33" i="21" a="1"/>
  <c r="O35" i="21"/>
  <c r="D65" i="21" a="1"/>
  <c r="O73" i="21"/>
  <c r="O7" i="21"/>
  <c r="D62" i="21" a="1"/>
  <c r="O64" i="21"/>
  <c r="O23" i="21"/>
  <c r="D61" i="21" a="1"/>
  <c r="O17" i="21"/>
  <c r="D40" i="21" a="1"/>
  <c r="O30" i="21"/>
  <c r="D61" i="23" a="1"/>
  <c r="O76" i="23"/>
  <c r="O34" i="23"/>
  <c r="D72" i="23" a="1"/>
  <c r="D60" i="23" a="1"/>
  <c r="O43" i="23"/>
  <c r="D75" i="23" a="1"/>
  <c r="D25" i="23" a="1"/>
  <c r="D78" i="23" a="1"/>
  <c r="D66" i="23" a="1"/>
  <c r="D73" i="23" a="1"/>
  <c r="O33" i="21"/>
  <c r="D49" i="21" a="1"/>
  <c r="D34" i="23" a="1"/>
  <c r="D8" i="23" a="1"/>
  <c r="D8" i="21" a="1"/>
  <c r="O72" i="23"/>
  <c r="D69" i="23" a="1"/>
  <c r="D28" i="21" a="1"/>
  <c r="D37" i="21" a="1"/>
  <c r="O55" i="23"/>
  <c r="O31" i="21"/>
  <c r="D17" i="21" a="1"/>
  <c r="O11" i="23"/>
  <c r="D43" i="21" a="1"/>
  <c r="O40" i="21"/>
  <c r="D23" i="23" a="1"/>
  <c r="D26" i="21" a="1"/>
  <c r="D19" i="21" a="1"/>
  <c r="O25" i="23"/>
  <c r="D7" i="21" a="1"/>
  <c r="D49" i="23" a="1"/>
  <c r="O78" i="23"/>
  <c r="D14" i="23" a="1"/>
  <c r="D20" i="23" a="1"/>
  <c r="O62" i="21"/>
  <c r="F67" i="1" l="1"/>
  <c r="M67" i="1"/>
  <c r="J67" i="1"/>
  <c r="E67" i="1"/>
  <c r="L67" i="1"/>
  <c r="N67" i="1"/>
  <c r="K67" i="1"/>
  <c r="G67" i="1"/>
  <c r="H67" i="1"/>
  <c r="D67" i="1"/>
  <c r="I67" i="1"/>
  <c r="E10" i="1"/>
  <c r="I10" i="1"/>
  <c r="J10" i="1"/>
  <c r="F10" i="1"/>
  <c r="H10" i="1"/>
  <c r="M10" i="1"/>
  <c r="N10" i="1"/>
  <c r="G10" i="1"/>
  <c r="D10" i="1"/>
  <c r="L10" i="1"/>
  <c r="K10" i="1"/>
  <c r="M17" i="1"/>
  <c r="J17" i="1"/>
  <c r="I17" i="1"/>
  <c r="K17" i="1"/>
  <c r="E17" i="1"/>
  <c r="L17" i="1"/>
  <c r="N17" i="1"/>
  <c r="D17" i="1"/>
  <c r="F17" i="1"/>
  <c r="H17" i="1"/>
  <c r="G17" i="1"/>
  <c r="H47" i="1"/>
  <c r="L47" i="1"/>
  <c r="M47" i="1"/>
  <c r="D47" i="1"/>
  <c r="J47" i="1"/>
  <c r="K47" i="1"/>
  <c r="I47" i="1"/>
  <c r="G47" i="1"/>
  <c r="F47" i="1"/>
  <c r="E47" i="1"/>
  <c r="N47" i="1"/>
  <c r="D77" i="1"/>
  <c r="F77" i="1"/>
  <c r="H77" i="1"/>
  <c r="M77" i="1"/>
  <c r="I77" i="1"/>
  <c r="G77" i="1"/>
  <c r="J77" i="1"/>
  <c r="N77" i="1"/>
  <c r="E77" i="1"/>
  <c r="L77" i="1"/>
  <c r="K77" i="1"/>
  <c r="E13" i="1"/>
  <c r="D13" i="1"/>
  <c r="I13" i="1"/>
  <c r="J13" i="1"/>
  <c r="N13" i="1"/>
  <c r="H13" i="1"/>
  <c r="G13" i="1"/>
  <c r="F13" i="1"/>
  <c r="K13" i="1"/>
  <c r="M13" i="1"/>
  <c r="L13" i="1"/>
  <c r="I59" i="1"/>
  <c r="L59" i="1"/>
  <c r="H59" i="1"/>
  <c r="M59" i="1"/>
  <c r="N59" i="1"/>
  <c r="F59" i="1"/>
  <c r="G59" i="1"/>
  <c r="E59" i="1"/>
  <c r="K59" i="1"/>
  <c r="D59" i="1"/>
  <c r="J59" i="1"/>
  <c r="K73" i="1"/>
  <c r="J73" i="1"/>
  <c r="E73" i="1"/>
  <c r="I73" i="1"/>
  <c r="D73" i="1"/>
  <c r="H73" i="1"/>
  <c r="N73" i="1"/>
  <c r="L73" i="1"/>
  <c r="M73" i="1"/>
  <c r="F73" i="1"/>
  <c r="G73" i="1"/>
  <c r="N24" i="1"/>
  <c r="F24" i="1"/>
  <c r="L24" i="1"/>
  <c r="D24" i="1"/>
  <c r="H24" i="1"/>
  <c r="K24" i="1"/>
  <c r="M24" i="1"/>
  <c r="G24" i="1"/>
  <c r="I24" i="1"/>
  <c r="J24" i="1"/>
  <c r="E24" i="1"/>
  <c r="H54" i="1"/>
  <c r="F54" i="1"/>
  <c r="I54" i="1"/>
  <c r="E54" i="1"/>
  <c r="J54" i="1"/>
  <c r="G54" i="1"/>
  <c r="D54" i="1"/>
  <c r="M54" i="1"/>
  <c r="L54" i="1"/>
  <c r="N54" i="1"/>
  <c r="K54" i="1"/>
  <c r="E26" i="22"/>
  <c r="K26" i="22"/>
  <c r="M26" i="22"/>
  <c r="J26" i="22"/>
  <c r="L26" i="22"/>
  <c r="H26" i="22"/>
  <c r="G26" i="22"/>
  <c r="F26" i="22"/>
  <c r="D26" i="22"/>
  <c r="N26" i="22"/>
  <c r="I26" i="22"/>
  <c r="N63" i="22"/>
  <c r="F63" i="22"/>
  <c r="M63" i="22"/>
  <c r="K63" i="22"/>
  <c r="H63" i="22"/>
  <c r="E63" i="22"/>
  <c r="G63" i="22"/>
  <c r="J63" i="22"/>
  <c r="I63" i="22"/>
  <c r="L63" i="22"/>
  <c r="D63" i="22"/>
  <c r="D78" i="22"/>
  <c r="F78" i="22"/>
  <c r="J78" i="22"/>
  <c r="H78" i="22"/>
  <c r="E78" i="22"/>
  <c r="M78" i="22"/>
  <c r="L78" i="22"/>
  <c r="I78" i="22"/>
  <c r="N78" i="22"/>
  <c r="G78" i="22"/>
  <c r="K78" i="22"/>
  <c r="E29" i="22"/>
  <c r="N29" i="22"/>
  <c r="M29" i="22"/>
  <c r="F29" i="22"/>
  <c r="J29" i="22"/>
  <c r="K29" i="22"/>
  <c r="H29" i="22"/>
  <c r="G29" i="22"/>
  <c r="I29" i="22"/>
  <c r="L29" i="22"/>
  <c r="D29" i="22"/>
  <c r="H31" i="1"/>
  <c r="I31" i="1"/>
  <c r="E31" i="1"/>
  <c r="M31" i="1"/>
  <c r="K31" i="1"/>
  <c r="L31" i="1"/>
  <c r="D31" i="1"/>
  <c r="N31" i="1"/>
  <c r="J31" i="1"/>
  <c r="G31" i="1"/>
  <c r="F31" i="1"/>
  <c r="E58" i="1"/>
  <c r="K58" i="1"/>
  <c r="H58" i="1"/>
  <c r="I58" i="1"/>
  <c r="F58" i="1"/>
  <c r="G58" i="1"/>
  <c r="N58" i="1"/>
  <c r="M58" i="1"/>
  <c r="L58" i="1"/>
  <c r="D58" i="1"/>
  <c r="J58" i="1"/>
  <c r="J80" i="1"/>
  <c r="H80" i="1"/>
  <c r="D80" i="1"/>
  <c r="G80" i="1"/>
  <c r="I80" i="1"/>
  <c r="F80" i="1"/>
  <c r="N80" i="1"/>
  <c r="L80" i="1"/>
  <c r="K80" i="1"/>
  <c r="M80" i="1"/>
  <c r="E80" i="1"/>
  <c r="H46" i="1"/>
  <c r="K46" i="1"/>
  <c r="J46" i="1"/>
  <c r="N46" i="1"/>
  <c r="I46" i="1"/>
  <c r="L46" i="1"/>
  <c r="M46" i="1"/>
  <c r="F46" i="1"/>
  <c r="D46" i="1"/>
  <c r="E46" i="1"/>
  <c r="G46" i="1"/>
  <c r="L76" i="1"/>
  <c r="D76" i="1"/>
  <c r="H76" i="1"/>
  <c r="K76" i="1"/>
  <c r="G76" i="1"/>
  <c r="I76" i="1"/>
  <c r="N76" i="1"/>
  <c r="F76" i="1"/>
  <c r="M76" i="1"/>
  <c r="E76" i="1"/>
  <c r="J76" i="1"/>
  <c r="F35" i="1"/>
  <c r="K35" i="1"/>
  <c r="M35" i="1"/>
  <c r="H35" i="1"/>
  <c r="L35" i="1"/>
  <c r="G35" i="1"/>
  <c r="J35" i="1"/>
  <c r="I35" i="1"/>
  <c r="D35" i="1"/>
  <c r="E35" i="1"/>
  <c r="N35" i="1"/>
  <c r="D42" i="1"/>
  <c r="M42" i="1"/>
  <c r="H42" i="1"/>
  <c r="E42" i="1"/>
  <c r="G42" i="1"/>
  <c r="L42" i="1"/>
  <c r="I42" i="1"/>
  <c r="F42" i="1"/>
  <c r="N42" i="1"/>
  <c r="K42" i="1"/>
  <c r="J42" i="1"/>
  <c r="I49" i="1"/>
  <c r="N49" i="1"/>
  <c r="H49" i="1"/>
  <c r="M49" i="1"/>
  <c r="J49" i="1"/>
  <c r="K49" i="1"/>
  <c r="L49" i="1"/>
  <c r="G49" i="1"/>
  <c r="F49" i="1"/>
  <c r="D49" i="1"/>
  <c r="E49" i="1"/>
  <c r="I64" i="1"/>
  <c r="N64" i="1"/>
  <c r="D64" i="1"/>
  <c r="F64" i="1"/>
  <c r="G64" i="1"/>
  <c r="J64" i="1"/>
  <c r="H64" i="1"/>
  <c r="E64" i="1"/>
  <c r="M64" i="1"/>
  <c r="L64" i="1"/>
  <c r="K64" i="1"/>
  <c r="K79" i="1"/>
  <c r="H79" i="1"/>
  <c r="D79" i="1"/>
  <c r="J79" i="1"/>
  <c r="N79" i="1"/>
  <c r="G79" i="1"/>
  <c r="F79" i="1"/>
  <c r="E79" i="1"/>
  <c r="I79" i="1"/>
  <c r="L79" i="1"/>
  <c r="M79" i="1"/>
  <c r="M15" i="1"/>
  <c r="G15" i="1"/>
  <c r="D15" i="1"/>
  <c r="K15" i="1"/>
  <c r="H15" i="1"/>
  <c r="I15" i="1"/>
  <c r="E15" i="1"/>
  <c r="J15" i="1"/>
  <c r="L15" i="1"/>
  <c r="N15" i="1"/>
  <c r="F15" i="1"/>
  <c r="J30" i="1"/>
  <c r="D30" i="1"/>
  <c r="L30" i="1"/>
  <c r="K30" i="1"/>
  <c r="N30" i="1"/>
  <c r="M30" i="1"/>
  <c r="G30" i="1"/>
  <c r="F30" i="1"/>
  <c r="E30" i="1"/>
  <c r="I30" i="1"/>
  <c r="H30" i="1"/>
  <c r="H45" i="1"/>
  <c r="L45" i="1"/>
  <c r="E45" i="1"/>
  <c r="D45" i="1"/>
  <c r="I45" i="1"/>
  <c r="G45" i="1"/>
  <c r="K45" i="1"/>
  <c r="J45" i="1"/>
  <c r="N45" i="1"/>
  <c r="F45" i="1"/>
  <c r="M45" i="1"/>
  <c r="E60" i="1"/>
  <c r="J60" i="1"/>
  <c r="M60" i="1"/>
  <c r="F60" i="1"/>
  <c r="L60" i="1"/>
  <c r="D60" i="1"/>
  <c r="N60" i="1"/>
  <c r="K60" i="1"/>
  <c r="H60" i="1"/>
  <c r="I60" i="1"/>
  <c r="G60" i="1"/>
  <c r="I74" i="1"/>
  <c r="N74" i="1"/>
  <c r="F74" i="1"/>
  <c r="J74" i="1"/>
  <c r="G74" i="1"/>
  <c r="L74" i="1"/>
  <c r="D74" i="1"/>
  <c r="E74" i="1"/>
  <c r="M74" i="1"/>
  <c r="K74" i="1"/>
  <c r="H74" i="1"/>
  <c r="E32" i="1"/>
  <c r="F32" i="1"/>
  <c r="N32" i="1"/>
  <c r="M32" i="1"/>
  <c r="H32" i="1"/>
  <c r="D32" i="1"/>
  <c r="G32" i="1"/>
  <c r="L32" i="1"/>
  <c r="I32" i="1"/>
  <c r="K32" i="1"/>
  <c r="J32" i="1"/>
  <c r="I62" i="1"/>
  <c r="M62" i="1"/>
  <c r="E62" i="1"/>
  <c r="H62" i="1"/>
  <c r="D62" i="1"/>
  <c r="F62" i="1"/>
  <c r="L62" i="1"/>
  <c r="K62" i="1"/>
  <c r="N62" i="1"/>
  <c r="J62" i="1"/>
  <c r="G62" i="1"/>
  <c r="I28" i="1"/>
  <c r="K28" i="1"/>
  <c r="G28" i="1"/>
  <c r="J28" i="1"/>
  <c r="D28" i="1"/>
  <c r="F28" i="1"/>
  <c r="H28" i="1"/>
  <c r="E28" i="1"/>
  <c r="N28" i="1"/>
  <c r="L28" i="1"/>
  <c r="M28" i="1"/>
  <c r="L66" i="1"/>
  <c r="H66" i="1"/>
  <c r="F66" i="1"/>
  <c r="N66" i="1"/>
  <c r="M66" i="1"/>
  <c r="I66" i="1"/>
  <c r="G66" i="1"/>
  <c r="J66" i="1"/>
  <c r="E66" i="1"/>
  <c r="D66" i="1"/>
  <c r="K66" i="1"/>
  <c r="I9" i="1"/>
  <c r="L9" i="1"/>
  <c r="F9" i="1"/>
  <c r="D9" i="1"/>
  <c r="M9" i="1"/>
  <c r="N9" i="1"/>
  <c r="G9" i="1"/>
  <c r="K9" i="1"/>
  <c r="E9" i="1"/>
  <c r="J9" i="1"/>
  <c r="H9" i="1"/>
  <c r="D39" i="1"/>
  <c r="F39" i="1"/>
  <c r="K39" i="1"/>
  <c r="M39" i="1"/>
  <c r="J39" i="1"/>
  <c r="L39" i="1"/>
  <c r="H39" i="1"/>
  <c r="E39" i="1"/>
  <c r="I39" i="1"/>
  <c r="N39" i="1"/>
  <c r="G39" i="1"/>
  <c r="E69" i="1"/>
  <c r="H69" i="1"/>
  <c r="N69" i="1"/>
  <c r="I69" i="1"/>
  <c r="M69" i="1"/>
  <c r="L69" i="1"/>
  <c r="K69" i="1"/>
  <c r="D69" i="1"/>
  <c r="J69" i="1"/>
  <c r="G69" i="1"/>
  <c r="F69" i="1"/>
  <c r="E20" i="1"/>
  <c r="F20" i="1"/>
  <c r="D20" i="1"/>
  <c r="M20" i="1"/>
  <c r="K20" i="1"/>
  <c r="I20" i="1"/>
  <c r="G20" i="1"/>
  <c r="L20" i="1"/>
  <c r="N20" i="1"/>
  <c r="J20" i="1"/>
  <c r="H20" i="1"/>
  <c r="M19" i="22"/>
  <c r="K19" i="22"/>
  <c r="J19" i="22"/>
  <c r="N19" i="22"/>
  <c r="I19" i="22"/>
  <c r="H19" i="22"/>
  <c r="F19" i="22"/>
  <c r="G19" i="22"/>
  <c r="E19" i="22"/>
  <c r="D19" i="22"/>
  <c r="L19" i="22"/>
  <c r="M33" i="22"/>
  <c r="G33" i="22"/>
  <c r="I33" i="22"/>
  <c r="H33" i="22"/>
  <c r="E33" i="22"/>
  <c r="J33" i="22"/>
  <c r="D33" i="22"/>
  <c r="L33" i="22"/>
  <c r="N33" i="22"/>
  <c r="K33" i="22"/>
  <c r="F33" i="22"/>
  <c r="I48" i="22"/>
  <c r="E48" i="22"/>
  <c r="N48" i="22"/>
  <c r="M48" i="22"/>
  <c r="L48" i="22"/>
  <c r="G48" i="22"/>
  <c r="J48" i="22"/>
  <c r="H48" i="22"/>
  <c r="D48" i="22"/>
  <c r="F48" i="22"/>
  <c r="K48" i="22"/>
  <c r="H14" i="22"/>
  <c r="J14" i="22"/>
  <c r="F14" i="22"/>
  <c r="N14" i="22"/>
  <c r="E14" i="22"/>
  <c r="I14" i="22"/>
  <c r="G14" i="22"/>
  <c r="D14" i="22"/>
  <c r="L14" i="22"/>
  <c r="M14" i="22"/>
  <c r="K14" i="22"/>
  <c r="G44" i="22"/>
  <c r="I44" i="22"/>
  <c r="D44" i="22"/>
  <c r="N44" i="22"/>
  <c r="M44" i="22"/>
  <c r="H44" i="22"/>
  <c r="K44" i="22"/>
  <c r="F44" i="22"/>
  <c r="E44" i="22"/>
  <c r="L44" i="22"/>
  <c r="J44" i="22"/>
  <c r="H51" i="1"/>
  <c r="J51" i="1"/>
  <c r="N51" i="1"/>
  <c r="D51" i="1"/>
  <c r="K51" i="1"/>
  <c r="F51" i="1"/>
  <c r="L51" i="1"/>
  <c r="I51" i="1"/>
  <c r="G51" i="1"/>
  <c r="E51" i="1"/>
  <c r="M51" i="1"/>
  <c r="E65" i="1"/>
  <c r="F65" i="1"/>
  <c r="D65" i="1"/>
  <c r="L65" i="1"/>
  <c r="H65" i="1"/>
  <c r="K65" i="1"/>
  <c r="M65" i="1"/>
  <c r="N65" i="1"/>
  <c r="G65" i="1"/>
  <c r="J65" i="1"/>
  <c r="I65" i="1"/>
  <c r="K16" i="1"/>
  <c r="N16" i="1"/>
  <c r="M16" i="1"/>
  <c r="D16" i="1"/>
  <c r="J16" i="1"/>
  <c r="I16" i="1"/>
  <c r="L16" i="1"/>
  <c r="H16" i="1"/>
  <c r="F16" i="1"/>
  <c r="G16" i="1"/>
  <c r="E16" i="1"/>
  <c r="H61" i="1"/>
  <c r="K61" i="1"/>
  <c r="G61" i="1"/>
  <c r="J61" i="1"/>
  <c r="L61" i="1"/>
  <c r="N61" i="1"/>
  <c r="I61" i="1"/>
  <c r="D61" i="1"/>
  <c r="F61" i="1"/>
  <c r="M61" i="1"/>
  <c r="E61" i="1"/>
  <c r="F12" i="1"/>
  <c r="K12" i="1"/>
  <c r="L12" i="1"/>
  <c r="N12" i="1"/>
  <c r="D12" i="1"/>
  <c r="J12" i="1"/>
  <c r="H12" i="1"/>
  <c r="G12" i="1"/>
  <c r="I12" i="1"/>
  <c r="E12" i="1"/>
  <c r="M12" i="1"/>
  <c r="L75" i="22"/>
  <c r="F75" i="22"/>
  <c r="J75" i="22"/>
  <c r="N75" i="22"/>
  <c r="E75" i="22"/>
  <c r="H75" i="22"/>
  <c r="D75" i="22"/>
  <c r="G75" i="22"/>
  <c r="M75" i="22"/>
  <c r="K75" i="22"/>
  <c r="I75" i="22"/>
  <c r="N11" i="22"/>
  <c r="M11" i="22"/>
  <c r="J11" i="22"/>
  <c r="I11" i="22"/>
  <c r="H11" i="22"/>
  <c r="L11" i="22"/>
  <c r="K11" i="22"/>
  <c r="D11" i="22"/>
  <c r="F11" i="22"/>
  <c r="G11" i="22"/>
  <c r="E11" i="22"/>
  <c r="G18" i="22"/>
  <c r="I18" i="22"/>
  <c r="H18" i="22"/>
  <c r="F18" i="22"/>
  <c r="E18" i="22"/>
  <c r="D18" i="22"/>
  <c r="K18" i="22"/>
  <c r="J18" i="22"/>
  <c r="M18" i="22"/>
  <c r="L18" i="22"/>
  <c r="N18" i="22"/>
  <c r="J25" i="22"/>
  <c r="D25" i="22"/>
  <c r="I25" i="22"/>
  <c r="H25" i="22"/>
  <c r="K25" i="22"/>
  <c r="G25" i="22"/>
  <c r="L25" i="22"/>
  <c r="E25" i="22"/>
  <c r="F25" i="22"/>
  <c r="N25" i="22"/>
  <c r="M25" i="22"/>
  <c r="E55" i="22"/>
  <c r="L55" i="22"/>
  <c r="N55" i="22"/>
  <c r="D55" i="22"/>
  <c r="M55" i="22"/>
  <c r="J55" i="22"/>
  <c r="G55" i="22"/>
  <c r="F55" i="22"/>
  <c r="H55" i="22"/>
  <c r="K55" i="22"/>
  <c r="I55" i="22"/>
  <c r="E6" i="22"/>
  <c r="K6" i="22"/>
  <c r="H6" i="22"/>
  <c r="I6" i="22"/>
  <c r="D6" i="22"/>
  <c r="L6" i="22"/>
  <c r="M6" i="22"/>
  <c r="F6" i="22"/>
  <c r="N6" i="22"/>
  <c r="G6" i="22"/>
  <c r="J6" i="22"/>
  <c r="L36" i="22"/>
  <c r="F36" i="22"/>
  <c r="G36" i="22"/>
  <c r="N36" i="22"/>
  <c r="E36" i="22"/>
  <c r="D36" i="22"/>
  <c r="I36" i="22"/>
  <c r="M36" i="22"/>
  <c r="H36" i="22"/>
  <c r="K36" i="22"/>
  <c r="J36" i="22"/>
  <c r="M21" i="22"/>
  <c r="L21" i="22"/>
  <c r="J21" i="22"/>
  <c r="D21" i="22"/>
  <c r="I21" i="22"/>
  <c r="H21" i="22"/>
  <c r="G21" i="22"/>
  <c r="F21" i="22"/>
  <c r="N21" i="22"/>
  <c r="E21" i="22"/>
  <c r="K21" i="22"/>
  <c r="I27" i="1"/>
  <c r="D27" i="1"/>
  <c r="E27" i="1"/>
  <c r="L27" i="1"/>
  <c r="H27" i="1"/>
  <c r="G27" i="1"/>
  <c r="F27" i="1"/>
  <c r="M27" i="1"/>
  <c r="K27" i="1"/>
  <c r="J27" i="1"/>
  <c r="N27" i="1"/>
  <c r="N34" i="1"/>
  <c r="H34" i="1"/>
  <c r="G34" i="1"/>
  <c r="J34" i="1"/>
  <c r="M34" i="1"/>
  <c r="I34" i="1"/>
  <c r="E34" i="1"/>
  <c r="F34" i="1"/>
  <c r="L34" i="1"/>
  <c r="D34" i="1"/>
  <c r="K34" i="1"/>
  <c r="J41" i="1"/>
  <c r="D41" i="1"/>
  <c r="K41" i="1"/>
  <c r="L41" i="1"/>
  <c r="N41" i="1"/>
  <c r="E41" i="1"/>
  <c r="H41" i="1"/>
  <c r="M41" i="1"/>
  <c r="I41" i="1"/>
  <c r="G41" i="1"/>
  <c r="F41" i="1"/>
  <c r="G56" i="1"/>
  <c r="K56" i="1"/>
  <c r="E56" i="1"/>
  <c r="J56" i="1"/>
  <c r="N56" i="1"/>
  <c r="I56" i="1"/>
  <c r="L56" i="1"/>
  <c r="F56" i="1"/>
  <c r="M56" i="1"/>
  <c r="D56" i="1"/>
  <c r="H56" i="1"/>
  <c r="H71" i="1"/>
  <c r="J71" i="1"/>
  <c r="N71" i="1"/>
  <c r="E71" i="1"/>
  <c r="D71" i="1"/>
  <c r="F71" i="1"/>
  <c r="K71" i="1"/>
  <c r="G71" i="1"/>
  <c r="M71" i="1"/>
  <c r="I71" i="1"/>
  <c r="L71" i="1"/>
  <c r="I7" i="1"/>
  <c r="H7" i="1"/>
  <c r="E7" i="1"/>
  <c r="L7" i="1"/>
  <c r="G7" i="1"/>
  <c r="K7" i="1"/>
  <c r="F7" i="1"/>
  <c r="D7" i="1"/>
  <c r="J7" i="1"/>
  <c r="N7" i="1"/>
  <c r="M7" i="1"/>
  <c r="F22" i="1"/>
  <c r="L22" i="1"/>
  <c r="J22" i="1"/>
  <c r="H22" i="1"/>
  <c r="N22" i="1"/>
  <c r="G22" i="1"/>
  <c r="D22" i="1"/>
  <c r="K22" i="1"/>
  <c r="M22" i="1"/>
  <c r="E22" i="1"/>
  <c r="I22" i="1"/>
  <c r="J37" i="1"/>
  <c r="F37" i="1"/>
  <c r="L37" i="1"/>
  <c r="M37" i="1"/>
  <c r="K37" i="1"/>
  <c r="I37" i="1"/>
  <c r="H37" i="1"/>
  <c r="N37" i="1"/>
  <c r="E37" i="1"/>
  <c r="G37" i="1"/>
  <c r="D37" i="1"/>
  <c r="I52" i="1"/>
  <c r="D52" i="1"/>
  <c r="M52" i="1"/>
  <c r="L52" i="1"/>
  <c r="H52" i="1"/>
  <c r="K52" i="1"/>
  <c r="G52" i="1"/>
  <c r="E52" i="1"/>
  <c r="F52" i="1"/>
  <c r="J52" i="1"/>
  <c r="N52" i="1"/>
  <c r="E67" i="22"/>
  <c r="H67" i="22"/>
  <c r="N67" i="22"/>
  <c r="M67" i="22"/>
  <c r="D67" i="22"/>
  <c r="J67" i="22"/>
  <c r="L67" i="22"/>
  <c r="K67" i="22"/>
  <c r="I67" i="22"/>
  <c r="G67" i="22"/>
  <c r="F67" i="22"/>
  <c r="D74" i="22"/>
  <c r="E74" i="22"/>
  <c r="G74" i="22"/>
  <c r="J74" i="22"/>
  <c r="I74" i="22"/>
  <c r="L74" i="22"/>
  <c r="K74" i="22"/>
  <c r="H74" i="22"/>
  <c r="M74" i="22"/>
  <c r="F74" i="22"/>
  <c r="N74" i="22"/>
  <c r="I10" i="22"/>
  <c r="D10" i="22"/>
  <c r="L10" i="22"/>
  <c r="J10" i="22"/>
  <c r="M10" i="22"/>
  <c r="H10" i="22"/>
  <c r="E10" i="22"/>
  <c r="G10" i="22"/>
  <c r="F10" i="22"/>
  <c r="K10" i="22"/>
  <c r="N10" i="22"/>
  <c r="J17" i="22"/>
  <c r="M17" i="22"/>
  <c r="D17" i="22"/>
  <c r="L17" i="22"/>
  <c r="K17" i="22"/>
  <c r="I17" i="22"/>
  <c r="N17" i="22"/>
  <c r="H17" i="22"/>
  <c r="E17" i="22"/>
  <c r="G17" i="22"/>
  <c r="F17" i="22"/>
  <c r="L32" i="22"/>
  <c r="M32" i="22"/>
  <c r="J32" i="22"/>
  <c r="K32" i="22"/>
  <c r="G32" i="22"/>
  <c r="H32" i="22"/>
  <c r="F32" i="22"/>
  <c r="N32" i="22"/>
  <c r="I32" i="22"/>
  <c r="E32" i="22"/>
  <c r="D32" i="22"/>
  <c r="E47" i="22"/>
  <c r="N47" i="22"/>
  <c r="M47" i="22"/>
  <c r="K47" i="22"/>
  <c r="J47" i="22"/>
  <c r="I47" i="22"/>
  <c r="G47" i="22"/>
  <c r="F47" i="22"/>
  <c r="L47" i="22"/>
  <c r="D47" i="22"/>
  <c r="H47" i="22"/>
  <c r="K62" i="22"/>
  <c r="F62" i="22"/>
  <c r="D62" i="22"/>
  <c r="N62" i="22"/>
  <c r="M62" i="22"/>
  <c r="J62" i="22"/>
  <c r="L62" i="22"/>
  <c r="H62" i="22"/>
  <c r="G62" i="22"/>
  <c r="E62" i="22"/>
  <c r="I62" i="22"/>
  <c r="M77" i="22"/>
  <c r="I77" i="22"/>
  <c r="N77" i="22"/>
  <c r="E77" i="22"/>
  <c r="F77" i="22"/>
  <c r="D77" i="22"/>
  <c r="J77" i="22"/>
  <c r="G77" i="22"/>
  <c r="L77" i="22"/>
  <c r="K77" i="22"/>
  <c r="H77" i="22"/>
  <c r="G13" i="22"/>
  <c r="L13" i="22"/>
  <c r="M13" i="22"/>
  <c r="D13" i="22"/>
  <c r="F13" i="22"/>
  <c r="K13" i="22"/>
  <c r="J13" i="22"/>
  <c r="I13" i="22"/>
  <c r="H13" i="22"/>
  <c r="E13" i="22"/>
  <c r="N13" i="22"/>
  <c r="I28" i="22"/>
  <c r="G28" i="22"/>
  <c r="K28" i="22"/>
  <c r="F28" i="22"/>
  <c r="N28" i="22"/>
  <c r="D28" i="22"/>
  <c r="L28" i="22"/>
  <c r="J28" i="22"/>
  <c r="E28" i="22"/>
  <c r="M28" i="22"/>
  <c r="H28" i="22"/>
  <c r="N70" i="22"/>
  <c r="J70" i="22"/>
  <c r="H70" i="22"/>
  <c r="E70" i="22"/>
  <c r="G70" i="22"/>
  <c r="F70" i="22"/>
  <c r="L70" i="22"/>
  <c r="I70" i="22"/>
  <c r="D70" i="22"/>
  <c r="K70" i="22"/>
  <c r="M70" i="22"/>
  <c r="E19" i="1"/>
  <c r="F19" i="1"/>
  <c r="N19" i="1"/>
  <c r="D19" i="1"/>
  <c r="M19" i="1"/>
  <c r="L19" i="1"/>
  <c r="K19" i="1"/>
  <c r="H19" i="1"/>
  <c r="G19" i="1"/>
  <c r="J19" i="1"/>
  <c r="I19" i="1"/>
  <c r="M26" i="1"/>
  <c r="H26" i="1"/>
  <c r="N26" i="1"/>
  <c r="K26" i="1"/>
  <c r="D26" i="1"/>
  <c r="J26" i="1"/>
  <c r="I26" i="1"/>
  <c r="G26" i="1"/>
  <c r="L26" i="1"/>
  <c r="F26" i="1"/>
  <c r="E26" i="1"/>
  <c r="J33" i="1"/>
  <c r="L33" i="1"/>
  <c r="I33" i="1"/>
  <c r="H33" i="1"/>
  <c r="D33" i="1"/>
  <c r="G33" i="1"/>
  <c r="F33" i="1"/>
  <c r="M33" i="1"/>
  <c r="N33" i="1"/>
  <c r="K33" i="1"/>
  <c r="E33" i="1"/>
  <c r="L48" i="1"/>
  <c r="J48" i="1"/>
  <c r="H48" i="1"/>
  <c r="K48" i="1"/>
  <c r="E48" i="1"/>
  <c r="I48" i="1"/>
  <c r="D48" i="1"/>
  <c r="F48" i="1"/>
  <c r="G48" i="1"/>
  <c r="N48" i="1"/>
  <c r="M48" i="1"/>
  <c r="L63" i="1"/>
  <c r="G63" i="1"/>
  <c r="J63" i="1"/>
  <c r="N63" i="1"/>
  <c r="M63" i="1"/>
  <c r="H63" i="1"/>
  <c r="F63" i="1"/>
  <c r="D63" i="1"/>
  <c r="I63" i="1"/>
  <c r="K63" i="1"/>
  <c r="E63" i="1"/>
  <c r="J78" i="1"/>
  <c r="K78" i="1"/>
  <c r="H78" i="1"/>
  <c r="G78" i="1"/>
  <c r="L78" i="1"/>
  <c r="M78" i="1"/>
  <c r="I78" i="1"/>
  <c r="D78" i="1"/>
  <c r="N78" i="1"/>
  <c r="F78" i="1"/>
  <c r="E78" i="1"/>
  <c r="M14" i="1"/>
  <c r="K14" i="1"/>
  <c r="N14" i="1"/>
  <c r="J14" i="1"/>
  <c r="E14" i="1"/>
  <c r="D14" i="1"/>
  <c r="F14" i="1"/>
  <c r="I14" i="1"/>
  <c r="L14" i="1"/>
  <c r="H14" i="1"/>
  <c r="G14" i="1"/>
  <c r="K29" i="1"/>
  <c r="M29" i="1"/>
  <c r="E29" i="1"/>
  <c r="L29" i="1"/>
  <c r="D29" i="1"/>
  <c r="F29" i="1"/>
  <c r="H29" i="1"/>
  <c r="N29" i="1"/>
  <c r="J29" i="1"/>
  <c r="I29" i="1"/>
  <c r="G29" i="1"/>
  <c r="J44" i="1"/>
  <c r="H44" i="1"/>
  <c r="D44" i="1"/>
  <c r="E44" i="1"/>
  <c r="N44" i="1"/>
  <c r="L44" i="1"/>
  <c r="M44" i="1"/>
  <c r="G44" i="1"/>
  <c r="I44" i="1"/>
  <c r="F44" i="1"/>
  <c r="K44" i="1"/>
  <c r="H59" i="22"/>
  <c r="J59" i="22"/>
  <c r="M59" i="22"/>
  <c r="G59" i="22"/>
  <c r="D59" i="22"/>
  <c r="L59" i="22"/>
  <c r="K59" i="22"/>
  <c r="I59" i="22"/>
  <c r="F59" i="22"/>
  <c r="E59" i="22"/>
  <c r="N59" i="22"/>
  <c r="K66" i="22"/>
  <c r="G66" i="22"/>
  <c r="M66" i="22"/>
  <c r="H66" i="22"/>
  <c r="E66" i="22"/>
  <c r="F66" i="22"/>
  <c r="J66" i="22"/>
  <c r="I66" i="22"/>
  <c r="N66" i="22"/>
  <c r="D66" i="22"/>
  <c r="L66" i="22"/>
  <c r="J73" i="22"/>
  <c r="K73" i="22"/>
  <c r="M73" i="22"/>
  <c r="D73" i="22"/>
  <c r="G73" i="22"/>
  <c r="I73" i="22"/>
  <c r="H73" i="22"/>
  <c r="N73" i="22"/>
  <c r="E73" i="22"/>
  <c r="F73" i="22"/>
  <c r="L73" i="22"/>
  <c r="N9" i="22"/>
  <c r="D9" i="22"/>
  <c r="F9" i="22"/>
  <c r="E9" i="22"/>
  <c r="M9" i="22"/>
  <c r="J9" i="22"/>
  <c r="H9" i="22"/>
  <c r="I9" i="22"/>
  <c r="G9" i="22"/>
  <c r="L9" i="22"/>
  <c r="K9" i="22"/>
  <c r="D24" i="22"/>
  <c r="E24" i="22"/>
  <c r="I24" i="22"/>
  <c r="F24" i="22"/>
  <c r="N24" i="22"/>
  <c r="H24" i="22"/>
  <c r="G24" i="22"/>
  <c r="L24" i="22"/>
  <c r="K24" i="22"/>
  <c r="J24" i="22"/>
  <c r="M24" i="22"/>
  <c r="L39" i="22"/>
  <c r="N39" i="22"/>
  <c r="I39" i="22"/>
  <c r="F39" i="22"/>
  <c r="E39" i="22"/>
  <c r="K39" i="22"/>
  <c r="D39" i="22"/>
  <c r="H39" i="22"/>
  <c r="G39" i="22"/>
  <c r="J39" i="22"/>
  <c r="M39" i="22"/>
  <c r="E54" i="22"/>
  <c r="K54" i="22"/>
  <c r="N54" i="22"/>
  <c r="M54" i="22"/>
  <c r="D54" i="22"/>
  <c r="I54" i="22"/>
  <c r="J54" i="22"/>
  <c r="H54" i="22"/>
  <c r="G54" i="22"/>
  <c r="F54" i="22"/>
  <c r="L54" i="22"/>
  <c r="N69" i="22"/>
  <c r="D69" i="22"/>
  <c r="F69" i="22"/>
  <c r="M69" i="22"/>
  <c r="L69" i="22"/>
  <c r="K69" i="22"/>
  <c r="J69" i="22"/>
  <c r="I69" i="22"/>
  <c r="H69" i="22"/>
  <c r="G69" i="22"/>
  <c r="E69" i="22"/>
  <c r="I20" i="22"/>
  <c r="E20" i="22"/>
  <c r="M20" i="22"/>
  <c r="F20" i="22"/>
  <c r="D20" i="22"/>
  <c r="N20" i="22"/>
  <c r="G20" i="22"/>
  <c r="L20" i="22"/>
  <c r="K20" i="22"/>
  <c r="J20" i="22"/>
  <c r="H20" i="22"/>
  <c r="F40" i="22"/>
  <c r="I40" i="22"/>
  <c r="H40" i="22"/>
  <c r="E40" i="22"/>
  <c r="M40" i="22"/>
  <c r="D40" i="22"/>
  <c r="G40" i="22"/>
  <c r="L40" i="22"/>
  <c r="J40" i="22"/>
  <c r="N40" i="22"/>
  <c r="K40" i="22"/>
  <c r="I75" i="1"/>
  <c r="M75" i="1"/>
  <c r="L75" i="1"/>
  <c r="D75" i="1"/>
  <c r="K75" i="1"/>
  <c r="E75" i="1"/>
  <c r="H75" i="1"/>
  <c r="G75" i="1"/>
  <c r="N75" i="1"/>
  <c r="F75" i="1"/>
  <c r="J75" i="1"/>
  <c r="M11" i="1"/>
  <c r="J11" i="1"/>
  <c r="I11" i="1"/>
  <c r="F11" i="1"/>
  <c r="E11" i="1"/>
  <c r="H11" i="1"/>
  <c r="D11" i="1"/>
  <c r="L11" i="1"/>
  <c r="G11" i="1"/>
  <c r="K11" i="1"/>
  <c r="N11" i="1"/>
  <c r="D18" i="1"/>
  <c r="K18" i="1"/>
  <c r="E18" i="1"/>
  <c r="I18" i="1"/>
  <c r="M18" i="1"/>
  <c r="J18" i="1"/>
  <c r="H18" i="1"/>
  <c r="G18" i="1"/>
  <c r="F18" i="1"/>
  <c r="L18" i="1"/>
  <c r="N18" i="1"/>
  <c r="H25" i="1"/>
  <c r="J25" i="1"/>
  <c r="G25" i="1"/>
  <c r="D25" i="1"/>
  <c r="K25" i="1"/>
  <c r="I25" i="1"/>
  <c r="N25" i="1"/>
  <c r="F25" i="1"/>
  <c r="M25" i="1"/>
  <c r="E25" i="1"/>
  <c r="L25" i="1"/>
  <c r="L40" i="1"/>
  <c r="M40" i="1"/>
  <c r="H40" i="1"/>
  <c r="D40" i="1"/>
  <c r="G40" i="1"/>
  <c r="N40" i="1"/>
  <c r="F40" i="1"/>
  <c r="J40" i="1"/>
  <c r="I40" i="1"/>
  <c r="K40" i="1"/>
  <c r="E40" i="1"/>
  <c r="G55" i="1"/>
  <c r="M55" i="1"/>
  <c r="I55" i="1"/>
  <c r="L55" i="1"/>
  <c r="H55" i="1"/>
  <c r="J55" i="1"/>
  <c r="D55" i="1"/>
  <c r="K55" i="1"/>
  <c r="F55" i="1"/>
  <c r="E55" i="1"/>
  <c r="N55" i="1"/>
  <c r="I70" i="1"/>
  <c r="L70" i="1"/>
  <c r="G70" i="1"/>
  <c r="N70" i="1"/>
  <c r="M70" i="1"/>
  <c r="K70" i="1"/>
  <c r="D70" i="1"/>
  <c r="E70" i="1"/>
  <c r="H70" i="1"/>
  <c r="J70" i="1"/>
  <c r="F70" i="1"/>
  <c r="G6" i="1"/>
  <c r="M6" i="1"/>
  <c r="J6" i="1"/>
  <c r="K6" i="1"/>
  <c r="D6" i="1"/>
  <c r="I6" i="1"/>
  <c r="L6" i="1"/>
  <c r="E6" i="1"/>
  <c r="F6" i="1"/>
  <c r="N6" i="1"/>
  <c r="H6" i="1"/>
  <c r="K21" i="1"/>
  <c r="N21" i="1"/>
  <c r="L21" i="1"/>
  <c r="I21" i="1"/>
  <c r="D21" i="1"/>
  <c r="M21" i="1"/>
  <c r="H21" i="1"/>
  <c r="G21" i="1"/>
  <c r="E21" i="1"/>
  <c r="J21" i="1"/>
  <c r="F21" i="1"/>
  <c r="L36" i="1"/>
  <c r="D36" i="1"/>
  <c r="I36" i="1"/>
  <c r="K36" i="1"/>
  <c r="N36" i="1"/>
  <c r="J36" i="1"/>
  <c r="G36" i="1"/>
  <c r="H36" i="1"/>
  <c r="F36" i="1"/>
  <c r="E36" i="1"/>
  <c r="M36" i="1"/>
  <c r="K51" i="22"/>
  <c r="J51" i="22"/>
  <c r="H51" i="22"/>
  <c r="D51" i="22"/>
  <c r="G51" i="22"/>
  <c r="F51" i="22"/>
  <c r="M51" i="22"/>
  <c r="N51" i="22"/>
  <c r="L51" i="22"/>
  <c r="I51" i="22"/>
  <c r="E51" i="22"/>
  <c r="G58" i="22"/>
  <c r="D58" i="22"/>
  <c r="N58" i="22"/>
  <c r="L58" i="22"/>
  <c r="F58" i="22"/>
  <c r="K58" i="22"/>
  <c r="I58" i="22"/>
  <c r="M58" i="22"/>
  <c r="E58" i="22"/>
  <c r="H58" i="22"/>
  <c r="J58" i="22"/>
  <c r="I65" i="22"/>
  <c r="K65" i="22"/>
  <c r="F65" i="22"/>
  <c r="E65" i="22"/>
  <c r="G65" i="22"/>
  <c r="M65" i="22"/>
  <c r="J65" i="22"/>
  <c r="H65" i="22"/>
  <c r="L65" i="22"/>
  <c r="D65" i="22"/>
  <c r="N65" i="22"/>
  <c r="J80" i="22"/>
  <c r="L80" i="22"/>
  <c r="K80" i="22"/>
  <c r="I80" i="22"/>
  <c r="D80" i="22"/>
  <c r="H80" i="22"/>
  <c r="G80" i="22"/>
  <c r="N80" i="22"/>
  <c r="E80" i="22"/>
  <c r="M80" i="22"/>
  <c r="F80" i="22"/>
  <c r="I16" i="22"/>
  <c r="J16" i="22"/>
  <c r="H16" i="22"/>
  <c r="L16" i="22"/>
  <c r="K16" i="22"/>
  <c r="M16" i="22"/>
  <c r="E16" i="22"/>
  <c r="G16" i="22"/>
  <c r="D16" i="22"/>
  <c r="F16" i="22"/>
  <c r="N16" i="22"/>
  <c r="D31" i="22"/>
  <c r="H31" i="22"/>
  <c r="I31" i="22"/>
  <c r="L31" i="22"/>
  <c r="G31" i="22"/>
  <c r="K31" i="22"/>
  <c r="F31" i="22"/>
  <c r="E31" i="22"/>
  <c r="N31" i="22"/>
  <c r="M31" i="22"/>
  <c r="J31" i="22"/>
  <c r="N46" i="22"/>
  <c r="M46" i="22"/>
  <c r="L46" i="22"/>
  <c r="K46" i="22"/>
  <c r="F46" i="22"/>
  <c r="E46" i="22"/>
  <c r="I46" i="22"/>
  <c r="H46" i="22"/>
  <c r="G46" i="22"/>
  <c r="D46" i="22"/>
  <c r="J46" i="22"/>
  <c r="J61" i="22"/>
  <c r="F61" i="22"/>
  <c r="G61" i="22"/>
  <c r="E61" i="22"/>
  <c r="M61" i="22"/>
  <c r="L61" i="22"/>
  <c r="K61" i="22"/>
  <c r="N61" i="22"/>
  <c r="I61" i="22"/>
  <c r="D61" i="22"/>
  <c r="H61" i="22"/>
  <c r="N76" i="22"/>
  <c r="K76" i="22"/>
  <c r="G76" i="22"/>
  <c r="L76" i="22"/>
  <c r="F76" i="22"/>
  <c r="H76" i="22"/>
  <c r="J76" i="22"/>
  <c r="E76" i="22"/>
  <c r="D76" i="22"/>
  <c r="M76" i="22"/>
  <c r="I76" i="22"/>
  <c r="E12" i="22"/>
  <c r="F12" i="22"/>
  <c r="G12" i="22"/>
  <c r="N12" i="22"/>
  <c r="M12" i="22"/>
  <c r="L12" i="22"/>
  <c r="K12" i="22"/>
  <c r="I12" i="22"/>
  <c r="D12" i="22"/>
  <c r="J12" i="22"/>
  <c r="H12" i="22"/>
  <c r="E35" i="22"/>
  <c r="F35" i="22"/>
  <c r="J35" i="22"/>
  <c r="I35" i="22"/>
  <c r="H35" i="22"/>
  <c r="G35" i="22"/>
  <c r="M35" i="22"/>
  <c r="D35" i="22"/>
  <c r="K35" i="22"/>
  <c r="N35" i="22"/>
  <c r="L35" i="22"/>
  <c r="G42" i="22"/>
  <c r="L42" i="22"/>
  <c r="K42" i="22"/>
  <c r="M42" i="22"/>
  <c r="J42" i="22"/>
  <c r="F42" i="22"/>
  <c r="N42" i="22"/>
  <c r="E42" i="22"/>
  <c r="D42" i="22"/>
  <c r="H42" i="22"/>
  <c r="I42" i="22"/>
  <c r="K49" i="22"/>
  <c r="H49" i="22"/>
  <c r="J49" i="22"/>
  <c r="D49" i="22"/>
  <c r="F49" i="22"/>
  <c r="N49" i="22"/>
  <c r="L49" i="22"/>
  <c r="I49" i="22"/>
  <c r="E49" i="22"/>
  <c r="M49" i="22"/>
  <c r="G49" i="22"/>
  <c r="J64" i="22"/>
  <c r="K64" i="22"/>
  <c r="N64" i="22"/>
  <c r="M64" i="22"/>
  <c r="D64" i="22"/>
  <c r="G64" i="22"/>
  <c r="L64" i="22"/>
  <c r="I64" i="22"/>
  <c r="H64" i="22"/>
  <c r="F64" i="22"/>
  <c r="E64" i="22"/>
  <c r="H79" i="22"/>
  <c r="N79" i="22"/>
  <c r="F79" i="22"/>
  <c r="L79" i="22"/>
  <c r="E79" i="22"/>
  <c r="D79" i="22"/>
  <c r="I79" i="22"/>
  <c r="M79" i="22"/>
  <c r="K79" i="22"/>
  <c r="G79" i="22"/>
  <c r="J79" i="22"/>
  <c r="D15" i="22"/>
  <c r="F15" i="22"/>
  <c r="N15" i="22"/>
  <c r="J15" i="22"/>
  <c r="G15" i="22"/>
  <c r="M15" i="22"/>
  <c r="L15" i="22"/>
  <c r="K15" i="22"/>
  <c r="I15" i="22"/>
  <c r="H15" i="22"/>
  <c r="E15" i="22"/>
  <c r="G30" i="22"/>
  <c r="D30" i="22"/>
  <c r="K30" i="22"/>
  <c r="I30" i="22"/>
  <c r="J30" i="22"/>
  <c r="M30" i="22"/>
  <c r="N30" i="22"/>
  <c r="F30" i="22"/>
  <c r="H30" i="22"/>
  <c r="E30" i="22"/>
  <c r="L30" i="22"/>
  <c r="K45" i="22"/>
  <c r="M45" i="22"/>
  <c r="J45" i="22"/>
  <c r="H45" i="22"/>
  <c r="E45" i="22"/>
  <c r="D45" i="22"/>
  <c r="N45" i="22"/>
  <c r="F45" i="22"/>
  <c r="L45" i="22"/>
  <c r="G45" i="22"/>
  <c r="I45" i="22"/>
  <c r="E60" i="22"/>
  <c r="H60" i="22"/>
  <c r="I60" i="22"/>
  <c r="D60" i="22"/>
  <c r="M60" i="22"/>
  <c r="L60" i="22"/>
  <c r="G60" i="22"/>
  <c r="F60" i="22"/>
  <c r="K60" i="22"/>
  <c r="J60" i="22"/>
  <c r="N60" i="22"/>
  <c r="E43" i="1"/>
  <c r="H43" i="1"/>
  <c r="I43" i="1"/>
  <c r="G43" i="1"/>
  <c r="F43" i="1"/>
  <c r="M43" i="1"/>
  <c r="L43" i="1"/>
  <c r="K43" i="1"/>
  <c r="N43" i="1"/>
  <c r="D43" i="1"/>
  <c r="J43" i="1"/>
  <c r="J50" i="1"/>
  <c r="D50" i="1"/>
  <c r="H50" i="1"/>
  <c r="M50" i="1"/>
  <c r="E50" i="1"/>
  <c r="G50" i="1"/>
  <c r="L50" i="1"/>
  <c r="I50" i="1"/>
  <c r="N50" i="1"/>
  <c r="F50" i="1"/>
  <c r="K50" i="1"/>
  <c r="I57" i="1"/>
  <c r="K57" i="1"/>
  <c r="E57" i="1"/>
  <c r="N57" i="1"/>
  <c r="J57" i="1"/>
  <c r="H57" i="1"/>
  <c r="L57" i="1"/>
  <c r="F57" i="1"/>
  <c r="G57" i="1"/>
  <c r="D57" i="1"/>
  <c r="M57" i="1"/>
  <c r="L72" i="1"/>
  <c r="E72" i="1"/>
  <c r="K72" i="1"/>
  <c r="M72" i="1"/>
  <c r="D72" i="1"/>
  <c r="I72" i="1"/>
  <c r="H72" i="1"/>
  <c r="J72" i="1"/>
  <c r="G72" i="1"/>
  <c r="N72" i="1"/>
  <c r="F72" i="1"/>
  <c r="N8" i="1"/>
  <c r="H8" i="1"/>
  <c r="E8" i="1"/>
  <c r="M8" i="1"/>
  <c r="F8" i="1"/>
  <c r="L8" i="1"/>
  <c r="I8" i="1"/>
  <c r="K8" i="1"/>
  <c r="J8" i="1"/>
  <c r="G8" i="1"/>
  <c r="D8" i="1"/>
  <c r="E23" i="1"/>
  <c r="F23" i="1"/>
  <c r="D23" i="1"/>
  <c r="J23" i="1"/>
  <c r="L23" i="1"/>
  <c r="K23" i="1"/>
  <c r="I23" i="1"/>
  <c r="G23" i="1"/>
  <c r="H23" i="1"/>
  <c r="N23" i="1"/>
  <c r="M23" i="1"/>
  <c r="J38" i="1"/>
  <c r="N38" i="1"/>
  <c r="D38" i="1"/>
  <c r="M38" i="1"/>
  <c r="G38" i="1"/>
  <c r="E38" i="1"/>
  <c r="K38" i="1"/>
  <c r="F38" i="1"/>
  <c r="I38" i="1"/>
  <c r="H38" i="1"/>
  <c r="L38" i="1"/>
  <c r="J53" i="1"/>
  <c r="L53" i="1"/>
  <c r="K53" i="1"/>
  <c r="I53" i="1"/>
  <c r="H53" i="1"/>
  <c r="G53" i="1"/>
  <c r="N53" i="1"/>
  <c r="M53" i="1"/>
  <c r="F53" i="1"/>
  <c r="E53" i="1"/>
  <c r="D53" i="1"/>
  <c r="K68" i="1"/>
  <c r="E68" i="1"/>
  <c r="L68" i="1"/>
  <c r="J68" i="1"/>
  <c r="H68" i="1"/>
  <c r="I68" i="1"/>
  <c r="N68" i="1"/>
  <c r="M68" i="1"/>
  <c r="G68" i="1"/>
  <c r="D68" i="1"/>
  <c r="F68" i="1"/>
  <c r="I27" i="22"/>
  <c r="G27" i="22"/>
  <c r="M27" i="22"/>
  <c r="L27" i="22"/>
  <c r="K27" i="22"/>
  <c r="H27" i="22"/>
  <c r="N27" i="22"/>
  <c r="D27" i="22"/>
  <c r="J27" i="22"/>
  <c r="F27" i="22"/>
  <c r="E27" i="22"/>
  <c r="E34" i="22"/>
  <c r="F34" i="22"/>
  <c r="I34" i="22"/>
  <c r="D34" i="22"/>
  <c r="M34" i="22"/>
  <c r="H34" i="22"/>
  <c r="N34" i="22"/>
  <c r="L34" i="22"/>
  <c r="K34" i="22"/>
  <c r="G34" i="22"/>
  <c r="J34" i="22"/>
  <c r="E41" i="22"/>
  <c r="G41" i="22"/>
  <c r="F41" i="22"/>
  <c r="D41" i="22"/>
  <c r="J41" i="22"/>
  <c r="M41" i="22"/>
  <c r="L41" i="22"/>
  <c r="K41" i="22"/>
  <c r="I41" i="22"/>
  <c r="H41" i="22"/>
  <c r="N41" i="22"/>
  <c r="H56" i="22"/>
  <c r="M56" i="22"/>
  <c r="L56" i="22"/>
  <c r="G56" i="22"/>
  <c r="K56" i="22"/>
  <c r="F56" i="22"/>
  <c r="N56" i="22"/>
  <c r="E56" i="22"/>
  <c r="I56" i="22"/>
  <c r="D56" i="22"/>
  <c r="J56" i="22"/>
  <c r="M71" i="22"/>
  <c r="I71" i="22"/>
  <c r="L71" i="22"/>
  <c r="J71" i="22"/>
  <c r="D71" i="22"/>
  <c r="K71" i="22"/>
  <c r="H71" i="22"/>
  <c r="F71" i="22"/>
  <c r="E71" i="22"/>
  <c r="N71" i="22"/>
  <c r="G71" i="22"/>
  <c r="D7" i="22"/>
  <c r="M7" i="22"/>
  <c r="H7" i="22"/>
  <c r="J7" i="22"/>
  <c r="L7" i="22"/>
  <c r="G7" i="22"/>
  <c r="K7" i="22"/>
  <c r="I7" i="22"/>
  <c r="F7" i="22"/>
  <c r="N7" i="22"/>
  <c r="E7" i="22"/>
  <c r="H22" i="22"/>
  <c r="I22" i="22"/>
  <c r="F22" i="22"/>
  <c r="G22" i="22"/>
  <c r="E22" i="22"/>
  <c r="K22" i="22"/>
  <c r="J22" i="22"/>
  <c r="L22" i="22"/>
  <c r="N22" i="22"/>
  <c r="M22" i="22"/>
  <c r="D22" i="22"/>
  <c r="K37" i="22"/>
  <c r="J37" i="22"/>
  <c r="H37" i="22"/>
  <c r="M37" i="22"/>
  <c r="N37" i="22"/>
  <c r="L37" i="22"/>
  <c r="D37" i="22"/>
  <c r="F37" i="22"/>
  <c r="G37" i="22"/>
  <c r="E37" i="22"/>
  <c r="I37" i="22"/>
  <c r="H52" i="22"/>
  <c r="D52" i="22"/>
  <c r="L52" i="22"/>
  <c r="J52" i="22"/>
  <c r="K52" i="22"/>
  <c r="M52" i="22"/>
  <c r="I52" i="22"/>
  <c r="G52" i="22"/>
  <c r="F52" i="22"/>
  <c r="N52" i="22"/>
  <c r="E52" i="22"/>
  <c r="H43" i="22"/>
  <c r="L43" i="22"/>
  <c r="I43" i="22"/>
  <c r="K43" i="22"/>
  <c r="G43" i="22"/>
  <c r="J43" i="22"/>
  <c r="M43" i="22"/>
  <c r="N43" i="22"/>
  <c r="F43" i="22"/>
  <c r="E43" i="22"/>
  <c r="D43" i="22"/>
  <c r="E50" i="22"/>
  <c r="F50" i="22"/>
  <c r="K50" i="22"/>
  <c r="H50" i="22"/>
  <c r="G50" i="22"/>
  <c r="D50" i="22"/>
  <c r="M50" i="22"/>
  <c r="N50" i="22"/>
  <c r="L50" i="22"/>
  <c r="I50" i="22"/>
  <c r="J50" i="22"/>
  <c r="J57" i="22"/>
  <c r="M57" i="22"/>
  <c r="F57" i="22"/>
  <c r="E57" i="22"/>
  <c r="D57" i="22"/>
  <c r="I57" i="22"/>
  <c r="H57" i="22"/>
  <c r="N57" i="22"/>
  <c r="L57" i="22"/>
  <c r="K57" i="22"/>
  <c r="G57" i="22"/>
  <c r="H72" i="22"/>
  <c r="J72" i="22"/>
  <c r="D72" i="22"/>
  <c r="M72" i="22"/>
  <c r="N72" i="22"/>
  <c r="I72" i="22"/>
  <c r="F72" i="22"/>
  <c r="L72" i="22"/>
  <c r="K72" i="22"/>
  <c r="G72" i="22"/>
  <c r="E72" i="22"/>
  <c r="K8" i="22"/>
  <c r="G8" i="22"/>
  <c r="M8" i="22"/>
  <c r="F8" i="22"/>
  <c r="E8" i="22"/>
  <c r="D8" i="22"/>
  <c r="I8" i="22"/>
  <c r="H8" i="22"/>
  <c r="L8" i="22"/>
  <c r="J8" i="22"/>
  <c r="N8" i="22"/>
  <c r="E23" i="22"/>
  <c r="F23" i="22"/>
  <c r="I23" i="22"/>
  <c r="H23" i="22"/>
  <c r="G23" i="22"/>
  <c r="K23" i="22"/>
  <c r="D23" i="22"/>
  <c r="J23" i="22"/>
  <c r="N23" i="22"/>
  <c r="M23" i="22"/>
  <c r="L23" i="22"/>
  <c r="F38" i="22"/>
  <c r="N38" i="22"/>
  <c r="I38" i="22"/>
  <c r="M38" i="22"/>
  <c r="L38" i="22"/>
  <c r="D38" i="22"/>
  <c r="K38" i="22"/>
  <c r="J38" i="22"/>
  <c r="H38" i="22"/>
  <c r="G38" i="22"/>
  <c r="E38" i="22"/>
  <c r="N53" i="22"/>
  <c r="D53" i="22"/>
  <c r="F53" i="22"/>
  <c r="M53" i="22"/>
  <c r="I53" i="22"/>
  <c r="H53" i="22"/>
  <c r="K53" i="22"/>
  <c r="J53" i="22"/>
  <c r="G53" i="22"/>
  <c r="E53" i="22"/>
  <c r="L53" i="22"/>
  <c r="K68" i="22"/>
  <c r="G68" i="22"/>
  <c r="F68" i="22"/>
  <c r="N68" i="22"/>
  <c r="E68" i="22"/>
  <c r="D68" i="22"/>
  <c r="M68" i="22"/>
  <c r="L68" i="22"/>
  <c r="J68" i="22"/>
  <c r="I68" i="22"/>
  <c r="H68" i="22"/>
  <c r="J19" i="21"/>
  <c r="F19" i="21"/>
  <c r="E19" i="21"/>
  <c r="N19" i="21"/>
  <c r="M19" i="21"/>
  <c r="D19" i="21"/>
  <c r="L19" i="21"/>
  <c r="K19" i="21"/>
  <c r="I19" i="21"/>
  <c r="H19" i="21"/>
  <c r="G19" i="21"/>
  <c r="G30" i="21"/>
  <c r="J30" i="21"/>
  <c r="F30" i="21"/>
  <c r="E30" i="21"/>
  <c r="N30" i="21"/>
  <c r="D30" i="21"/>
  <c r="M30" i="21"/>
  <c r="L30" i="21"/>
  <c r="K30" i="21"/>
  <c r="H30" i="21"/>
  <c r="I30" i="21"/>
  <c r="M58" i="21"/>
  <c r="E58" i="21"/>
  <c r="L58" i="21"/>
  <c r="D58" i="21"/>
  <c r="K58" i="21"/>
  <c r="N58" i="21"/>
  <c r="J58" i="21"/>
  <c r="I58" i="21"/>
  <c r="H58" i="21"/>
  <c r="G58" i="21"/>
  <c r="F58" i="21"/>
  <c r="L29" i="21"/>
  <c r="D29" i="21"/>
  <c r="N29" i="21"/>
  <c r="E29" i="21"/>
  <c r="I29" i="21"/>
  <c r="H29" i="21"/>
  <c r="G29" i="21"/>
  <c r="F29" i="21"/>
  <c r="M29" i="21"/>
  <c r="K29" i="21"/>
  <c r="J29" i="21"/>
  <c r="K22" i="21"/>
  <c r="M22" i="21"/>
  <c r="D22" i="21"/>
  <c r="L22" i="21"/>
  <c r="J22" i="21"/>
  <c r="I22" i="21"/>
  <c r="H22" i="21"/>
  <c r="G22" i="21"/>
  <c r="F22" i="21"/>
  <c r="E22" i="21"/>
  <c r="N22" i="21"/>
  <c r="L25" i="21"/>
  <c r="D25" i="21"/>
  <c r="J25" i="21"/>
  <c r="I25" i="21"/>
  <c r="H25" i="21"/>
  <c r="G25" i="21"/>
  <c r="F25" i="21"/>
  <c r="N25" i="21"/>
  <c r="E25" i="21"/>
  <c r="K25" i="21"/>
  <c r="M25" i="21"/>
  <c r="M40" i="21"/>
  <c r="E40" i="21"/>
  <c r="H40" i="21"/>
  <c r="F40" i="21"/>
  <c r="N40" i="21"/>
  <c r="L40" i="21"/>
  <c r="K40" i="21"/>
  <c r="J40" i="21"/>
  <c r="I40" i="21"/>
  <c r="G40" i="21"/>
  <c r="D40" i="21"/>
  <c r="K55" i="21"/>
  <c r="J55" i="21"/>
  <c r="F55" i="21"/>
  <c r="E55" i="21"/>
  <c r="N55" i="21"/>
  <c r="D55" i="21"/>
  <c r="L55" i="21"/>
  <c r="I55" i="21"/>
  <c r="H55" i="21"/>
  <c r="G55" i="21"/>
  <c r="M55" i="21"/>
  <c r="K68" i="21"/>
  <c r="J68" i="21"/>
  <c r="I68" i="21"/>
  <c r="M68" i="21"/>
  <c r="L68" i="21"/>
  <c r="H68" i="21"/>
  <c r="G68" i="21"/>
  <c r="F68" i="21"/>
  <c r="N68" i="21"/>
  <c r="E68" i="21"/>
  <c r="D68" i="21"/>
  <c r="K14" i="21"/>
  <c r="G14" i="21"/>
  <c r="F14" i="21"/>
  <c r="N14" i="21"/>
  <c r="E14" i="21"/>
  <c r="M14" i="21"/>
  <c r="D14" i="21"/>
  <c r="L14" i="21"/>
  <c r="J14" i="21"/>
  <c r="H14" i="21"/>
  <c r="I14" i="21"/>
  <c r="K42" i="21"/>
  <c r="I42" i="21"/>
  <c r="G42" i="21"/>
  <c r="M42" i="21"/>
  <c r="L42" i="21"/>
  <c r="J42" i="21"/>
  <c r="H42" i="21"/>
  <c r="F42" i="21"/>
  <c r="E42" i="21"/>
  <c r="D42" i="21"/>
  <c r="N42" i="21"/>
  <c r="H13" i="21"/>
  <c r="K13" i="21"/>
  <c r="J13" i="21"/>
  <c r="I13" i="21"/>
  <c r="G13" i="21"/>
  <c r="F13" i="21"/>
  <c r="N13" i="21"/>
  <c r="E13" i="21"/>
  <c r="M13" i="21"/>
  <c r="L13" i="21"/>
  <c r="D13" i="21"/>
  <c r="G6" i="21"/>
  <c r="J6" i="21"/>
  <c r="K6" i="21"/>
  <c r="D6" i="21"/>
  <c r="L6" i="21"/>
  <c r="H6" i="21"/>
  <c r="E6" i="21"/>
  <c r="F6" i="21"/>
  <c r="I6" i="21"/>
  <c r="M6" i="21"/>
  <c r="N6" i="21"/>
  <c r="L17" i="21"/>
  <c r="D17" i="21"/>
  <c r="N17" i="21"/>
  <c r="E17" i="21"/>
  <c r="M17" i="21"/>
  <c r="K17" i="21"/>
  <c r="J17" i="21"/>
  <c r="I17" i="21"/>
  <c r="H17" i="21"/>
  <c r="F17" i="21"/>
  <c r="G17" i="21"/>
  <c r="M32" i="21"/>
  <c r="E32" i="21"/>
  <c r="K32" i="21"/>
  <c r="L32" i="21"/>
  <c r="J32" i="21"/>
  <c r="I32" i="21"/>
  <c r="H32" i="21"/>
  <c r="G32" i="21"/>
  <c r="F32" i="21"/>
  <c r="N32" i="21"/>
  <c r="D32" i="21"/>
  <c r="J47" i="21"/>
  <c r="H47" i="21"/>
  <c r="G47" i="21"/>
  <c r="F47" i="21"/>
  <c r="L47" i="21"/>
  <c r="K47" i="21"/>
  <c r="I47" i="21"/>
  <c r="E47" i="21"/>
  <c r="D47" i="21"/>
  <c r="N47" i="21"/>
  <c r="M47" i="21"/>
  <c r="K60" i="21"/>
  <c r="J60" i="21"/>
  <c r="I60" i="21"/>
  <c r="N60" i="21"/>
  <c r="M60" i="21"/>
  <c r="L60" i="21"/>
  <c r="H60" i="21"/>
  <c r="G60" i="21"/>
  <c r="D60" i="21"/>
  <c r="F60" i="21"/>
  <c r="E60" i="21"/>
  <c r="J39" i="21"/>
  <c r="L39" i="21"/>
  <c r="I39" i="21"/>
  <c r="D39" i="21"/>
  <c r="N39" i="21"/>
  <c r="M39" i="21"/>
  <c r="K39" i="21"/>
  <c r="H39" i="21"/>
  <c r="G39" i="21"/>
  <c r="E39" i="21"/>
  <c r="F39" i="21"/>
  <c r="L37" i="21"/>
  <c r="D37" i="21"/>
  <c r="J37" i="21"/>
  <c r="H37" i="21"/>
  <c r="E37" i="21"/>
  <c r="N37" i="21"/>
  <c r="M37" i="21"/>
  <c r="K37" i="21"/>
  <c r="I37" i="21"/>
  <c r="F37" i="21"/>
  <c r="G37" i="21"/>
  <c r="G18" i="21"/>
  <c r="J18" i="21"/>
  <c r="I18" i="21"/>
  <c r="H18" i="21"/>
  <c r="F18" i="21"/>
  <c r="N18" i="21"/>
  <c r="E18" i="21"/>
  <c r="M18" i="21"/>
  <c r="D18" i="21"/>
  <c r="K18" i="21"/>
  <c r="L18" i="21"/>
  <c r="N61" i="21"/>
  <c r="F61" i="21"/>
  <c r="M61" i="21"/>
  <c r="E61" i="21"/>
  <c r="L61" i="21"/>
  <c r="D61" i="21"/>
  <c r="K61" i="21"/>
  <c r="J61" i="21"/>
  <c r="I61" i="21"/>
  <c r="H61" i="21"/>
  <c r="G61" i="21"/>
  <c r="N69" i="21"/>
  <c r="F69" i="21"/>
  <c r="M69" i="21"/>
  <c r="E69" i="21"/>
  <c r="L69" i="21"/>
  <c r="D69" i="21"/>
  <c r="K69" i="21"/>
  <c r="J69" i="21"/>
  <c r="I69" i="21"/>
  <c r="H69" i="21"/>
  <c r="G69" i="21"/>
  <c r="J11" i="21"/>
  <c r="I11" i="21"/>
  <c r="H11" i="21"/>
  <c r="G11" i="21"/>
  <c r="F11" i="21"/>
  <c r="N11" i="21"/>
  <c r="E11" i="21"/>
  <c r="M11" i="21"/>
  <c r="D11" i="21"/>
  <c r="K11" i="21"/>
  <c r="L11" i="21"/>
  <c r="J57" i="21"/>
  <c r="I57" i="21"/>
  <c r="H57" i="21"/>
  <c r="N57" i="21"/>
  <c r="M57" i="21"/>
  <c r="L57" i="21"/>
  <c r="K57" i="21"/>
  <c r="G57" i="21"/>
  <c r="E57" i="21"/>
  <c r="D57" i="21"/>
  <c r="F57" i="21"/>
  <c r="G72" i="21"/>
  <c r="N72" i="21"/>
  <c r="F72" i="21"/>
  <c r="M72" i="21"/>
  <c r="E72" i="21"/>
  <c r="H72" i="21"/>
  <c r="D72" i="21"/>
  <c r="L72" i="21"/>
  <c r="K72" i="21"/>
  <c r="J72" i="21"/>
  <c r="I72" i="21"/>
  <c r="H8" i="21"/>
  <c r="G8" i="21"/>
  <c r="N8" i="21"/>
  <c r="M8" i="21"/>
  <c r="E8" i="21"/>
  <c r="L8" i="21"/>
  <c r="D8" i="21"/>
  <c r="K8" i="21"/>
  <c r="J8" i="21"/>
  <c r="I8" i="21"/>
  <c r="F8" i="21"/>
  <c r="N23" i="21"/>
  <c r="F23" i="21"/>
  <c r="I23" i="21"/>
  <c r="H23" i="21"/>
  <c r="G23" i="21"/>
  <c r="E23" i="21"/>
  <c r="M23" i="21"/>
  <c r="D23" i="21"/>
  <c r="L23" i="21"/>
  <c r="K23" i="21"/>
  <c r="J23" i="21"/>
  <c r="I36" i="21"/>
  <c r="N36" i="21"/>
  <c r="E36" i="21"/>
  <c r="L36" i="21"/>
  <c r="F36" i="21"/>
  <c r="D36" i="21"/>
  <c r="M36" i="21"/>
  <c r="K36" i="21"/>
  <c r="J36" i="21"/>
  <c r="H36" i="21"/>
  <c r="G36" i="21"/>
  <c r="I24" i="21"/>
  <c r="N24" i="21"/>
  <c r="E24" i="21"/>
  <c r="D24" i="21"/>
  <c r="M24" i="21"/>
  <c r="L24" i="21"/>
  <c r="K24" i="21"/>
  <c r="J24" i="21"/>
  <c r="H24" i="21"/>
  <c r="F24" i="21"/>
  <c r="G24" i="21"/>
  <c r="I78" i="21"/>
  <c r="H78" i="21"/>
  <c r="G78" i="21"/>
  <c r="J78" i="21"/>
  <c r="F78" i="21"/>
  <c r="E78" i="21"/>
  <c r="D78" i="21"/>
  <c r="N78" i="21"/>
  <c r="M78" i="21"/>
  <c r="L78" i="21"/>
  <c r="K78" i="21"/>
  <c r="H59" i="21"/>
  <c r="G59" i="21"/>
  <c r="N59" i="21"/>
  <c r="F59" i="21"/>
  <c r="M59" i="21"/>
  <c r="L59" i="21"/>
  <c r="K59" i="21"/>
  <c r="J59" i="21"/>
  <c r="I59" i="21"/>
  <c r="E59" i="21"/>
  <c r="D59" i="21"/>
  <c r="I70" i="21"/>
  <c r="H70" i="21"/>
  <c r="G70" i="21"/>
  <c r="J70" i="21"/>
  <c r="N70" i="21"/>
  <c r="M70" i="21"/>
  <c r="L70" i="21"/>
  <c r="K70" i="21"/>
  <c r="F70" i="21"/>
  <c r="E70" i="21"/>
  <c r="D70" i="21"/>
  <c r="H49" i="21"/>
  <c r="J49" i="21"/>
  <c r="I49" i="21"/>
  <c r="G49" i="21"/>
  <c r="N49" i="21"/>
  <c r="M49" i="21"/>
  <c r="L49" i="21"/>
  <c r="K49" i="21"/>
  <c r="F49" i="21"/>
  <c r="E49" i="21"/>
  <c r="D49" i="21"/>
  <c r="G64" i="21"/>
  <c r="N64" i="21"/>
  <c r="F64" i="21"/>
  <c r="M64" i="21"/>
  <c r="E64" i="21"/>
  <c r="L64" i="21"/>
  <c r="K64" i="21"/>
  <c r="J64" i="21"/>
  <c r="I64" i="21"/>
  <c r="H64" i="21"/>
  <c r="D64" i="21"/>
  <c r="L79" i="21"/>
  <c r="D79" i="21"/>
  <c r="K79" i="21"/>
  <c r="J79" i="21"/>
  <c r="M79" i="21"/>
  <c r="E79" i="21"/>
  <c r="I79" i="21"/>
  <c r="H79" i="21"/>
  <c r="G79" i="21"/>
  <c r="F79" i="21"/>
  <c r="N79" i="21"/>
  <c r="N15" i="21"/>
  <c r="F15" i="21"/>
  <c r="L15" i="21"/>
  <c r="K15" i="21"/>
  <c r="J15" i="21"/>
  <c r="I15" i="21"/>
  <c r="H15" i="21"/>
  <c r="G15" i="21"/>
  <c r="M15" i="21"/>
  <c r="E15" i="21"/>
  <c r="D15" i="21"/>
  <c r="K9" i="21"/>
  <c r="J9" i="21"/>
  <c r="I9" i="21"/>
  <c r="H9" i="21"/>
  <c r="G9" i="21"/>
  <c r="N9" i="21"/>
  <c r="F9" i="21"/>
  <c r="M9" i="21"/>
  <c r="L9" i="21"/>
  <c r="E9" i="21"/>
  <c r="D9" i="21"/>
  <c r="N51" i="21"/>
  <c r="F51" i="21"/>
  <c r="K51" i="21"/>
  <c r="J51" i="21"/>
  <c r="I51" i="21"/>
  <c r="D51" i="21"/>
  <c r="M51" i="21"/>
  <c r="L51" i="21"/>
  <c r="H51" i="21"/>
  <c r="E51" i="21"/>
  <c r="G51" i="21"/>
  <c r="I62" i="21"/>
  <c r="H62" i="21"/>
  <c r="G62" i="21"/>
  <c r="M62" i="21"/>
  <c r="L62" i="21"/>
  <c r="K62" i="21"/>
  <c r="J62" i="21"/>
  <c r="F62" i="21"/>
  <c r="E62" i="21"/>
  <c r="D62" i="21"/>
  <c r="N62" i="21"/>
  <c r="N27" i="21"/>
  <c r="F27" i="21"/>
  <c r="L27" i="21"/>
  <c r="D27" i="21"/>
  <c r="M27" i="21"/>
  <c r="K27" i="21"/>
  <c r="J27" i="21"/>
  <c r="I27" i="21"/>
  <c r="H27" i="21"/>
  <c r="E27" i="21"/>
  <c r="G27" i="21"/>
  <c r="N77" i="21"/>
  <c r="F77" i="21"/>
  <c r="M77" i="21"/>
  <c r="E77" i="21"/>
  <c r="L77" i="21"/>
  <c r="D77" i="21"/>
  <c r="G77" i="21"/>
  <c r="K77" i="21"/>
  <c r="H77" i="21"/>
  <c r="J77" i="21"/>
  <c r="I77" i="21"/>
  <c r="G54" i="21"/>
  <c r="I54" i="21"/>
  <c r="H54" i="21"/>
  <c r="F54" i="21"/>
  <c r="J54" i="21"/>
  <c r="E54" i="21"/>
  <c r="D54" i="21"/>
  <c r="N54" i="21"/>
  <c r="M54" i="21"/>
  <c r="L54" i="21"/>
  <c r="K54" i="21"/>
  <c r="H41" i="21"/>
  <c r="M41" i="21"/>
  <c r="D41" i="21"/>
  <c r="K41" i="21"/>
  <c r="N41" i="21"/>
  <c r="L41" i="21"/>
  <c r="J41" i="21"/>
  <c r="I41" i="21"/>
  <c r="G41" i="21"/>
  <c r="F41" i="21"/>
  <c r="E41" i="21"/>
  <c r="N56" i="21"/>
  <c r="F56" i="21"/>
  <c r="M56" i="21"/>
  <c r="E56" i="21"/>
  <c r="L56" i="21"/>
  <c r="K56" i="21"/>
  <c r="J56" i="21"/>
  <c r="I56" i="21"/>
  <c r="H56" i="21"/>
  <c r="G56" i="21"/>
  <c r="D56" i="21"/>
  <c r="L71" i="21"/>
  <c r="D71" i="21"/>
  <c r="K71" i="21"/>
  <c r="J71" i="21"/>
  <c r="M71" i="21"/>
  <c r="E71" i="21"/>
  <c r="N71" i="21"/>
  <c r="I71" i="21"/>
  <c r="H71" i="21"/>
  <c r="G71" i="21"/>
  <c r="F71" i="21"/>
  <c r="M7" i="21"/>
  <c r="E7" i="21"/>
  <c r="L7" i="21"/>
  <c r="D7" i="21"/>
  <c r="J7" i="21"/>
  <c r="I7" i="21"/>
  <c r="H7" i="21"/>
  <c r="F7" i="21"/>
  <c r="N7" i="21"/>
  <c r="K7" i="21"/>
  <c r="G7" i="21"/>
  <c r="M20" i="21"/>
  <c r="E20" i="21"/>
  <c r="K20" i="21"/>
  <c r="J20" i="21"/>
  <c r="I20" i="21"/>
  <c r="H20" i="21"/>
  <c r="G20" i="21"/>
  <c r="F20" i="21"/>
  <c r="N20" i="21"/>
  <c r="L20" i="21"/>
  <c r="D20" i="21"/>
  <c r="M66" i="21"/>
  <c r="E66" i="21"/>
  <c r="L66" i="21"/>
  <c r="D66" i="21"/>
  <c r="K66" i="21"/>
  <c r="N66" i="21"/>
  <c r="J66" i="21"/>
  <c r="I66" i="21"/>
  <c r="H66" i="21"/>
  <c r="G66" i="21"/>
  <c r="F66" i="21"/>
  <c r="K50" i="21"/>
  <c r="F50" i="21"/>
  <c r="N50" i="21"/>
  <c r="E50" i="21"/>
  <c r="M50" i="21"/>
  <c r="D50" i="21"/>
  <c r="L50" i="21"/>
  <c r="J50" i="21"/>
  <c r="I50" i="21"/>
  <c r="H50" i="21"/>
  <c r="G50" i="21"/>
  <c r="H21" i="21"/>
  <c r="G21" i="21"/>
  <c r="F21" i="21"/>
  <c r="N21" i="21"/>
  <c r="E21" i="21"/>
  <c r="M21" i="21"/>
  <c r="D21" i="21"/>
  <c r="L21" i="21"/>
  <c r="K21" i="21"/>
  <c r="I21" i="21"/>
  <c r="J21" i="21"/>
  <c r="K26" i="21"/>
  <c r="G26" i="21"/>
  <c r="F26" i="21"/>
  <c r="E26" i="21"/>
  <c r="N26" i="21"/>
  <c r="D26" i="21"/>
  <c r="M26" i="21"/>
  <c r="L26" i="21"/>
  <c r="J26" i="21"/>
  <c r="I26" i="21"/>
  <c r="H26" i="21"/>
  <c r="H75" i="21"/>
  <c r="G75" i="21"/>
  <c r="N75" i="21"/>
  <c r="F75" i="21"/>
  <c r="I75" i="21"/>
  <c r="M75" i="21"/>
  <c r="L75" i="21"/>
  <c r="K75" i="21"/>
  <c r="J75" i="21"/>
  <c r="E75" i="21"/>
  <c r="D75" i="21"/>
  <c r="J73" i="21"/>
  <c r="I73" i="21"/>
  <c r="H73" i="21"/>
  <c r="K73" i="21"/>
  <c r="G73" i="21"/>
  <c r="F73" i="21"/>
  <c r="E73" i="21"/>
  <c r="D73" i="21"/>
  <c r="M73" i="21"/>
  <c r="L73" i="21"/>
  <c r="N73" i="21"/>
  <c r="I52" i="21"/>
  <c r="G52" i="21"/>
  <c r="F52" i="21"/>
  <c r="N52" i="21"/>
  <c r="E52" i="21"/>
  <c r="D52" i="21"/>
  <c r="M52" i="21"/>
  <c r="L52" i="21"/>
  <c r="K52" i="21"/>
  <c r="J52" i="21"/>
  <c r="H52" i="21"/>
  <c r="K34" i="21"/>
  <c r="M34" i="21"/>
  <c r="D34" i="21"/>
  <c r="J34" i="21"/>
  <c r="G34" i="21"/>
  <c r="F34" i="21"/>
  <c r="E34" i="21"/>
  <c r="N34" i="21"/>
  <c r="L34" i="21"/>
  <c r="I34" i="21"/>
  <c r="H34" i="21"/>
  <c r="L53" i="21"/>
  <c r="D53" i="21"/>
  <c r="M53" i="21"/>
  <c r="K53" i="21"/>
  <c r="J53" i="21"/>
  <c r="G53" i="21"/>
  <c r="F53" i="21"/>
  <c r="E53" i="21"/>
  <c r="N53" i="21"/>
  <c r="I53" i="21"/>
  <c r="H53" i="21"/>
  <c r="N10" i="21"/>
  <c r="F10" i="21"/>
  <c r="M10" i="21"/>
  <c r="E10" i="21"/>
  <c r="L10" i="21"/>
  <c r="D10" i="21"/>
  <c r="K10" i="21"/>
  <c r="J10" i="21"/>
  <c r="I10" i="21"/>
  <c r="H10" i="21"/>
  <c r="G10" i="21"/>
  <c r="N43" i="21"/>
  <c r="F43" i="21"/>
  <c r="E43" i="21"/>
  <c r="L43" i="21"/>
  <c r="K43" i="21"/>
  <c r="J43" i="21"/>
  <c r="I43" i="21"/>
  <c r="H43" i="21"/>
  <c r="G43" i="21"/>
  <c r="D43" i="21"/>
  <c r="M43" i="21"/>
  <c r="J65" i="21"/>
  <c r="I65" i="21"/>
  <c r="H65" i="21"/>
  <c r="M65" i="21"/>
  <c r="L65" i="21"/>
  <c r="K65" i="21"/>
  <c r="G65" i="21"/>
  <c r="F65" i="21"/>
  <c r="D65" i="21"/>
  <c r="N65" i="21"/>
  <c r="E65" i="21"/>
  <c r="G80" i="21"/>
  <c r="N80" i="21"/>
  <c r="F80" i="21"/>
  <c r="M80" i="21"/>
  <c r="E80" i="21"/>
  <c r="H80" i="21"/>
  <c r="L80" i="21"/>
  <c r="K80" i="21"/>
  <c r="J80" i="21"/>
  <c r="I80" i="21"/>
  <c r="D80" i="21"/>
  <c r="I16" i="21"/>
  <c r="H16" i="21"/>
  <c r="G16" i="21"/>
  <c r="F16" i="21"/>
  <c r="N16" i="21"/>
  <c r="E16" i="21"/>
  <c r="M16" i="21"/>
  <c r="D16" i="21"/>
  <c r="L16" i="21"/>
  <c r="K16" i="21"/>
  <c r="J16" i="21"/>
  <c r="J31" i="21"/>
  <c r="F31" i="21"/>
  <c r="N31" i="21"/>
  <c r="D31" i="21"/>
  <c r="M31" i="21"/>
  <c r="L31" i="21"/>
  <c r="K31" i="21"/>
  <c r="I31" i="21"/>
  <c r="H31" i="21"/>
  <c r="G31" i="21"/>
  <c r="E31" i="21"/>
  <c r="I44" i="21"/>
  <c r="K44" i="21"/>
  <c r="H44" i="21"/>
  <c r="L44" i="21"/>
  <c r="J44" i="21"/>
  <c r="G44" i="21"/>
  <c r="F44" i="21"/>
  <c r="E44" i="21"/>
  <c r="D44" i="21"/>
  <c r="M44" i="21"/>
  <c r="N44" i="21"/>
  <c r="H67" i="21"/>
  <c r="G67" i="21"/>
  <c r="N67" i="21"/>
  <c r="F67" i="21"/>
  <c r="L67" i="21"/>
  <c r="K67" i="21"/>
  <c r="J67" i="21"/>
  <c r="I67" i="21"/>
  <c r="E67" i="21"/>
  <c r="M67" i="21"/>
  <c r="D67" i="21"/>
  <c r="I28" i="21"/>
  <c r="H28" i="21"/>
  <c r="L28" i="21"/>
  <c r="K28" i="21"/>
  <c r="J28" i="21"/>
  <c r="G28" i="21"/>
  <c r="F28" i="21"/>
  <c r="E28" i="21"/>
  <c r="D28" i="21"/>
  <c r="M28" i="21"/>
  <c r="N28" i="21"/>
  <c r="N35" i="21"/>
  <c r="F35" i="21"/>
  <c r="I35" i="21"/>
  <c r="G35" i="21"/>
  <c r="E35" i="21"/>
  <c r="D35" i="21"/>
  <c r="M35" i="21"/>
  <c r="L35" i="21"/>
  <c r="K35" i="21"/>
  <c r="H35" i="21"/>
  <c r="J35" i="21"/>
  <c r="G46" i="21"/>
  <c r="L46" i="21"/>
  <c r="K46" i="21"/>
  <c r="J46" i="21"/>
  <c r="I46" i="21"/>
  <c r="H46" i="21"/>
  <c r="F46" i="21"/>
  <c r="E46" i="21"/>
  <c r="D46" i="21"/>
  <c r="M46" i="21"/>
  <c r="N46" i="21"/>
  <c r="M74" i="21"/>
  <c r="E74" i="21"/>
  <c r="L74" i="21"/>
  <c r="D74" i="21"/>
  <c r="K74" i="21"/>
  <c r="N74" i="21"/>
  <c r="F74" i="21"/>
  <c r="J74" i="21"/>
  <c r="I74" i="21"/>
  <c r="H74" i="21"/>
  <c r="G74" i="21"/>
  <c r="L45" i="21"/>
  <c r="D45" i="21"/>
  <c r="G45" i="21"/>
  <c r="N45" i="21"/>
  <c r="E45" i="21"/>
  <c r="J45" i="21"/>
  <c r="I45" i="21"/>
  <c r="H45" i="21"/>
  <c r="F45" i="21"/>
  <c r="M45" i="21"/>
  <c r="K45" i="21"/>
  <c r="G38" i="21"/>
  <c r="F38" i="21"/>
  <c r="M38" i="21"/>
  <c r="D38" i="21"/>
  <c r="N38" i="21"/>
  <c r="L38" i="21"/>
  <c r="K38" i="21"/>
  <c r="J38" i="21"/>
  <c r="I38" i="21"/>
  <c r="H38" i="21"/>
  <c r="E38" i="21"/>
  <c r="H33" i="21"/>
  <c r="G33" i="21"/>
  <c r="J33" i="21"/>
  <c r="I33" i="21"/>
  <c r="F33" i="21"/>
  <c r="E33" i="21"/>
  <c r="N33" i="21"/>
  <c r="D33" i="21"/>
  <c r="M33" i="21"/>
  <c r="K33" i="21"/>
  <c r="L33" i="21"/>
  <c r="M48" i="21"/>
  <c r="E48" i="21"/>
  <c r="N48" i="21"/>
  <c r="D48" i="21"/>
  <c r="L48" i="21"/>
  <c r="K48" i="21"/>
  <c r="J48" i="21"/>
  <c r="I48" i="21"/>
  <c r="H48" i="21"/>
  <c r="G48" i="21"/>
  <c r="F48" i="21"/>
  <c r="L63" i="21"/>
  <c r="D63" i="21"/>
  <c r="K63" i="21"/>
  <c r="J63" i="21"/>
  <c r="N63" i="21"/>
  <c r="M63" i="21"/>
  <c r="I63" i="21"/>
  <c r="H63" i="21"/>
  <c r="G63" i="21"/>
  <c r="F63" i="21"/>
  <c r="E63" i="21"/>
  <c r="K76" i="21"/>
  <c r="J76" i="21"/>
  <c r="I76" i="21"/>
  <c r="L76" i="21"/>
  <c r="D76" i="21"/>
  <c r="N76" i="21"/>
  <c r="M76" i="21"/>
  <c r="H76" i="21"/>
  <c r="G76" i="21"/>
  <c r="F76" i="21"/>
  <c r="E76" i="21"/>
  <c r="M12" i="21"/>
  <c r="E12" i="21"/>
  <c r="F12" i="21"/>
  <c r="N12" i="21"/>
  <c r="D12" i="21"/>
  <c r="L12" i="21"/>
  <c r="K12" i="21"/>
  <c r="J12" i="21"/>
  <c r="I12" i="21"/>
  <c r="H12" i="21"/>
  <c r="G12" i="21"/>
  <c r="N69" i="23"/>
  <c r="F69" i="23"/>
  <c r="M69" i="23"/>
  <c r="E69" i="23"/>
  <c r="L69" i="23"/>
  <c r="D69" i="23"/>
  <c r="H69" i="23"/>
  <c r="G69" i="23"/>
  <c r="K69" i="23"/>
  <c r="J69" i="23"/>
  <c r="I69" i="23"/>
  <c r="I70" i="23"/>
  <c r="H70" i="23"/>
  <c r="G70" i="23"/>
  <c r="F70" i="23"/>
  <c r="E70" i="23"/>
  <c r="N70" i="23"/>
  <c r="L70" i="23"/>
  <c r="K70" i="23"/>
  <c r="J70" i="23"/>
  <c r="D70" i="23"/>
  <c r="M70" i="23"/>
  <c r="N32" i="23"/>
  <c r="F32" i="23"/>
  <c r="M32" i="23"/>
  <c r="E32" i="23"/>
  <c r="H32" i="23"/>
  <c r="G32" i="23"/>
  <c r="J32" i="23"/>
  <c r="I32" i="23"/>
  <c r="D32" i="23"/>
  <c r="K32" i="23"/>
  <c r="L32" i="23"/>
  <c r="H67" i="23"/>
  <c r="G67" i="23"/>
  <c r="N67" i="23"/>
  <c r="F67" i="23"/>
  <c r="I67" i="23"/>
  <c r="E67" i="23"/>
  <c r="K67" i="23"/>
  <c r="J67" i="23"/>
  <c r="D67" i="23"/>
  <c r="M67" i="23"/>
  <c r="L67" i="23"/>
  <c r="J8" i="23"/>
  <c r="I8" i="23"/>
  <c r="H8" i="23"/>
  <c r="M8" i="23"/>
  <c r="E8" i="23"/>
  <c r="N8" i="23"/>
  <c r="F8" i="23"/>
  <c r="L8" i="23"/>
  <c r="K8" i="23"/>
  <c r="G8" i="23"/>
  <c r="D8" i="23"/>
  <c r="J73" i="23"/>
  <c r="I73" i="23"/>
  <c r="H73" i="23"/>
  <c r="F73" i="23"/>
  <c r="E73" i="23"/>
  <c r="N73" i="23"/>
  <c r="M73" i="23"/>
  <c r="L73" i="23"/>
  <c r="K73" i="23"/>
  <c r="G73" i="23"/>
  <c r="D73" i="23"/>
  <c r="G80" i="23"/>
  <c r="N80" i="23"/>
  <c r="F80" i="23"/>
  <c r="M80" i="23"/>
  <c r="E80" i="23"/>
  <c r="H80" i="23"/>
  <c r="L80" i="23"/>
  <c r="K80" i="23"/>
  <c r="J80" i="23"/>
  <c r="I80" i="23"/>
  <c r="D80" i="23"/>
  <c r="N17" i="23"/>
  <c r="F17" i="23"/>
  <c r="M17" i="23"/>
  <c r="E17" i="23"/>
  <c r="I17" i="23"/>
  <c r="H17" i="23"/>
  <c r="G17" i="23"/>
  <c r="L17" i="23"/>
  <c r="K17" i="23"/>
  <c r="J17" i="23"/>
  <c r="D17" i="23"/>
  <c r="M45" i="23"/>
  <c r="E45" i="23"/>
  <c r="L45" i="23"/>
  <c r="D45" i="23"/>
  <c r="I45" i="23"/>
  <c r="H45" i="23"/>
  <c r="F45" i="23"/>
  <c r="K45" i="23"/>
  <c r="J45" i="23"/>
  <c r="G45" i="23"/>
  <c r="N45" i="23"/>
  <c r="K39" i="23"/>
  <c r="J39" i="23"/>
  <c r="M39" i="23"/>
  <c r="L39" i="23"/>
  <c r="H39" i="23"/>
  <c r="E39" i="23"/>
  <c r="D39" i="23"/>
  <c r="I39" i="23"/>
  <c r="N39" i="23"/>
  <c r="F39" i="23"/>
  <c r="G39" i="23"/>
  <c r="I28" i="23"/>
  <c r="K28" i="23"/>
  <c r="J28" i="23"/>
  <c r="G28" i="23"/>
  <c r="F28" i="23"/>
  <c r="E28" i="23"/>
  <c r="M28" i="23"/>
  <c r="D28" i="23"/>
  <c r="N28" i="23"/>
  <c r="H28" i="23"/>
  <c r="L28" i="23"/>
  <c r="G20" i="23"/>
  <c r="N20" i="23"/>
  <c r="F20" i="23"/>
  <c r="L20" i="23"/>
  <c r="K20" i="23"/>
  <c r="J20" i="23"/>
  <c r="E20" i="23"/>
  <c r="H20" i="23"/>
  <c r="M20" i="23"/>
  <c r="I20" i="23"/>
  <c r="D20" i="23"/>
  <c r="M66" i="23"/>
  <c r="E66" i="23"/>
  <c r="L66" i="23"/>
  <c r="D66" i="23"/>
  <c r="K66" i="23"/>
  <c r="H66" i="23"/>
  <c r="G66" i="23"/>
  <c r="J66" i="23"/>
  <c r="N66" i="23"/>
  <c r="I66" i="23"/>
  <c r="F66" i="23"/>
  <c r="H15" i="23"/>
  <c r="G15" i="23"/>
  <c r="M15" i="23"/>
  <c r="L15" i="23"/>
  <c r="K15" i="23"/>
  <c r="F15" i="23"/>
  <c r="N15" i="23"/>
  <c r="I15" i="23"/>
  <c r="D15" i="23"/>
  <c r="J15" i="23"/>
  <c r="E15" i="23"/>
  <c r="J57" i="23"/>
  <c r="I57" i="23"/>
  <c r="H57" i="23"/>
  <c r="K57" i="23"/>
  <c r="G57" i="23"/>
  <c r="E57" i="23"/>
  <c r="N57" i="23"/>
  <c r="L57" i="23"/>
  <c r="M57" i="23"/>
  <c r="D57" i="23"/>
  <c r="F57" i="23"/>
  <c r="I41" i="23"/>
  <c r="H41" i="23"/>
  <c r="G41" i="23"/>
  <c r="F41" i="23"/>
  <c r="N41" i="23"/>
  <c r="D41" i="23"/>
  <c r="L41" i="23"/>
  <c r="K41" i="23"/>
  <c r="J41" i="23"/>
  <c r="M41" i="23"/>
  <c r="E41" i="23"/>
  <c r="G64" i="23"/>
  <c r="N64" i="23"/>
  <c r="F64" i="23"/>
  <c r="M64" i="23"/>
  <c r="E64" i="23"/>
  <c r="I64" i="23"/>
  <c r="H64" i="23"/>
  <c r="J64" i="23"/>
  <c r="D64" i="23"/>
  <c r="L64" i="23"/>
  <c r="K64" i="23"/>
  <c r="I78" i="23"/>
  <c r="H78" i="23"/>
  <c r="G78" i="23"/>
  <c r="J78" i="23"/>
  <c r="F78" i="23"/>
  <c r="E78" i="23"/>
  <c r="D78" i="23"/>
  <c r="L78" i="23"/>
  <c r="N78" i="23"/>
  <c r="K78" i="23"/>
  <c r="M78" i="23"/>
  <c r="L29" i="23"/>
  <c r="D29" i="23"/>
  <c r="G29" i="23"/>
  <c r="F29" i="23"/>
  <c r="H29" i="23"/>
  <c r="E29" i="23"/>
  <c r="K29" i="23"/>
  <c r="N29" i="23"/>
  <c r="M29" i="23"/>
  <c r="J29" i="23"/>
  <c r="I29" i="23"/>
  <c r="K31" i="23"/>
  <c r="J31" i="23"/>
  <c r="I31" i="23"/>
  <c r="H31" i="23"/>
  <c r="F31" i="23"/>
  <c r="E31" i="23"/>
  <c r="D31" i="23"/>
  <c r="M31" i="23"/>
  <c r="N31" i="23"/>
  <c r="L31" i="23"/>
  <c r="G31" i="23"/>
  <c r="H59" i="23"/>
  <c r="G59" i="23"/>
  <c r="N59" i="23"/>
  <c r="F59" i="23"/>
  <c r="J59" i="23"/>
  <c r="I59" i="23"/>
  <c r="D59" i="23"/>
  <c r="L59" i="23"/>
  <c r="K59" i="23"/>
  <c r="E59" i="23"/>
  <c r="M59" i="23"/>
  <c r="N12" i="23"/>
  <c r="F12" i="23"/>
  <c r="J12" i="23"/>
  <c r="I12" i="23"/>
  <c r="H12" i="23"/>
  <c r="M12" i="23"/>
  <c r="D12" i="23"/>
  <c r="K12" i="23"/>
  <c r="L12" i="23"/>
  <c r="E12" i="23"/>
  <c r="G12" i="23"/>
  <c r="M58" i="23"/>
  <c r="E58" i="23"/>
  <c r="L58" i="23"/>
  <c r="D58" i="23"/>
  <c r="K58" i="23"/>
  <c r="I58" i="23"/>
  <c r="H58" i="23"/>
  <c r="F58" i="23"/>
  <c r="N58" i="23"/>
  <c r="J58" i="23"/>
  <c r="G58" i="23"/>
  <c r="L19" i="23"/>
  <c r="D19" i="23"/>
  <c r="K19" i="23"/>
  <c r="E19" i="23"/>
  <c r="N19" i="23"/>
  <c r="M19" i="23"/>
  <c r="H19" i="23"/>
  <c r="J19" i="23"/>
  <c r="I19" i="23"/>
  <c r="F19" i="23"/>
  <c r="G19" i="23"/>
  <c r="N25" i="23"/>
  <c r="F25" i="23"/>
  <c r="M25" i="23"/>
  <c r="E25" i="23"/>
  <c r="K25" i="23"/>
  <c r="J25" i="23"/>
  <c r="I25" i="23"/>
  <c r="D25" i="23"/>
  <c r="L25" i="23"/>
  <c r="H25" i="23"/>
  <c r="G25" i="23"/>
  <c r="M9" i="23"/>
  <c r="E9" i="23"/>
  <c r="L9" i="23"/>
  <c r="D9" i="23"/>
  <c r="K9" i="23"/>
  <c r="H9" i="23"/>
  <c r="N9" i="23"/>
  <c r="I9" i="23"/>
  <c r="J9" i="23"/>
  <c r="F9" i="23"/>
  <c r="G9" i="23"/>
  <c r="N48" i="23"/>
  <c r="F48" i="23"/>
  <c r="M48" i="23"/>
  <c r="E48" i="23"/>
  <c r="L48" i="23"/>
  <c r="K48" i="23"/>
  <c r="I48" i="23"/>
  <c r="G48" i="23"/>
  <c r="D48" i="23"/>
  <c r="J48" i="23"/>
  <c r="H48" i="23"/>
  <c r="I62" i="23"/>
  <c r="H62" i="23"/>
  <c r="G62" i="23"/>
  <c r="J62" i="23"/>
  <c r="F62" i="23"/>
  <c r="D62" i="23"/>
  <c r="M62" i="23"/>
  <c r="L62" i="23"/>
  <c r="K62" i="23"/>
  <c r="E62" i="23"/>
  <c r="N62" i="23"/>
  <c r="J13" i="23"/>
  <c r="I13" i="23"/>
  <c r="G13" i="23"/>
  <c r="F13" i="23"/>
  <c r="E13" i="23"/>
  <c r="L13" i="23"/>
  <c r="D13" i="23"/>
  <c r="H13" i="23"/>
  <c r="N13" i="23"/>
  <c r="M13" i="23"/>
  <c r="K13" i="23"/>
  <c r="H23" i="23"/>
  <c r="G23" i="23"/>
  <c r="E23" i="23"/>
  <c r="N23" i="23"/>
  <c r="D23" i="23"/>
  <c r="M23" i="23"/>
  <c r="J23" i="23"/>
  <c r="F23" i="23"/>
  <c r="L23" i="23"/>
  <c r="K23" i="23"/>
  <c r="I23" i="23"/>
  <c r="G35" i="23"/>
  <c r="N35" i="23"/>
  <c r="F35" i="23"/>
  <c r="K35" i="23"/>
  <c r="J35" i="23"/>
  <c r="H35" i="23"/>
  <c r="D35" i="23"/>
  <c r="L35" i="23"/>
  <c r="M35" i="23"/>
  <c r="I35" i="23"/>
  <c r="E35" i="23"/>
  <c r="H75" i="23"/>
  <c r="G75" i="23"/>
  <c r="N75" i="23"/>
  <c r="F75" i="23"/>
  <c r="E75" i="23"/>
  <c r="D75" i="23"/>
  <c r="M75" i="23"/>
  <c r="J75" i="23"/>
  <c r="I75" i="23"/>
  <c r="L75" i="23"/>
  <c r="K75" i="23"/>
  <c r="L50" i="23"/>
  <c r="D50" i="23"/>
  <c r="K50" i="23"/>
  <c r="H50" i="23"/>
  <c r="G50" i="23"/>
  <c r="E50" i="23"/>
  <c r="N50" i="23"/>
  <c r="M50" i="23"/>
  <c r="J50" i="23"/>
  <c r="I50" i="23"/>
  <c r="F50" i="23"/>
  <c r="H46" i="23"/>
  <c r="G46" i="23"/>
  <c r="F46" i="23"/>
  <c r="E46" i="23"/>
  <c r="M46" i="23"/>
  <c r="N46" i="23"/>
  <c r="L46" i="23"/>
  <c r="K46" i="23"/>
  <c r="D46" i="23"/>
  <c r="J46" i="23"/>
  <c r="I46" i="23"/>
  <c r="G51" i="23"/>
  <c r="N51" i="23"/>
  <c r="F51" i="23"/>
  <c r="E51" i="23"/>
  <c r="D51" i="23"/>
  <c r="L51" i="23"/>
  <c r="M51" i="23"/>
  <c r="I51" i="23"/>
  <c r="K51" i="23"/>
  <c r="J51" i="23"/>
  <c r="H51" i="23"/>
  <c r="L79" i="23"/>
  <c r="D79" i="23"/>
  <c r="K79" i="23"/>
  <c r="J79" i="23"/>
  <c r="M79" i="23"/>
  <c r="E79" i="23"/>
  <c r="I79" i="23"/>
  <c r="H79" i="23"/>
  <c r="G79" i="23"/>
  <c r="F79" i="23"/>
  <c r="N79" i="23"/>
  <c r="K11" i="23"/>
  <c r="N11" i="23"/>
  <c r="E11" i="23"/>
  <c r="M11" i="23"/>
  <c r="D11" i="23"/>
  <c r="L11" i="23"/>
  <c r="H11" i="23"/>
  <c r="J11" i="23"/>
  <c r="I11" i="23"/>
  <c r="G11" i="23"/>
  <c r="F11" i="23"/>
  <c r="G43" i="23"/>
  <c r="N43" i="23"/>
  <c r="F43" i="23"/>
  <c r="M43" i="23"/>
  <c r="L43" i="23"/>
  <c r="J43" i="23"/>
  <c r="D43" i="23"/>
  <c r="I43" i="23"/>
  <c r="K43" i="23"/>
  <c r="H43" i="23"/>
  <c r="E43" i="23"/>
  <c r="N40" i="23"/>
  <c r="F40" i="23"/>
  <c r="M40" i="23"/>
  <c r="E40" i="23"/>
  <c r="J40" i="23"/>
  <c r="I40" i="23"/>
  <c r="G40" i="23"/>
  <c r="H40" i="23"/>
  <c r="D40" i="23"/>
  <c r="L40" i="23"/>
  <c r="K40" i="23"/>
  <c r="J21" i="23"/>
  <c r="I21" i="23"/>
  <c r="K21" i="23"/>
  <c r="H21" i="23"/>
  <c r="G21" i="23"/>
  <c r="N21" i="23"/>
  <c r="D21" i="23"/>
  <c r="F21" i="23"/>
  <c r="E21" i="23"/>
  <c r="L21" i="23"/>
  <c r="M21" i="23"/>
  <c r="J65" i="23"/>
  <c r="I65" i="23"/>
  <c r="H65" i="23"/>
  <c r="G65" i="23"/>
  <c r="F65" i="23"/>
  <c r="D65" i="23"/>
  <c r="N65" i="23"/>
  <c r="M65" i="23"/>
  <c r="L65" i="23"/>
  <c r="K65" i="23"/>
  <c r="E65" i="23"/>
  <c r="M22" i="23"/>
  <c r="E22" i="23"/>
  <c r="L22" i="23"/>
  <c r="D22" i="23"/>
  <c r="H22" i="23"/>
  <c r="G22" i="23"/>
  <c r="F22" i="23"/>
  <c r="K22" i="23"/>
  <c r="N22" i="23"/>
  <c r="J22" i="23"/>
  <c r="I22" i="23"/>
  <c r="N77" i="23"/>
  <c r="F77" i="23"/>
  <c r="M77" i="23"/>
  <c r="E77" i="23"/>
  <c r="L77" i="23"/>
  <c r="D77" i="23"/>
  <c r="G77" i="23"/>
  <c r="I77" i="23"/>
  <c r="H77" i="23"/>
  <c r="K77" i="23"/>
  <c r="J77" i="23"/>
  <c r="L55" i="23"/>
  <c r="D55" i="23"/>
  <c r="K55" i="23"/>
  <c r="J55" i="23"/>
  <c r="I55" i="23"/>
  <c r="H55" i="23"/>
  <c r="F55" i="23"/>
  <c r="M55" i="23"/>
  <c r="N55" i="23"/>
  <c r="G55" i="23"/>
  <c r="E55" i="23"/>
  <c r="K60" i="23"/>
  <c r="J60" i="23"/>
  <c r="I60" i="23"/>
  <c r="H60" i="23"/>
  <c r="G60" i="23"/>
  <c r="E60" i="23"/>
  <c r="N60" i="23"/>
  <c r="M60" i="23"/>
  <c r="F60" i="23"/>
  <c r="L60" i="23"/>
  <c r="D60" i="23"/>
  <c r="J52" i="23"/>
  <c r="I52" i="23"/>
  <c r="N52" i="23"/>
  <c r="D52" i="23"/>
  <c r="M52" i="23"/>
  <c r="K52" i="23"/>
  <c r="F52" i="23"/>
  <c r="E52" i="23"/>
  <c r="L52" i="23"/>
  <c r="H52" i="23"/>
  <c r="G52" i="23"/>
  <c r="N27" i="23"/>
  <c r="F27" i="23"/>
  <c r="E27" i="23"/>
  <c r="M27" i="23"/>
  <c r="D27" i="23"/>
  <c r="I27" i="23"/>
  <c r="H27" i="23"/>
  <c r="G27" i="23"/>
  <c r="L27" i="23"/>
  <c r="K27" i="23"/>
  <c r="J27" i="23"/>
  <c r="I18" i="23"/>
  <c r="H18" i="23"/>
  <c r="F18" i="23"/>
  <c r="E18" i="23"/>
  <c r="N18" i="23"/>
  <c r="D18" i="23"/>
  <c r="K18" i="23"/>
  <c r="L18" i="23"/>
  <c r="G18" i="23"/>
  <c r="M18" i="23"/>
  <c r="J18" i="23"/>
  <c r="L42" i="23"/>
  <c r="D42" i="23"/>
  <c r="K42" i="23"/>
  <c r="F42" i="23"/>
  <c r="E42" i="23"/>
  <c r="M42" i="23"/>
  <c r="N42" i="23"/>
  <c r="J42" i="23"/>
  <c r="G42" i="23"/>
  <c r="I42" i="23"/>
  <c r="H42" i="23"/>
  <c r="G72" i="23"/>
  <c r="N72" i="23"/>
  <c r="F72" i="23"/>
  <c r="M72" i="23"/>
  <c r="E72" i="23"/>
  <c r="H72" i="23"/>
  <c r="D72" i="23"/>
  <c r="I72" i="23"/>
  <c r="L72" i="23"/>
  <c r="K72" i="23"/>
  <c r="J72" i="23"/>
  <c r="M53" i="23"/>
  <c r="E53" i="23"/>
  <c r="L53" i="23"/>
  <c r="D53" i="23"/>
  <c r="K53" i="23"/>
  <c r="J53" i="23"/>
  <c r="H53" i="23"/>
  <c r="I53" i="23"/>
  <c r="G53" i="23"/>
  <c r="F53" i="23"/>
  <c r="N53" i="23"/>
  <c r="H38" i="23"/>
  <c r="G38" i="23"/>
  <c r="N38" i="23"/>
  <c r="D38" i="23"/>
  <c r="M38" i="23"/>
  <c r="K38" i="23"/>
  <c r="L38" i="23"/>
  <c r="F38" i="23"/>
  <c r="J38" i="23"/>
  <c r="I38" i="23"/>
  <c r="E38" i="23"/>
  <c r="K16" i="23"/>
  <c r="J16" i="23"/>
  <c r="L16" i="23"/>
  <c r="I16" i="23"/>
  <c r="H16" i="23"/>
  <c r="E16" i="23"/>
  <c r="G16" i="23"/>
  <c r="F16" i="23"/>
  <c r="D16" i="23"/>
  <c r="M16" i="23"/>
  <c r="N16" i="23"/>
  <c r="G30" i="23"/>
  <c r="L30" i="23"/>
  <c r="K30" i="23"/>
  <c r="F30" i="23"/>
  <c r="E30" i="23"/>
  <c r="D30" i="23"/>
  <c r="J30" i="23"/>
  <c r="H30" i="23"/>
  <c r="N30" i="23"/>
  <c r="M30" i="23"/>
  <c r="I30" i="23"/>
  <c r="L71" i="23"/>
  <c r="D71" i="23"/>
  <c r="K71" i="23"/>
  <c r="J71" i="23"/>
  <c r="G71" i="23"/>
  <c r="F71" i="23"/>
  <c r="N71" i="23"/>
  <c r="M71" i="23"/>
  <c r="H71" i="23"/>
  <c r="I71" i="23"/>
  <c r="E71" i="23"/>
  <c r="G7" i="23"/>
  <c r="M7" i="23"/>
  <c r="N7" i="23"/>
  <c r="F7" i="23"/>
  <c r="E7" i="23"/>
  <c r="J7" i="23"/>
  <c r="L7" i="23"/>
  <c r="K7" i="23"/>
  <c r="H7" i="23"/>
  <c r="I7" i="23"/>
  <c r="D7" i="23"/>
  <c r="L34" i="23"/>
  <c r="D34" i="23"/>
  <c r="K34" i="23"/>
  <c r="N34" i="23"/>
  <c r="M34" i="23"/>
  <c r="I34" i="23"/>
  <c r="G34" i="23"/>
  <c r="J34" i="23"/>
  <c r="H34" i="23"/>
  <c r="F34" i="23"/>
  <c r="E34" i="23"/>
  <c r="G56" i="23"/>
  <c r="N56" i="23"/>
  <c r="F56" i="23"/>
  <c r="M56" i="23"/>
  <c r="E56" i="23"/>
  <c r="J56" i="23"/>
  <c r="I56" i="23"/>
  <c r="D56" i="23"/>
  <c r="K56" i="23"/>
  <c r="H56" i="23"/>
  <c r="L56" i="23"/>
  <c r="M37" i="23"/>
  <c r="E37" i="23"/>
  <c r="L37" i="23"/>
  <c r="D37" i="23"/>
  <c r="G37" i="23"/>
  <c r="F37" i="23"/>
  <c r="N37" i="23"/>
  <c r="K37" i="23"/>
  <c r="J37" i="23"/>
  <c r="I37" i="23"/>
  <c r="H37" i="23"/>
  <c r="E6" i="23"/>
  <c r="M6" i="23"/>
  <c r="F6" i="23"/>
  <c r="N6" i="23"/>
  <c r="G6" i="23"/>
  <c r="J6" i="23"/>
  <c r="H6" i="23"/>
  <c r="I6" i="23"/>
  <c r="K6" i="23"/>
  <c r="L6" i="23"/>
  <c r="D6" i="23"/>
  <c r="I54" i="23"/>
  <c r="H54" i="23"/>
  <c r="G54" i="23"/>
  <c r="K54" i="23"/>
  <c r="J54" i="23"/>
  <c r="E54" i="23"/>
  <c r="N54" i="23"/>
  <c r="M54" i="23"/>
  <c r="L54" i="23"/>
  <c r="F54" i="23"/>
  <c r="D54" i="23"/>
  <c r="M14" i="23"/>
  <c r="E14" i="23"/>
  <c r="L14" i="23"/>
  <c r="D14" i="23"/>
  <c r="F14" i="23"/>
  <c r="N14" i="23"/>
  <c r="I14" i="23"/>
  <c r="K14" i="23"/>
  <c r="J14" i="23"/>
  <c r="H14" i="23"/>
  <c r="G14" i="23"/>
  <c r="L63" i="23"/>
  <c r="D63" i="23"/>
  <c r="K63" i="23"/>
  <c r="J63" i="23"/>
  <c r="H63" i="23"/>
  <c r="G63" i="23"/>
  <c r="E63" i="23"/>
  <c r="N63" i="23"/>
  <c r="I63" i="23"/>
  <c r="M63" i="23"/>
  <c r="F63" i="23"/>
  <c r="K76" i="23"/>
  <c r="J76" i="23"/>
  <c r="I76" i="23"/>
  <c r="F76" i="23"/>
  <c r="E76" i="23"/>
  <c r="D76" i="23"/>
  <c r="N76" i="23"/>
  <c r="M76" i="23"/>
  <c r="L76" i="23"/>
  <c r="G76" i="23"/>
  <c r="H76" i="23"/>
  <c r="K68" i="23"/>
  <c r="J68" i="23"/>
  <c r="I68" i="23"/>
  <c r="G68" i="23"/>
  <c r="F68" i="23"/>
  <c r="D68" i="23"/>
  <c r="N68" i="23"/>
  <c r="M68" i="23"/>
  <c r="L68" i="23"/>
  <c r="E68" i="23"/>
  <c r="H68" i="23"/>
  <c r="K26" i="23"/>
  <c r="I26" i="23"/>
  <c r="H26" i="23"/>
  <c r="J26" i="23"/>
  <c r="G26" i="23"/>
  <c r="F26" i="23"/>
  <c r="N26" i="23"/>
  <c r="E26" i="23"/>
  <c r="D26" i="23"/>
  <c r="M26" i="23"/>
  <c r="L26" i="23"/>
  <c r="K24" i="23"/>
  <c r="J24" i="23"/>
  <c r="N24" i="23"/>
  <c r="D24" i="23"/>
  <c r="M24" i="23"/>
  <c r="L24" i="23"/>
  <c r="G24" i="23"/>
  <c r="I24" i="23"/>
  <c r="H24" i="23"/>
  <c r="E24" i="23"/>
  <c r="F24" i="23"/>
  <c r="I33" i="23"/>
  <c r="H33" i="23"/>
  <c r="E33" i="23"/>
  <c r="N33" i="23"/>
  <c r="D33" i="23"/>
  <c r="L33" i="23"/>
  <c r="M33" i="23"/>
  <c r="K33" i="23"/>
  <c r="J33" i="23"/>
  <c r="G33" i="23"/>
  <c r="F33" i="23"/>
  <c r="I49" i="23"/>
  <c r="H49" i="23"/>
  <c r="K49" i="23"/>
  <c r="J49" i="23"/>
  <c r="F49" i="23"/>
  <c r="L49" i="23"/>
  <c r="G49" i="23"/>
  <c r="E49" i="23"/>
  <c r="N49" i="23"/>
  <c r="M49" i="23"/>
  <c r="D49" i="23"/>
  <c r="N61" i="23"/>
  <c r="F61" i="23"/>
  <c r="M61" i="23"/>
  <c r="E61" i="23"/>
  <c r="L61" i="23"/>
  <c r="D61" i="23"/>
  <c r="I61" i="23"/>
  <c r="H61" i="23"/>
  <c r="G61" i="23"/>
  <c r="J61" i="23"/>
  <c r="K61" i="23"/>
  <c r="K47" i="23"/>
  <c r="J47" i="23"/>
  <c r="E47" i="23"/>
  <c r="N47" i="23"/>
  <c r="D47" i="23"/>
  <c r="L47" i="23"/>
  <c r="H47" i="23"/>
  <c r="M47" i="23"/>
  <c r="I47" i="23"/>
  <c r="G47" i="23"/>
  <c r="F47" i="23"/>
  <c r="J44" i="23"/>
  <c r="I44" i="23"/>
  <c r="L44" i="23"/>
  <c r="K44" i="23"/>
  <c r="G44" i="23"/>
  <c r="F44" i="23"/>
  <c r="E44" i="23"/>
  <c r="D44" i="23"/>
  <c r="N44" i="23"/>
  <c r="M44" i="23"/>
  <c r="H44" i="23"/>
  <c r="J36" i="23"/>
  <c r="I36" i="23"/>
  <c r="H36" i="23"/>
  <c r="G36" i="23"/>
  <c r="E36" i="23"/>
  <c r="K36" i="23"/>
  <c r="F36" i="23"/>
  <c r="D36" i="23"/>
  <c r="N36" i="23"/>
  <c r="M36" i="23"/>
  <c r="L36" i="23"/>
  <c r="M74" i="23"/>
  <c r="E74" i="23"/>
  <c r="L74" i="23"/>
  <c r="D74" i="23"/>
  <c r="K74" i="23"/>
  <c r="G74" i="23"/>
  <c r="F74" i="23"/>
  <c r="N74" i="23"/>
  <c r="I74" i="23"/>
  <c r="J74" i="23"/>
  <c r="H74" i="23"/>
  <c r="H10" i="23"/>
  <c r="I10" i="23"/>
  <c r="G10" i="23"/>
  <c r="F10" i="23"/>
  <c r="L10" i="23"/>
  <c r="E10" i="23"/>
  <c r="D10" i="23"/>
  <c r="N10" i="23"/>
  <c r="M10" i="23"/>
  <c r="J10" i="23"/>
  <c r="K10" i="23"/>
  <c r="K48" i="13"/>
  <c r="K4" i="14"/>
  <c r="L4" i="14" s="1"/>
  <c r="K5" i="14"/>
  <c r="L5" i="14" s="1"/>
  <c r="K6" i="14"/>
  <c r="L6" i="14" s="1"/>
  <c r="K7" i="14"/>
  <c r="L7" i="14" s="1"/>
  <c r="K8" i="14"/>
  <c r="L8" i="14" s="1"/>
  <c r="K9" i="14"/>
  <c r="L9" i="14" s="1"/>
  <c r="K10" i="14"/>
  <c r="L10" i="14" s="1"/>
  <c r="K11" i="14"/>
  <c r="L11" i="14" s="1"/>
  <c r="K12" i="14"/>
  <c r="L12" i="14" s="1"/>
  <c r="K13" i="14"/>
  <c r="L13" i="14" s="1"/>
  <c r="K14" i="14"/>
  <c r="L14" i="14" s="1"/>
  <c r="K15" i="14"/>
  <c r="L15" i="14" s="1"/>
  <c r="K16" i="14"/>
  <c r="L16" i="14" s="1"/>
  <c r="K17" i="14"/>
  <c r="L17" i="14" s="1"/>
  <c r="K18" i="14"/>
  <c r="L18" i="14" s="1"/>
  <c r="K19" i="14"/>
  <c r="L19" i="14" s="1"/>
  <c r="K20" i="14"/>
  <c r="L20" i="14" s="1"/>
  <c r="K21" i="14"/>
  <c r="L21" i="14" s="1"/>
  <c r="K22" i="14"/>
  <c r="L22" i="14" s="1"/>
  <c r="K23" i="14"/>
  <c r="L23" i="14" s="1"/>
  <c r="K24" i="14"/>
  <c r="L24" i="14" s="1"/>
  <c r="K25" i="14"/>
  <c r="L25" i="14" s="1"/>
  <c r="K26" i="14"/>
  <c r="L26" i="14" s="1"/>
  <c r="K27" i="14"/>
  <c r="L27" i="14" s="1"/>
  <c r="K28" i="14"/>
  <c r="L28" i="14" s="1"/>
  <c r="K29" i="14"/>
  <c r="L29" i="14" s="1"/>
  <c r="K30" i="14"/>
  <c r="L30" i="14" s="1"/>
  <c r="K31" i="14"/>
  <c r="L31" i="14" s="1"/>
  <c r="K32" i="14"/>
  <c r="L32" i="14" s="1"/>
  <c r="K33" i="14"/>
  <c r="L33" i="14" s="1"/>
  <c r="K34" i="14"/>
  <c r="L34" i="14" s="1"/>
  <c r="K35" i="14"/>
  <c r="L35" i="14" s="1"/>
  <c r="K36" i="14"/>
  <c r="L36" i="14" s="1"/>
  <c r="K37" i="14"/>
  <c r="L37" i="14" s="1"/>
  <c r="K38" i="14"/>
  <c r="L38" i="14" s="1"/>
  <c r="K39" i="14"/>
  <c r="L39" i="14" s="1"/>
  <c r="K40" i="14"/>
  <c r="L40" i="14" s="1"/>
  <c r="K41" i="14"/>
  <c r="L41" i="14" s="1"/>
  <c r="K42" i="14"/>
  <c r="L42" i="14" s="1"/>
  <c r="K43" i="14"/>
  <c r="L43" i="14" s="1"/>
  <c r="K44" i="14"/>
  <c r="L44" i="14" s="1"/>
  <c r="K45" i="14"/>
  <c r="L45" i="14" s="1"/>
  <c r="K46" i="14"/>
  <c r="L46" i="14" s="1"/>
  <c r="K47" i="14"/>
  <c r="L47" i="14" s="1"/>
  <c r="K48" i="14"/>
  <c r="L48" i="14" s="1"/>
  <c r="K49" i="14"/>
  <c r="L49" i="14" s="1"/>
  <c r="K50" i="14"/>
  <c r="L50" i="14" s="1"/>
  <c r="K51" i="14"/>
  <c r="L51" i="14" s="1"/>
  <c r="K52" i="14"/>
  <c r="L52" i="14" s="1"/>
  <c r="K53" i="14"/>
  <c r="L53" i="14" s="1"/>
  <c r="K54" i="14"/>
  <c r="L54" i="14" s="1"/>
  <c r="K55" i="14"/>
  <c r="L55" i="14" s="1"/>
  <c r="K56" i="14"/>
  <c r="L56" i="14" s="1"/>
  <c r="K57" i="14"/>
  <c r="L57" i="14" s="1"/>
  <c r="K58" i="14"/>
  <c r="L58" i="14" s="1"/>
  <c r="K59" i="14"/>
  <c r="L59" i="14" s="1"/>
  <c r="K60" i="14"/>
  <c r="L60" i="14" s="1"/>
  <c r="K61" i="14"/>
  <c r="L61" i="14" s="1"/>
  <c r="K62" i="14"/>
  <c r="L62" i="14" s="1"/>
  <c r="K63" i="14"/>
  <c r="L63" i="14" s="1"/>
  <c r="K64" i="14"/>
  <c r="L64" i="14" s="1"/>
  <c r="K65" i="14"/>
  <c r="L65" i="14" s="1"/>
  <c r="K66" i="14"/>
  <c r="L66" i="14" s="1"/>
  <c r="K67" i="14"/>
  <c r="L67" i="14" s="1"/>
  <c r="K68" i="14"/>
  <c r="L68" i="14" s="1"/>
  <c r="K69" i="14"/>
  <c r="L69" i="14" s="1"/>
  <c r="K70" i="14"/>
  <c r="L70" i="14" s="1"/>
  <c r="K71" i="14"/>
  <c r="L71" i="14" s="1"/>
  <c r="K72" i="14"/>
  <c r="L72" i="14" s="1"/>
  <c r="K73" i="14"/>
  <c r="L73" i="14" s="1"/>
  <c r="K74" i="14"/>
  <c r="L74" i="14" s="1"/>
  <c r="K75" i="14"/>
  <c r="L75" i="14" s="1"/>
  <c r="K76" i="14"/>
  <c r="L76" i="14" s="1"/>
  <c r="K77" i="14"/>
  <c r="L77" i="14" s="1"/>
  <c r="K78" i="14"/>
  <c r="L78" i="14" s="1"/>
  <c r="K79" i="14"/>
  <c r="L79" i="14" s="1"/>
  <c r="K80" i="14"/>
  <c r="L80" i="14" s="1"/>
  <c r="K81" i="14"/>
  <c r="L81" i="14" s="1"/>
  <c r="K82" i="14"/>
  <c r="L82" i="14" s="1"/>
  <c r="K83" i="14"/>
  <c r="L83" i="14" s="1"/>
  <c r="K84" i="14"/>
  <c r="L84" i="14" s="1"/>
  <c r="K85" i="14"/>
  <c r="L85" i="14" s="1"/>
  <c r="K86" i="14"/>
  <c r="L86" i="14" s="1"/>
  <c r="K87" i="14"/>
  <c r="L87" i="14" s="1"/>
  <c r="K88" i="14"/>
  <c r="L88" i="14" s="1"/>
  <c r="K89" i="14"/>
  <c r="L89" i="14" s="1"/>
  <c r="K90" i="14"/>
  <c r="L90" i="14" s="1"/>
  <c r="K91" i="14"/>
  <c r="L91" i="14" s="1"/>
  <c r="K92" i="14"/>
  <c r="L92" i="14" s="1"/>
  <c r="K93" i="14"/>
  <c r="L93" i="14" s="1"/>
  <c r="K94" i="14"/>
  <c r="L94" i="14" s="1"/>
  <c r="K95" i="14"/>
  <c r="L95" i="14" s="1"/>
  <c r="K96" i="14"/>
  <c r="L96" i="14" s="1"/>
  <c r="K97" i="14"/>
  <c r="L97" i="14" s="1"/>
  <c r="K98" i="14"/>
  <c r="L98" i="14" s="1"/>
  <c r="K99" i="14"/>
  <c r="L99" i="14" s="1"/>
  <c r="K100" i="14"/>
  <c r="L100" i="14" s="1"/>
  <c r="K101" i="14"/>
  <c r="L101" i="14" s="1"/>
  <c r="K102" i="14"/>
  <c r="L102" i="14" s="1"/>
  <c r="K103" i="14"/>
  <c r="L103" i="14" s="1"/>
  <c r="K104" i="14"/>
  <c r="L104" i="14" s="1"/>
  <c r="K105" i="14"/>
  <c r="L105" i="14" s="1"/>
  <c r="K106" i="14"/>
  <c r="L106" i="14" s="1"/>
  <c r="K107" i="14"/>
  <c r="L107" i="14" s="1"/>
  <c r="K108" i="14"/>
  <c r="L108" i="14" s="1"/>
  <c r="K109" i="14"/>
  <c r="L109" i="14" s="1"/>
  <c r="K110" i="14"/>
  <c r="L110" i="14" s="1"/>
  <c r="K111" i="14"/>
  <c r="L111" i="14" s="1"/>
  <c r="K112" i="14"/>
  <c r="L112" i="14" s="1"/>
  <c r="K113" i="14"/>
  <c r="L113" i="14" s="1"/>
  <c r="K114" i="14"/>
  <c r="L114" i="14" s="1"/>
  <c r="K115" i="14"/>
  <c r="L115" i="14" s="1"/>
  <c r="K116" i="14"/>
  <c r="L116" i="14" s="1"/>
  <c r="K117" i="14"/>
  <c r="L117" i="14" s="1"/>
  <c r="K118" i="14"/>
  <c r="L118" i="14" s="1"/>
  <c r="K119" i="14"/>
  <c r="L119" i="14" s="1"/>
  <c r="K120" i="14"/>
  <c r="L120" i="14" s="1"/>
  <c r="K121" i="14"/>
  <c r="L121" i="14" s="1"/>
  <c r="K122" i="14"/>
  <c r="L122" i="14" s="1"/>
  <c r="K123" i="14"/>
  <c r="L123" i="14" s="1"/>
  <c r="K124" i="14"/>
  <c r="L124" i="14" s="1"/>
  <c r="K125" i="14"/>
  <c r="L125" i="14" s="1"/>
  <c r="K126" i="14"/>
  <c r="L126" i="14" s="1"/>
  <c r="K127" i="14"/>
  <c r="L127" i="14" s="1"/>
  <c r="K128" i="14"/>
  <c r="L128" i="14" s="1"/>
  <c r="K129" i="14"/>
  <c r="L129" i="14" s="1"/>
  <c r="K130" i="14"/>
  <c r="L130" i="14" s="1"/>
  <c r="K131" i="14"/>
  <c r="L131" i="14" s="1"/>
  <c r="K132" i="14"/>
  <c r="L132" i="14" s="1"/>
  <c r="K133" i="14"/>
  <c r="L133" i="14" s="1"/>
  <c r="K134" i="14"/>
  <c r="L134" i="14" s="1"/>
  <c r="K135" i="14"/>
  <c r="L135" i="14" s="1"/>
  <c r="K136" i="14"/>
  <c r="L136" i="14" s="1"/>
  <c r="K137" i="14"/>
  <c r="L137" i="14" s="1"/>
  <c r="K138" i="14"/>
  <c r="L138" i="14" s="1"/>
  <c r="K139" i="14"/>
  <c r="L139" i="14" s="1"/>
  <c r="K140" i="14"/>
  <c r="L140" i="14" s="1"/>
  <c r="K141" i="14"/>
  <c r="L141" i="14" s="1"/>
  <c r="K142" i="14"/>
  <c r="L142" i="14" s="1"/>
  <c r="K143" i="14"/>
  <c r="L143" i="14" s="1"/>
  <c r="K144" i="14"/>
  <c r="L144" i="14" s="1"/>
  <c r="K145" i="14"/>
  <c r="L145" i="14" s="1"/>
  <c r="K146" i="14"/>
  <c r="L146" i="14" s="1"/>
  <c r="K147" i="14"/>
  <c r="L147" i="14" s="1"/>
  <c r="K148" i="14"/>
  <c r="L148" i="14" s="1"/>
  <c r="K149" i="14"/>
  <c r="L149" i="14" s="1"/>
  <c r="K150" i="14"/>
  <c r="L150" i="14" s="1"/>
  <c r="K151" i="14"/>
  <c r="L151" i="14" s="1"/>
  <c r="K152" i="14"/>
  <c r="L152" i="14" s="1"/>
  <c r="K153" i="14"/>
  <c r="L153" i="14" s="1"/>
  <c r="K154" i="14"/>
  <c r="L154" i="14" s="1"/>
  <c r="K155" i="14"/>
  <c r="L155" i="14" s="1"/>
  <c r="K156" i="14"/>
  <c r="L156" i="14" s="1"/>
  <c r="K157" i="14"/>
  <c r="L157" i="14" s="1"/>
  <c r="K158" i="14"/>
  <c r="L158" i="14" s="1"/>
  <c r="K159" i="14"/>
  <c r="L159" i="14" s="1"/>
  <c r="K160" i="14"/>
  <c r="L160" i="14" s="1"/>
  <c r="K161" i="14"/>
  <c r="L161" i="14" s="1"/>
  <c r="K162" i="14"/>
  <c r="L162" i="14" s="1"/>
  <c r="K163" i="14"/>
  <c r="L163" i="14" s="1"/>
  <c r="K164" i="14"/>
  <c r="L164" i="14" s="1"/>
  <c r="K165" i="14"/>
  <c r="L165" i="14" s="1"/>
  <c r="K166" i="14"/>
  <c r="L166" i="14" s="1"/>
  <c r="K167" i="14"/>
  <c r="L167" i="14" s="1"/>
  <c r="K168" i="14"/>
  <c r="L168" i="14" s="1"/>
  <c r="K169" i="14"/>
  <c r="L169" i="14" s="1"/>
  <c r="K170" i="14"/>
  <c r="L170" i="14" s="1"/>
  <c r="K171" i="14"/>
  <c r="L171" i="14" s="1"/>
  <c r="K172" i="14"/>
  <c r="L172" i="14" s="1"/>
  <c r="K173" i="14"/>
  <c r="L173" i="14" s="1"/>
  <c r="K174" i="14"/>
  <c r="L174" i="14" s="1"/>
  <c r="K175" i="14"/>
  <c r="L175" i="14" s="1"/>
  <c r="K176" i="14"/>
  <c r="L176" i="14" s="1"/>
  <c r="K177" i="14"/>
  <c r="L177" i="14" s="1"/>
  <c r="K178" i="14"/>
  <c r="L178" i="14" s="1"/>
  <c r="K179" i="14"/>
  <c r="L179" i="14" s="1"/>
  <c r="K180" i="14"/>
  <c r="L180" i="14" s="1"/>
  <c r="K181" i="14"/>
  <c r="L181" i="14" s="1"/>
  <c r="K182" i="14"/>
  <c r="L182" i="14" s="1"/>
  <c r="K183" i="14"/>
  <c r="L183" i="14" s="1"/>
  <c r="K184" i="14"/>
  <c r="L184" i="14" s="1"/>
  <c r="K185" i="14"/>
  <c r="L185" i="14" s="1"/>
  <c r="K186" i="14"/>
  <c r="L186" i="14" s="1"/>
  <c r="K187" i="14"/>
  <c r="L187" i="14" s="1"/>
  <c r="K188" i="14"/>
  <c r="L188" i="14" s="1"/>
  <c r="K189" i="14"/>
  <c r="L189" i="14" s="1"/>
  <c r="K190" i="14"/>
  <c r="L190" i="14" s="1"/>
  <c r="K191" i="14"/>
  <c r="L191" i="14" s="1"/>
  <c r="K192" i="14"/>
  <c r="L192" i="14" s="1"/>
  <c r="K193" i="14"/>
  <c r="L193" i="14" s="1"/>
  <c r="K194" i="14"/>
  <c r="L194" i="14" s="1"/>
  <c r="K195" i="14"/>
  <c r="L195" i="14" s="1"/>
  <c r="K196" i="14"/>
  <c r="L196" i="14" s="1"/>
  <c r="K197" i="14"/>
  <c r="L197" i="14" s="1"/>
  <c r="K3" i="14"/>
  <c r="L3" i="14" s="1"/>
  <c r="M3" i="14" s="1"/>
  <c r="B2" i="1"/>
  <c r="B2" i="21"/>
  <c r="B2" i="22"/>
  <c r="B2" i="23"/>
  <c r="Y6" i="23"/>
  <c r="U3" i="12"/>
  <c r="N3" i="12"/>
  <c r="N18" i="12"/>
  <c r="U4" i="12"/>
  <c r="U7" i="12"/>
  <c r="U8" i="12"/>
  <c r="AM3" i="12"/>
  <c r="O18" i="12"/>
  <c r="S43" i="12"/>
  <c r="AC21" i="12"/>
  <c r="AC24" i="12"/>
  <c r="AC48" i="12"/>
  <c r="AC49" i="12"/>
  <c r="AC51" i="12"/>
  <c r="AC6" i="12"/>
  <c r="AC60" i="12"/>
  <c r="AC58" i="12"/>
  <c r="AC57" i="12"/>
  <c r="AC38" i="12"/>
  <c r="AC46" i="12"/>
  <c r="AC8" i="12"/>
  <c r="AC9" i="12"/>
  <c r="AC13" i="12"/>
  <c r="AC23" i="12"/>
  <c r="AC53" i="12"/>
  <c r="AC26" i="12"/>
  <c r="AC16" i="12"/>
  <c r="AC55" i="12"/>
  <c r="AC59" i="12"/>
  <c r="AC56" i="12"/>
  <c r="AC50" i="12"/>
  <c r="AC47" i="12"/>
  <c r="AC44" i="12"/>
  <c r="AC39" i="12"/>
  <c r="AC17" i="12"/>
  <c r="AC61" i="12"/>
  <c r="AC28" i="12"/>
  <c r="AC30" i="12"/>
  <c r="AC14" i="12"/>
  <c r="AC29" i="12"/>
  <c r="AC33" i="12"/>
  <c r="AC5" i="12"/>
  <c r="AC18" i="12"/>
  <c r="AC64" i="12"/>
  <c r="AC52" i="12"/>
  <c r="AC22" i="12"/>
  <c r="AC42" i="12"/>
  <c r="AC63" i="12"/>
  <c r="AC37" i="12"/>
  <c r="AC31" i="12"/>
  <c r="AC32" i="12"/>
  <c r="AC40" i="12"/>
  <c r="AC36" i="12"/>
  <c r="AC12" i="12"/>
  <c r="AC62" i="12"/>
  <c r="AC35" i="12"/>
  <c r="AC4" i="12"/>
  <c r="AC43" i="12"/>
  <c r="AC25" i="12"/>
  <c r="AC19" i="12"/>
  <c r="AC34" i="12"/>
  <c r="AC10" i="12"/>
  <c r="AC41" i="12"/>
  <c r="AC45" i="12"/>
  <c r="AC54" i="12"/>
  <c r="AC11" i="12"/>
  <c r="AC15" i="12"/>
  <c r="AC27" i="12"/>
  <c r="AC20" i="12"/>
  <c r="AC7" i="12"/>
  <c r="M4" i="14" l="1"/>
  <c r="M5" i="14" s="1"/>
  <c r="M6" i="14" s="1"/>
  <c r="M7" i="14" s="1"/>
  <c r="M8" i="14" s="1"/>
  <c r="M9" i="14" s="1"/>
  <c r="M10" i="14" s="1"/>
  <c r="M11" i="14" s="1"/>
  <c r="M12" i="14" s="1"/>
  <c r="M13" i="14" s="1"/>
  <c r="M14" i="14" s="1"/>
  <c r="M15" i="14" s="1"/>
  <c r="M16" i="14" s="1"/>
  <c r="M17" i="14" s="1"/>
  <c r="M18" i="14" s="1"/>
  <c r="M19" i="14" s="1"/>
  <c r="M20" i="14" s="1"/>
  <c r="M21" i="14" s="1"/>
  <c r="M22" i="14" s="1"/>
  <c r="M23" i="14" s="1"/>
  <c r="M24" i="14" s="1"/>
  <c r="M25" i="14" s="1"/>
  <c r="M26" i="14" s="1"/>
  <c r="M27" i="14" s="1"/>
  <c r="M28" i="14" s="1"/>
  <c r="M29" i="14" s="1"/>
  <c r="M30" i="14" s="1"/>
  <c r="M31" i="14" s="1"/>
  <c r="M32" i="14" s="1"/>
  <c r="M33" i="14" s="1"/>
  <c r="M34" i="14" s="1"/>
  <c r="M35" i="14" s="1"/>
  <c r="M36" i="14" s="1"/>
  <c r="M37" i="14" s="1"/>
  <c r="M38" i="14" s="1"/>
  <c r="M39" i="14" s="1"/>
  <c r="M40" i="14" s="1"/>
  <c r="M41" i="14" s="1"/>
  <c r="M42" i="14" s="1"/>
  <c r="M43" i="14" s="1"/>
  <c r="M44" i="14" s="1"/>
  <c r="M45" i="14" s="1"/>
  <c r="M46" i="14" s="1"/>
  <c r="M47" i="14" s="1"/>
  <c r="M48" i="14" s="1"/>
  <c r="M49" i="14" s="1"/>
  <c r="M50" i="14" s="1"/>
  <c r="M51" i="14" s="1"/>
  <c r="M52" i="14" s="1"/>
  <c r="M53" i="14" s="1"/>
  <c r="M54" i="14" s="1"/>
  <c r="M55" i="14" s="1"/>
  <c r="M56" i="14" s="1"/>
  <c r="M57" i="14" s="1"/>
  <c r="M58" i="14" s="1"/>
  <c r="M59" i="14" s="1"/>
  <c r="M60" i="14" s="1"/>
  <c r="M61" i="14" s="1"/>
  <c r="M62" i="14" s="1"/>
  <c r="M63" i="14" s="1"/>
  <c r="M64" i="14" s="1"/>
  <c r="M65" i="14" s="1"/>
  <c r="M66" i="14" s="1"/>
  <c r="M67" i="14" s="1"/>
  <c r="M68" i="14" s="1"/>
  <c r="M69" i="14" s="1"/>
  <c r="M70" i="14" s="1"/>
  <c r="M71" i="14" s="1"/>
  <c r="M72" i="14" s="1"/>
  <c r="M73" i="14" s="1"/>
  <c r="M74" i="14" s="1"/>
  <c r="M75" i="14" s="1"/>
  <c r="M76" i="14" s="1"/>
  <c r="M77" i="14" s="1"/>
  <c r="M78" i="14" s="1"/>
  <c r="M79" i="14" s="1"/>
  <c r="M80" i="14" s="1"/>
  <c r="M81" i="14" s="1"/>
  <c r="M82" i="14" s="1"/>
  <c r="M83" i="14" s="1"/>
  <c r="M84" i="14" s="1"/>
  <c r="M85" i="14" s="1"/>
  <c r="M86" i="14" s="1"/>
  <c r="M87" i="14" s="1"/>
  <c r="M88" i="14" s="1"/>
  <c r="M89" i="14" s="1"/>
  <c r="M90" i="14" s="1"/>
  <c r="M91" i="14" s="1"/>
  <c r="M92" i="14" s="1"/>
  <c r="M93" i="14" s="1"/>
  <c r="M94" i="14" s="1"/>
  <c r="M95" i="14" s="1"/>
  <c r="M96" i="14" s="1"/>
  <c r="M97" i="14" s="1"/>
  <c r="M98" i="14" s="1"/>
  <c r="M99" i="14" s="1"/>
  <c r="M100" i="14" s="1"/>
  <c r="M101" i="14" s="1"/>
  <c r="M102" i="14" s="1"/>
  <c r="M103" i="14" s="1"/>
  <c r="M104" i="14" s="1"/>
  <c r="M105" i="14" s="1"/>
  <c r="M106" i="14" s="1"/>
  <c r="M107" i="14" s="1"/>
  <c r="M108" i="14" s="1"/>
  <c r="M109" i="14" s="1"/>
  <c r="M110" i="14" s="1"/>
  <c r="M111" i="14" s="1"/>
  <c r="M112" i="14" s="1"/>
  <c r="M113" i="14" s="1"/>
  <c r="M114" i="14" s="1"/>
  <c r="M115" i="14" s="1"/>
  <c r="M116" i="14" s="1"/>
  <c r="M117" i="14" s="1"/>
  <c r="M118" i="14" s="1"/>
  <c r="M119" i="14" s="1"/>
  <c r="M120" i="14" s="1"/>
  <c r="M121" i="14" s="1"/>
  <c r="M122" i="14" s="1"/>
  <c r="M123" i="14" s="1"/>
  <c r="M124" i="14" s="1"/>
  <c r="M125" i="14" s="1"/>
  <c r="M126" i="14" s="1"/>
  <c r="M127" i="14" s="1"/>
  <c r="M128" i="14" s="1"/>
  <c r="M129" i="14" s="1"/>
  <c r="M130" i="14" s="1"/>
  <c r="M131" i="14" s="1"/>
  <c r="M132" i="14" s="1"/>
  <c r="M133" i="14" s="1"/>
  <c r="M134" i="14" s="1"/>
  <c r="M135" i="14" s="1"/>
  <c r="M136" i="14" s="1"/>
  <c r="M137" i="14" s="1"/>
  <c r="M138" i="14" s="1"/>
  <c r="M139" i="14" s="1"/>
  <c r="M140" i="14" s="1"/>
  <c r="M141" i="14" s="1"/>
  <c r="M142" i="14" s="1"/>
  <c r="M143" i="14" s="1"/>
  <c r="M144" i="14" s="1"/>
  <c r="M145" i="14" s="1"/>
  <c r="M146" i="14" s="1"/>
  <c r="M147" i="14" s="1"/>
  <c r="M148" i="14" s="1"/>
  <c r="M149" i="14" s="1"/>
  <c r="M150" i="14" s="1"/>
  <c r="M151" i="14" s="1"/>
  <c r="M152" i="14" s="1"/>
  <c r="M153" i="14" s="1"/>
  <c r="M154" i="14" s="1"/>
  <c r="M155" i="14" s="1"/>
  <c r="M156" i="14" s="1"/>
  <c r="M157" i="14" s="1"/>
  <c r="M158" i="14" s="1"/>
  <c r="M159" i="14" s="1"/>
  <c r="M160" i="14" s="1"/>
  <c r="M161" i="14" s="1"/>
  <c r="M162" i="14" s="1"/>
  <c r="M163" i="14" s="1"/>
  <c r="M164" i="14" s="1"/>
  <c r="M165" i="14" s="1"/>
  <c r="M166" i="14" s="1"/>
  <c r="M167" i="14" s="1"/>
  <c r="M168" i="14" s="1"/>
  <c r="M169" i="14" s="1"/>
  <c r="M170" i="14" s="1"/>
  <c r="M171" i="14" s="1"/>
  <c r="M172" i="14" s="1"/>
  <c r="M173" i="14" s="1"/>
  <c r="M174" i="14" s="1"/>
  <c r="M175" i="14" s="1"/>
  <c r="M176" i="14" s="1"/>
  <c r="M177" i="14" s="1"/>
  <c r="M178" i="14" s="1"/>
  <c r="M179" i="14" s="1"/>
  <c r="M180" i="14" s="1"/>
  <c r="M181" i="14" s="1"/>
  <c r="M182" i="14" s="1"/>
  <c r="M183" i="14" s="1"/>
  <c r="M184" i="14" s="1"/>
  <c r="M185" i="14" s="1"/>
  <c r="M186" i="14" s="1"/>
  <c r="M187" i="14" s="1"/>
  <c r="M188" i="14" s="1"/>
  <c r="M189" i="14" s="1"/>
  <c r="M190" i="14" s="1"/>
  <c r="M191" i="14" s="1"/>
  <c r="M192" i="14" s="1"/>
  <c r="M193" i="14" s="1"/>
  <c r="M194" i="14" s="1"/>
  <c r="M195" i="14" s="1"/>
  <c r="M196" i="14" s="1"/>
  <c r="M197" i="14" s="1"/>
  <c r="AD17" i="12"/>
  <c r="AD56" i="12"/>
  <c r="AD18" i="12"/>
  <c r="AD47" i="12"/>
  <c r="AD57" i="12"/>
  <c r="AD31" i="12"/>
  <c r="AD58" i="12"/>
  <c r="AD32" i="12"/>
  <c r="AD6" i="12"/>
  <c r="AD7" i="12"/>
  <c r="AD42" i="12"/>
  <c r="AD22" i="12"/>
  <c r="AD33" i="12"/>
  <c r="AD4" i="12"/>
  <c r="AD8" i="12"/>
  <c r="AD46" i="12"/>
  <c r="AD23" i="12"/>
  <c r="AD48" i="12"/>
  <c r="AD62" i="12"/>
  <c r="AD49" i="12"/>
  <c r="AD39" i="12"/>
  <c r="AD15" i="12"/>
  <c r="AD40" i="12"/>
  <c r="AD54" i="12"/>
  <c r="AD9" i="12"/>
  <c r="AD34" i="12"/>
  <c r="AD10" i="12"/>
  <c r="AD24" i="12"/>
  <c r="AD38" i="12"/>
  <c r="AD63" i="12"/>
  <c r="AD14" i="12"/>
  <c r="AD25" i="12"/>
  <c r="AD50" i="12"/>
  <c r="AD64" i="12"/>
  <c r="AD26" i="12"/>
  <c r="AD16" i="12"/>
  <c r="AD30" i="12"/>
  <c r="AD41" i="12"/>
  <c r="AD55" i="12"/>
  <c r="AD11" i="12"/>
  <c r="AD19" i="12"/>
  <c r="AD27" i="12"/>
  <c r="AD35" i="12"/>
  <c r="AD43" i="12"/>
  <c r="AD51" i="12"/>
  <c r="AD59" i="12"/>
  <c r="AD12" i="12"/>
  <c r="AD20" i="12"/>
  <c r="AD28" i="12"/>
  <c r="AD36" i="12"/>
  <c r="AD44" i="12"/>
  <c r="AD52" i="12"/>
  <c r="AD60" i="12"/>
  <c r="AD5" i="12"/>
  <c r="AD13" i="12"/>
  <c r="AD21" i="12"/>
  <c r="AD29" i="12"/>
  <c r="AD37" i="12"/>
  <c r="AD45" i="12"/>
  <c r="AD53" i="12"/>
  <c r="AD61" i="12"/>
  <c r="V59" i="12"/>
  <c r="W50" i="12"/>
  <c r="W63" i="12"/>
  <c r="V39" i="12"/>
  <c r="V36" i="12"/>
  <c r="J1" i="12" a="1"/>
  <c r="V37" i="12"/>
  <c r="W64" i="12"/>
  <c r="V14" i="12"/>
  <c r="Z30" i="12"/>
  <c r="W40" i="12"/>
  <c r="V12" i="12"/>
  <c r="W18" i="12"/>
  <c r="AA28" i="12"/>
  <c r="W11" i="12"/>
  <c r="W48" i="12"/>
  <c r="W57" i="12"/>
  <c r="W42" i="12"/>
  <c r="W46" i="12"/>
  <c r="V34" i="12"/>
  <c r="AA29" i="12"/>
  <c r="V7" i="12"/>
  <c r="W13" i="12"/>
  <c r="V45" i="12"/>
  <c r="W38" i="12"/>
  <c r="Z28" i="12"/>
  <c r="V17" i="12"/>
  <c r="V53" i="12"/>
  <c r="W39" i="12"/>
  <c r="V52" i="12"/>
  <c r="R2" i="12"/>
  <c r="W33" i="12"/>
  <c r="AA32" i="12"/>
  <c r="V19" i="12"/>
  <c r="W53" i="12"/>
  <c r="V33" i="12"/>
  <c r="V51" i="12"/>
  <c r="V55" i="12"/>
  <c r="V6" i="12"/>
  <c r="V16" i="12"/>
  <c r="V63" i="12"/>
  <c r="V42" i="12"/>
  <c r="W37" i="12"/>
  <c r="V64" i="12"/>
  <c r="V10" i="12"/>
  <c r="V8" i="12"/>
  <c r="V47" i="12"/>
  <c r="W61" i="12"/>
  <c r="V41" i="12"/>
  <c r="V35" i="12"/>
  <c r="W55" i="12"/>
  <c r="AA30" i="12"/>
  <c r="V38" i="12"/>
  <c r="W3" i="12"/>
  <c r="W6" i="12"/>
  <c r="AA31" i="12"/>
  <c r="W56" i="12"/>
  <c r="V56" i="12"/>
  <c r="W52" i="12"/>
  <c r="V5" i="12"/>
  <c r="W4" i="12"/>
  <c r="V50" i="12"/>
  <c r="V15" i="12"/>
  <c r="Z31" i="12"/>
  <c r="W8" i="12"/>
  <c r="W60" i="12"/>
  <c r="W35" i="12"/>
  <c r="W15" i="12"/>
  <c r="V54" i="12"/>
  <c r="W14" i="12"/>
  <c r="W10" i="12"/>
  <c r="V11" i="12"/>
  <c r="V57" i="12"/>
  <c r="V62" i="12"/>
  <c r="W58" i="12"/>
  <c r="W49" i="12"/>
  <c r="W5" i="12"/>
  <c r="V44" i="12"/>
  <c r="V4" i="12"/>
  <c r="V9" i="12"/>
  <c r="Z32" i="12"/>
  <c r="W9" i="12"/>
  <c r="W17" i="12"/>
  <c r="W7" i="12"/>
  <c r="W51" i="12"/>
  <c r="V60" i="12"/>
  <c r="W45" i="12"/>
  <c r="W19" i="12"/>
  <c r="W16" i="12"/>
  <c r="V61" i="12"/>
  <c r="V18" i="12"/>
  <c r="V3" i="12"/>
  <c r="W59" i="12"/>
  <c r="W47" i="12"/>
  <c r="V58" i="12"/>
  <c r="W41" i="12"/>
  <c r="V46" i="12"/>
  <c r="V49" i="12"/>
  <c r="V13" i="12"/>
  <c r="V40" i="12"/>
  <c r="W44" i="12"/>
  <c r="V48" i="12"/>
  <c r="W62" i="12"/>
  <c r="W34" i="12"/>
  <c r="W54" i="12"/>
  <c r="W36" i="12"/>
  <c r="W12" i="12"/>
  <c r="Z29" i="12"/>
  <c r="R61" i="12" l="1"/>
  <c r="R5" i="12"/>
  <c r="R49" i="12"/>
  <c r="R50" i="12"/>
  <c r="R18" i="12"/>
  <c r="R53" i="12"/>
  <c r="R33" i="12"/>
  <c r="R56" i="12"/>
  <c r="R8" i="12"/>
  <c r="R63" i="12"/>
  <c r="R35" i="12"/>
  <c r="R17" i="12"/>
  <c r="R38" i="12"/>
  <c r="R64" i="12"/>
  <c r="R51" i="12"/>
  <c r="R7" i="12"/>
  <c r="R6" i="12"/>
  <c r="R16" i="12"/>
  <c r="R15" i="12"/>
  <c r="R36" i="12"/>
  <c r="R60" i="12"/>
  <c r="P2" i="12"/>
  <c r="R9" i="12"/>
  <c r="R47" i="12"/>
  <c r="R57" i="12"/>
  <c r="R46" i="12"/>
  <c r="R12" i="12"/>
  <c r="R14" i="12"/>
  <c r="R44" i="12"/>
  <c r="R42" i="12"/>
  <c r="R55" i="12"/>
  <c r="R19" i="12"/>
  <c r="R10" i="12"/>
  <c r="R4" i="12"/>
  <c r="R13" i="12"/>
  <c r="R45" i="12"/>
  <c r="R3" i="12"/>
  <c r="R59" i="12"/>
  <c r="R48" i="12"/>
  <c r="R11" i="12"/>
  <c r="R54" i="12"/>
  <c r="R34" i="12"/>
  <c r="R37" i="12"/>
  <c r="R58" i="12"/>
  <c r="R39" i="12"/>
  <c r="R52" i="12"/>
  <c r="J1" i="12"/>
  <c r="R41" i="12"/>
  <c r="R40" i="12"/>
  <c r="R62" i="12"/>
  <c r="B45" i="22"/>
  <c r="B56" i="21"/>
  <c r="B59" i="23"/>
  <c r="B55" i="1"/>
  <c r="B53" i="1"/>
  <c r="B43" i="23"/>
  <c r="Z51" i="1"/>
  <c r="B78" i="21"/>
  <c r="B66" i="22"/>
  <c r="B79" i="21"/>
  <c r="B46" i="22"/>
  <c r="B44" i="23"/>
  <c r="B72" i="1"/>
  <c r="B68" i="21"/>
  <c r="B72" i="23"/>
  <c r="B56" i="23"/>
  <c r="B65" i="1"/>
  <c r="B70" i="1"/>
  <c r="B65" i="23"/>
  <c r="B56" i="22"/>
  <c r="S78" i="23"/>
  <c r="Z70" i="1"/>
  <c r="U48" i="23"/>
  <c r="P68" i="1"/>
  <c r="AA46" i="21" a="1"/>
  <c r="AH72" i="23"/>
  <c r="AH52" i="1"/>
  <c r="P67" i="23"/>
  <c r="AH60" i="1"/>
  <c r="AA54" i="23" a="1"/>
  <c r="P46" i="22"/>
  <c r="S37" i="22"/>
  <c r="AH72" i="22"/>
  <c r="AA55" i="21" a="1"/>
  <c r="P55" i="22"/>
  <c r="P61" i="22"/>
  <c r="S48" i="22"/>
  <c r="AA72" i="23" a="1"/>
  <c r="S70" i="21"/>
  <c r="S61" i="23"/>
  <c r="U68" i="23"/>
  <c r="P62" i="23"/>
  <c r="AH56" i="1"/>
  <c r="S62" i="1"/>
  <c r="P55" i="21"/>
  <c r="Z41" i="22"/>
  <c r="AA75" i="23" a="1"/>
  <c r="P77" i="23"/>
  <c r="AH57" i="21"/>
  <c r="S66" i="22"/>
  <c r="P79" i="1"/>
  <c r="AA67" i="22" a="1"/>
  <c r="P54" i="21"/>
  <c r="Z74" i="22"/>
  <c r="U74" i="1"/>
  <c r="AA64" i="23" a="1"/>
  <c r="U77" i="21"/>
  <c r="Z61" i="22"/>
  <c r="AH57" i="22"/>
  <c r="P49" i="22"/>
  <c r="Z79" i="23"/>
  <c r="U45" i="21"/>
  <c r="AH72" i="1"/>
  <c r="Z62" i="23"/>
  <c r="U38" i="22"/>
  <c r="AH59" i="23"/>
  <c r="Z76" i="21"/>
  <c r="U48" i="22"/>
  <c r="S72" i="23"/>
  <c r="Z69" i="1"/>
  <c r="AA65" i="23" a="1"/>
  <c r="AA60" i="1" a="1"/>
  <c r="S78" i="1"/>
  <c r="Z59" i="21"/>
  <c r="AA78" i="23" a="1"/>
  <c r="AA62" i="22" a="1"/>
  <c r="AH75" i="22"/>
  <c r="S41" i="22"/>
  <c r="S70" i="23"/>
  <c r="AA49" i="22" a="1"/>
  <c r="AH66" i="22"/>
  <c r="Z55" i="23"/>
  <c r="U78" i="1"/>
  <c r="Z76" i="22"/>
  <c r="P73" i="23"/>
  <c r="AH63" i="23"/>
  <c r="Z59" i="23"/>
  <c r="Z55" i="22"/>
  <c r="AA63" i="22" a="1"/>
  <c r="S48" i="1"/>
  <c r="AH51" i="21"/>
  <c r="U65" i="22"/>
  <c r="AA33" i="22" a="1"/>
  <c r="P55" i="1"/>
  <c r="P47" i="21"/>
  <c r="S56" i="1"/>
  <c r="AA43" i="21" a="1"/>
  <c r="AH56" i="21"/>
  <c r="U67" i="21"/>
  <c r="Z69" i="22"/>
  <c r="S80" i="21"/>
  <c r="Z53" i="1"/>
  <c r="Z52" i="23"/>
  <c r="S43" i="23"/>
  <c r="P72" i="21"/>
  <c r="AH29" i="22"/>
  <c r="AA49" i="1" a="1"/>
  <c r="S70" i="22"/>
  <c r="AA66" i="21" a="1"/>
  <c r="U70" i="21"/>
  <c r="S53" i="23"/>
  <c r="U28" i="22"/>
  <c r="AA75" i="21" a="1"/>
  <c r="P52" i="23"/>
  <c r="Z42" i="23"/>
  <c r="P62" i="21"/>
  <c r="P70" i="22"/>
  <c r="U44" i="21"/>
  <c r="S48" i="23"/>
  <c r="S44" i="22"/>
  <c r="AA56" i="21" a="1"/>
  <c r="S58" i="22"/>
  <c r="Z77" i="1"/>
  <c r="AA64" i="1" a="1"/>
  <c r="AH42" i="23"/>
  <c r="P75" i="1"/>
  <c r="AA70" i="22" a="1"/>
  <c r="B52" i="1"/>
  <c r="B50" i="21"/>
  <c r="B71" i="23"/>
  <c r="B62" i="23"/>
  <c r="B66" i="1"/>
  <c r="B66" i="21"/>
  <c r="B69" i="1"/>
  <c r="B28" i="22"/>
  <c r="B54" i="21"/>
  <c r="B77" i="23"/>
  <c r="B74" i="22"/>
  <c r="B55" i="21"/>
  <c r="B32" i="22"/>
  <c r="B51" i="21"/>
  <c r="B60" i="1"/>
  <c r="B80" i="21"/>
  <c r="B75" i="1"/>
  <c r="B47" i="1"/>
  <c r="B47" i="22"/>
  <c r="B49" i="1"/>
  <c r="Z38" i="22"/>
  <c r="U64" i="23"/>
  <c r="AH60" i="23"/>
  <c r="P64" i="21"/>
  <c r="AH76" i="23"/>
  <c r="S45" i="22"/>
  <c r="AH77" i="1"/>
  <c r="P45" i="21"/>
  <c r="U43" i="21"/>
  <c r="AH78" i="1"/>
  <c r="Z32" i="22"/>
  <c r="AA73" i="23" a="1"/>
  <c r="Z62" i="1"/>
  <c r="P59" i="23"/>
  <c r="U71" i="21"/>
  <c r="Z63" i="22"/>
  <c r="Z48" i="1"/>
  <c r="U45" i="22"/>
  <c r="U69" i="1"/>
  <c r="S55" i="23"/>
  <c r="Z72" i="1"/>
  <c r="AH39" i="22"/>
  <c r="AH53" i="22"/>
  <c r="AA44" i="23" a="1"/>
  <c r="U65" i="21"/>
  <c r="P74" i="21"/>
  <c r="AH79" i="21"/>
  <c r="AH68" i="22"/>
  <c r="Z51" i="21"/>
  <c r="AA40" i="22" a="1"/>
  <c r="AH61" i="23"/>
  <c r="Z73" i="22"/>
  <c r="U42" i="22"/>
  <c r="U73" i="23"/>
  <c r="S63" i="23"/>
  <c r="AA71" i="22" a="1"/>
  <c r="AH71" i="23"/>
  <c r="P63" i="22"/>
  <c r="U48" i="1"/>
  <c r="AH78" i="22"/>
  <c r="AA70" i="21" a="1"/>
  <c r="S79" i="1"/>
  <c r="S55" i="1"/>
  <c r="Z47" i="21"/>
  <c r="Z66" i="21"/>
  <c r="AA65" i="21" a="1"/>
  <c r="B72" i="22"/>
  <c r="B40" i="22"/>
  <c r="B74" i="23"/>
  <c r="B76" i="21"/>
  <c r="B76" i="22"/>
  <c r="B38" i="22"/>
  <c r="B50" i="22"/>
  <c r="B45" i="21"/>
  <c r="B44" i="22"/>
  <c r="B50" i="1"/>
  <c r="B49" i="22"/>
  <c r="B73" i="21"/>
  <c r="B77" i="21"/>
  <c r="B37" i="22"/>
  <c r="B45" i="23"/>
  <c r="B56" i="1"/>
  <c r="B57" i="21"/>
  <c r="B75" i="22"/>
  <c r="B71" i="21"/>
  <c r="B51" i="22"/>
  <c r="B29" i="22"/>
  <c r="P63" i="23"/>
  <c r="U61" i="21"/>
  <c r="Z77" i="21"/>
  <c r="S61" i="22"/>
  <c r="B41" i="23"/>
  <c r="U49" i="22"/>
  <c r="P30" i="22"/>
  <c r="U65" i="23"/>
  <c r="S68" i="23"/>
  <c r="U59" i="22"/>
  <c r="P59" i="21"/>
  <c r="P53" i="22"/>
  <c r="S35" i="22"/>
  <c r="Z47" i="1"/>
  <c r="AA41" i="22" a="1"/>
  <c r="S75" i="23"/>
  <c r="AH77" i="23"/>
  <c r="AH49" i="22"/>
  <c r="Z40" i="22"/>
  <c r="U69" i="21"/>
  <c r="P67" i="22"/>
  <c r="P63" i="1"/>
  <c r="AA50" i="23" a="1"/>
  <c r="P35" i="22"/>
  <c r="S48" i="21"/>
  <c r="S64" i="21"/>
  <c r="S54" i="22"/>
  <c r="U59" i="1"/>
  <c r="P51" i="1"/>
  <c r="P80" i="23"/>
  <c r="U33" i="22"/>
  <c r="AA51" i="22" a="1"/>
  <c r="AA46" i="22" a="1"/>
  <c r="Z53" i="22"/>
  <c r="U72" i="22"/>
  <c r="S55" i="21"/>
  <c r="AH71" i="21"/>
  <c r="P61" i="1"/>
  <c r="S77" i="23"/>
  <c r="S57" i="21"/>
  <c r="P65" i="22"/>
  <c r="U61" i="23"/>
  <c r="U67" i="22"/>
  <c r="AA76" i="22" a="1"/>
  <c r="Z74" i="1"/>
  <c r="AH48" i="21"/>
  <c r="B61" i="21"/>
  <c r="B61" i="23"/>
  <c r="B66" i="23"/>
  <c r="B70" i="23"/>
  <c r="B73" i="23"/>
  <c r="B46" i="21"/>
  <c r="B48" i="21"/>
  <c r="B31" i="22"/>
  <c r="B58" i="1"/>
  <c r="B62" i="21"/>
  <c r="B77" i="1"/>
  <c r="B67" i="21"/>
  <c r="B64" i="21"/>
  <c r="B60" i="22"/>
  <c r="B59" i="21"/>
  <c r="B76" i="1"/>
  <c r="B65" i="21"/>
  <c r="B51" i="23"/>
  <c r="B63" i="22"/>
  <c r="B47" i="21"/>
  <c r="B64" i="23"/>
  <c r="P72" i="22"/>
  <c r="S71" i="22"/>
  <c r="P71" i="23"/>
  <c r="U63" i="22"/>
  <c r="AA68" i="22" a="1"/>
  <c r="P78" i="22"/>
  <c r="S79" i="23"/>
  <c r="U55" i="23"/>
  <c r="U72" i="1"/>
  <c r="S62" i="23"/>
  <c r="S46" i="23"/>
  <c r="AH53" i="21"/>
  <c r="AA50" i="22" a="1"/>
  <c r="AA75" i="22" a="1"/>
  <c r="AA74" i="21" a="1"/>
  <c r="S79" i="21"/>
  <c r="P68" i="22"/>
  <c r="Z78" i="22"/>
  <c r="AA80" i="23" a="1"/>
  <c r="S45" i="23"/>
  <c r="AA73" i="22" a="1"/>
  <c r="AH54" i="21"/>
  <c r="Z53" i="21"/>
  <c r="U50" i="22"/>
  <c r="P47" i="1"/>
  <c r="S76" i="21"/>
  <c r="B48" i="23"/>
  <c r="B43" i="21"/>
  <c r="B47" i="23"/>
  <c r="B59" i="1"/>
  <c r="B53" i="23"/>
  <c r="B70" i="21"/>
  <c r="B55" i="22"/>
  <c r="B73" i="22"/>
  <c r="B54" i="1"/>
  <c r="B62" i="1"/>
  <c r="B80" i="23"/>
  <c r="B69" i="22"/>
  <c r="B68" i="22"/>
  <c r="B80" i="1"/>
  <c r="B80" i="22"/>
  <c r="B53" i="21"/>
  <c r="B52" i="21"/>
  <c r="B77" i="22"/>
  <c r="B48" i="22"/>
  <c r="B57" i="1"/>
  <c r="B57" i="22"/>
  <c r="P62" i="1"/>
  <c r="U59" i="23"/>
  <c r="AA52" i="21" a="1"/>
  <c r="S61" i="1"/>
  <c r="S59" i="1"/>
  <c r="Z57" i="21"/>
  <c r="P70" i="21"/>
  <c r="Z33" i="22"/>
  <c r="AA55" i="1" a="1"/>
  <c r="P39" i="22"/>
  <c r="AA57" i="1" a="1"/>
  <c r="AH78" i="23"/>
  <c r="AA70" i="1" a="1"/>
  <c r="Z48" i="23"/>
  <c r="AH68" i="1"/>
  <c r="AH54" i="22"/>
  <c r="Z59" i="1"/>
  <c r="P57" i="21"/>
  <c r="Z46" i="1"/>
  <c r="AA31" i="22" a="1"/>
  <c r="P51" i="22"/>
  <c r="S42" i="22"/>
  <c r="U78" i="23"/>
  <c r="U70" i="1"/>
  <c r="P60" i="23"/>
  <c r="P68" i="21"/>
  <c r="P76" i="23"/>
  <c r="AH43" i="22"/>
  <c r="AA52" i="1" a="1"/>
  <c r="AH46" i="1"/>
  <c r="S31" i="22"/>
  <c r="S59" i="22"/>
  <c r="B48" i="1"/>
  <c r="B67" i="1"/>
  <c r="B35" i="22"/>
  <c r="B69" i="21"/>
  <c r="B52" i="22"/>
  <c r="B42" i="23"/>
  <c r="B43" i="22"/>
  <c r="B50" i="23"/>
  <c r="B61" i="1"/>
  <c r="B68" i="1"/>
  <c r="B78" i="1"/>
  <c r="B70" i="22"/>
  <c r="B33" i="22"/>
  <c r="B62" i="22"/>
  <c r="B41" i="22"/>
  <c r="B59" i="22"/>
  <c r="B39" i="22"/>
  <c r="B74" i="1"/>
  <c r="B65" i="22"/>
  <c r="B72" i="21"/>
  <c r="B71" i="1"/>
  <c r="S50" i="22"/>
  <c r="AH47" i="1"/>
  <c r="P41" i="22"/>
  <c r="AH70" i="23"/>
  <c r="AH34" i="22"/>
  <c r="AH51" i="23"/>
  <c r="S58" i="21"/>
  <c r="U47" i="22"/>
  <c r="Z77" i="22"/>
  <c r="AA42" i="22" a="1"/>
  <c r="P74" i="22"/>
  <c r="Z63" i="23"/>
  <c r="AH71" i="22"/>
  <c r="P52" i="21"/>
  <c r="U68" i="21"/>
  <c r="S76" i="23"/>
  <c r="AA34" i="22" a="1"/>
  <c r="S77" i="1"/>
  <c r="Z79" i="1"/>
  <c r="S43" i="21"/>
  <c r="Z78" i="1"/>
  <c r="AH46" i="23"/>
  <c r="S72" i="22"/>
  <c r="Z71" i="22"/>
  <c r="AH52" i="21"/>
  <c r="Z61" i="1"/>
  <c r="P48" i="1"/>
  <c r="S78" i="22"/>
  <c r="AH65" i="22"/>
  <c r="S65" i="23"/>
  <c r="U55" i="1"/>
  <c r="U47" i="21"/>
  <c r="P67" i="1"/>
  <c r="U66" i="21"/>
  <c r="AH70" i="1"/>
  <c r="AA48" i="23" a="1"/>
  <c r="B42" i="22"/>
  <c r="B53" i="22"/>
  <c r="B60" i="23"/>
  <c r="B73" i="1"/>
  <c r="B44" i="21"/>
  <c r="U62" i="22"/>
  <c r="AA43" i="22" a="1"/>
  <c r="S51" i="22"/>
  <c r="AH61" i="21"/>
  <c r="P43" i="22"/>
  <c r="Z54" i="23"/>
  <c r="U71" i="23"/>
  <c r="AA45" i="22" a="1"/>
  <c r="S60" i="1"/>
  <c r="S57" i="1"/>
  <c r="Z50" i="22"/>
  <c r="U76" i="21"/>
  <c r="Z43" i="22"/>
  <c r="Z30" i="22"/>
  <c r="AA45" i="23" a="1"/>
  <c r="AA59" i="21" a="1"/>
  <c r="AA61" i="21" a="1"/>
  <c r="AH61" i="1"/>
  <c r="Z77" i="23"/>
  <c r="AA77" i="1" a="1"/>
  <c r="S46" i="1"/>
  <c r="U31" i="22"/>
  <c r="P54" i="23"/>
  <c r="AA46" i="23" a="1"/>
  <c r="P66" i="21"/>
  <c r="S61" i="21"/>
  <c r="Z71" i="23"/>
  <c r="AA61" i="1" a="1"/>
  <c r="S34" i="22"/>
  <c r="AA65" i="22" a="1"/>
  <c r="S33" i="22"/>
  <c r="U62" i="23"/>
  <c r="P57" i="1"/>
  <c r="P56" i="21"/>
  <c r="P62" i="22"/>
  <c r="AH77" i="21"/>
  <c r="AA61" i="22" a="1"/>
  <c r="AA77" i="23" a="1"/>
  <c r="S51" i="23"/>
  <c r="U58" i="21"/>
  <c r="Z60" i="1"/>
  <c r="AA62" i="23" a="1"/>
  <c r="U46" i="23"/>
  <c r="P40" i="22"/>
  <c r="AA73" i="21" a="1"/>
  <c r="P63" i="21"/>
  <c r="U44" i="22"/>
  <c r="AA71" i="1" a="1"/>
  <c r="AH58" i="23"/>
  <c r="AH70" i="22"/>
  <c r="AH63" i="21"/>
  <c r="AA72" i="1" a="1"/>
  <c r="AA57" i="23" a="1"/>
  <c r="AA74" i="23" a="1"/>
  <c r="AA68" i="21" a="1"/>
  <c r="AA79" i="22" a="1"/>
  <c r="Z63" i="21"/>
  <c r="P66" i="23"/>
  <c r="AA62" i="21" a="1"/>
  <c r="S52" i="22"/>
  <c r="AH79" i="22"/>
  <c r="Z50" i="21"/>
  <c r="S53" i="1"/>
  <c r="S56" i="21"/>
  <c r="P65" i="23"/>
  <c r="S74" i="1"/>
  <c r="S73" i="22"/>
  <c r="Z60" i="22"/>
  <c r="AH66" i="23"/>
  <c r="AA54" i="1" a="1"/>
  <c r="P46" i="23"/>
  <c r="S69" i="23"/>
  <c r="S73" i="21"/>
  <c r="P58" i="23"/>
  <c r="U41" i="22"/>
  <c r="U72" i="21"/>
  <c r="P53" i="21"/>
  <c r="U73" i="21"/>
  <c r="AA56" i="22" a="1"/>
  <c r="S63" i="22"/>
  <c r="AA47" i="23" a="1"/>
  <c r="Z55" i="1"/>
  <c r="Z73" i="21"/>
  <c r="AH76" i="21"/>
  <c r="AH69" i="22"/>
  <c r="U70" i="22"/>
  <c r="AH43" i="23"/>
  <c r="AH43" i="21"/>
  <c r="Z57" i="1"/>
  <c r="U56" i="23"/>
  <c r="Z80" i="22"/>
  <c r="S47" i="23"/>
  <c r="Z73" i="1"/>
  <c r="Z66" i="1"/>
  <c r="AH37" i="22"/>
  <c r="S64" i="1"/>
  <c r="U66" i="23"/>
  <c r="U75" i="23"/>
  <c r="AH80" i="22"/>
  <c r="S58" i="1"/>
  <c r="AA53" i="23" a="1"/>
  <c r="U71" i="1"/>
  <c r="U42" i="23"/>
  <c r="Z70" i="22"/>
  <c r="Z65" i="1"/>
  <c r="AH58" i="1"/>
  <c r="U46" i="22"/>
  <c r="U80" i="22"/>
  <c r="S75" i="21"/>
  <c r="Z44" i="21"/>
  <c r="P58" i="22"/>
  <c r="Z78" i="21"/>
  <c r="AA60" i="22" a="1"/>
  <c r="Z68" i="22"/>
  <c r="P70" i="1"/>
  <c r="P60" i="21"/>
  <c r="U66" i="1"/>
  <c r="S52" i="23"/>
  <c r="Z59" i="22"/>
  <c r="AA56" i="23" a="1"/>
  <c r="P36" i="22"/>
  <c r="P73" i="1"/>
  <c r="AH49" i="21"/>
  <c r="U49" i="23"/>
  <c r="AH73" i="21"/>
  <c r="P80" i="21"/>
  <c r="U35" i="22"/>
  <c r="AH73" i="23"/>
  <c r="AH80" i="1"/>
  <c r="AH65" i="1"/>
  <c r="AH62" i="22"/>
  <c r="U51" i="22"/>
  <c r="P69" i="21"/>
  <c r="AH72" i="21"/>
  <c r="P56" i="23"/>
  <c r="S66" i="1"/>
  <c r="AA50" i="1" a="1"/>
  <c r="Z49" i="22"/>
  <c r="S72" i="21"/>
  <c r="U63" i="21"/>
  <c r="P44" i="21"/>
  <c r="S62" i="21"/>
  <c r="U80" i="23"/>
  <c r="U69" i="23"/>
  <c r="U58" i="23"/>
  <c r="AA42" i="23" a="1"/>
  <c r="U36" i="22"/>
  <c r="AA68" i="1" a="1"/>
  <c r="U80" i="21"/>
  <c r="AA75" i="1" a="1"/>
  <c r="Z56" i="21"/>
  <c r="P44" i="22"/>
  <c r="P46" i="1"/>
  <c r="S73" i="1"/>
  <c r="AA54" i="22" a="1"/>
  <c r="Z62" i="21"/>
  <c r="AA64" i="22" a="1"/>
  <c r="AA55" i="23" a="1"/>
  <c r="Z57" i="22"/>
  <c r="Z51" i="22"/>
  <c r="U60" i="23"/>
  <c r="Z65" i="23"/>
  <c r="AH44" i="23"/>
  <c r="U78" i="22"/>
  <c r="U32" i="22"/>
  <c r="U80" i="1"/>
  <c r="U60" i="21"/>
  <c r="AH55" i="23"/>
  <c r="Z50" i="1"/>
  <c r="AH67" i="22"/>
  <c r="S60" i="21"/>
  <c r="AA78" i="1" a="1"/>
  <c r="AH47" i="22"/>
  <c r="AA43" i="23" a="1"/>
  <c r="Z58" i="22"/>
  <c r="B67" i="22"/>
  <c r="U44" i="23"/>
  <c r="S64" i="22"/>
  <c r="U45" i="23"/>
  <c r="AH59" i="1"/>
  <c r="Z64" i="23"/>
  <c r="P58" i="21"/>
  <c r="S70" i="1"/>
  <c r="P61" i="23"/>
  <c r="AH35" i="22"/>
  <c r="S40" i="22"/>
  <c r="Z52" i="1"/>
  <c r="S49" i="1"/>
  <c r="AH78" i="21"/>
  <c r="AH74" i="22"/>
  <c r="U53" i="23"/>
  <c r="S49" i="23"/>
  <c r="U53" i="1"/>
  <c r="P64" i="23"/>
  <c r="S63" i="21"/>
  <c r="Z78" i="23"/>
  <c r="B58" i="23"/>
  <c r="B61" i="22"/>
  <c r="B55" i="23"/>
  <c r="B49" i="21"/>
  <c r="B34" i="22"/>
  <c r="S65" i="21"/>
  <c r="P51" i="21"/>
  <c r="AA63" i="1" a="1"/>
  <c r="Z60" i="23"/>
  <c r="AA51" i="21" a="1"/>
  <c r="Z46" i="22"/>
  <c r="U61" i="22"/>
  <c r="Z51" i="23"/>
  <c r="AH68" i="23"/>
  <c r="P79" i="22"/>
  <c r="AA59" i="23" a="1"/>
  <c r="S68" i="21"/>
  <c r="U34" i="22"/>
  <c r="Z66" i="22"/>
  <c r="Z31" i="22"/>
  <c r="AH57" i="1"/>
  <c r="U55" i="21"/>
  <c r="Z75" i="23"/>
  <c r="U68" i="22"/>
  <c r="U30" i="22"/>
  <c r="Z67" i="23"/>
  <c r="AA47" i="22" a="1"/>
  <c r="AH59" i="22"/>
  <c r="U57" i="1"/>
  <c r="AA63" i="23" a="1"/>
  <c r="P71" i="22"/>
  <c r="U52" i="21"/>
  <c r="AA79" i="21" a="1"/>
  <c r="AH45" i="22"/>
  <c r="U40" i="22"/>
  <c r="S69" i="21"/>
  <c r="Z39" i="22"/>
  <c r="AA56" i="1" a="1"/>
  <c r="P38" i="22"/>
  <c r="AH50" i="22"/>
  <c r="AA71" i="23" a="1"/>
  <c r="U61" i="1"/>
  <c r="AA59" i="1" a="1"/>
  <c r="P52" i="1"/>
  <c r="AA45" i="21" a="1"/>
  <c r="AA39" i="22" a="1"/>
  <c r="AH62" i="23"/>
  <c r="Z56" i="22"/>
  <c r="U74" i="23"/>
  <c r="P73" i="21"/>
  <c r="U64" i="1"/>
  <c r="P44" i="23"/>
  <c r="S65" i="1"/>
  <c r="P74" i="23"/>
  <c r="U79" i="22"/>
  <c r="AA48" i="22" a="1"/>
  <c r="AH52" i="22"/>
  <c r="Z48" i="21"/>
  <c r="P69" i="22"/>
  <c r="Z67" i="21"/>
  <c r="AA72" i="21" a="1"/>
  <c r="AH74" i="23"/>
  <c r="Z60" i="21"/>
  <c r="S67" i="21"/>
  <c r="AA76" i="1" a="1"/>
  <c r="U73" i="1"/>
  <c r="S80" i="22"/>
  <c r="S76" i="1"/>
  <c r="Z66" i="23"/>
  <c r="Z73" i="23"/>
  <c r="P60" i="1"/>
  <c r="AH75" i="1"/>
  <c r="Z45" i="22"/>
  <c r="P43" i="23"/>
  <c r="AH53" i="23"/>
  <c r="P77" i="21"/>
  <c r="AH66" i="1"/>
  <c r="P78" i="21"/>
  <c r="Z49" i="21"/>
  <c r="Z43" i="23"/>
  <c r="U75" i="22"/>
  <c r="U77" i="23"/>
  <c r="P77" i="22"/>
  <c r="S57" i="23"/>
  <c r="P76" i="22"/>
  <c r="AH67" i="21"/>
  <c r="AA66" i="23" a="1"/>
  <c r="AA58" i="21" a="1"/>
  <c r="U56" i="21"/>
  <c r="B78" i="23"/>
  <c r="B76" i="23"/>
  <c r="B68" i="23"/>
  <c r="B52" i="23"/>
  <c r="B51" i="1"/>
  <c r="U48" i="21"/>
  <c r="AH51" i="1"/>
  <c r="S47" i="21"/>
  <c r="S71" i="23"/>
  <c r="AA51" i="23" a="1"/>
  <c r="AH32" i="22"/>
  <c r="AH63" i="22"/>
  <c r="P77" i="1"/>
  <c r="S77" i="22"/>
  <c r="AH57" i="23"/>
  <c r="Z65" i="21"/>
  <c r="P75" i="23"/>
  <c r="P72" i="23"/>
  <c r="AH40" i="22"/>
  <c r="AA68" i="23" a="1"/>
  <c r="U56" i="1"/>
  <c r="S75" i="22"/>
  <c r="U54" i="22"/>
  <c r="Z64" i="22"/>
  <c r="P79" i="23"/>
  <c r="S45" i="21"/>
  <c r="P72" i="1"/>
  <c r="S39" i="22"/>
  <c r="Z56" i="1"/>
  <c r="AA72" i="22" a="1"/>
  <c r="AH55" i="21"/>
  <c r="AA55" i="22" a="1"/>
  <c r="Z54" i="22"/>
  <c r="U57" i="21"/>
  <c r="Z80" i="23"/>
  <c r="AH31" i="22"/>
  <c r="AH63" i="1"/>
  <c r="AH67" i="1"/>
  <c r="AH66" i="21"/>
  <c r="U71" i="22"/>
  <c r="S71" i="21"/>
  <c r="AH75" i="23"/>
  <c r="U64" i="22"/>
  <c r="U77" i="1"/>
  <c r="AH79" i="1"/>
  <c r="P68" i="23"/>
  <c r="U63" i="1"/>
  <c r="S67" i="1"/>
  <c r="AH42" i="22"/>
  <c r="Z53" i="23"/>
  <c r="AA28" i="22" a="1"/>
  <c r="AH76" i="1"/>
  <c r="AH69" i="23"/>
  <c r="AA66" i="1" a="1"/>
  <c r="S29" i="22"/>
  <c r="U56" i="22"/>
  <c r="P53" i="23"/>
  <c r="AH28" i="22"/>
  <c r="AH49" i="1"/>
  <c r="U57" i="22"/>
  <c r="S56" i="23"/>
  <c r="P50" i="1"/>
  <c r="P49" i="1"/>
  <c r="P64" i="1"/>
  <c r="P60" i="22"/>
  <c r="AH65" i="21"/>
  <c r="S78" i="21"/>
  <c r="AA49" i="23" a="1"/>
  <c r="Z58" i="23"/>
  <c r="P67" i="21"/>
  <c r="AA48" i="1" a="1"/>
  <c r="AA54" i="21" a="1"/>
  <c r="AA58" i="23" a="1"/>
  <c r="U52" i="22"/>
  <c r="P57" i="23"/>
  <c r="AA69" i="22" a="1"/>
  <c r="AH50" i="23"/>
  <c r="P49" i="21"/>
  <c r="S50" i="1"/>
  <c r="S80" i="1"/>
  <c r="S75" i="1"/>
  <c r="Z50" i="23"/>
  <c r="Z54" i="1"/>
  <c r="U52" i="23"/>
  <c r="Z64" i="1"/>
  <c r="S79" i="22"/>
  <c r="AH62" i="21"/>
  <c r="U63" i="23"/>
  <c r="B54" i="23"/>
  <c r="S77" i="21"/>
  <c r="AA57" i="22" a="1"/>
  <c r="U58" i="22"/>
  <c r="AH47" i="21"/>
  <c r="P76" i="1"/>
  <c r="S53" i="22"/>
  <c r="U79" i="1"/>
  <c r="B79" i="23"/>
  <c r="B63" i="1"/>
  <c r="B75" i="21"/>
  <c r="B54" i="22"/>
  <c r="B79" i="22"/>
  <c r="S55" i="22"/>
  <c r="P69" i="1"/>
  <c r="P56" i="1"/>
  <c r="U64" i="21"/>
  <c r="AH45" i="21"/>
  <c r="S38" i="22"/>
  <c r="P70" i="23"/>
  <c r="AH79" i="23"/>
  <c r="U39" i="22"/>
  <c r="AA53" i="21" a="1"/>
  <c r="AA47" i="1" a="1"/>
  <c r="U79" i="21"/>
  <c r="P45" i="22"/>
  <c r="S80" i="23"/>
  <c r="AH73" i="22"/>
  <c r="U53" i="21"/>
  <c r="P48" i="23"/>
  <c r="AA70" i="23" a="1"/>
  <c r="S43" i="22"/>
  <c r="Z70" i="21"/>
  <c r="AA79" i="1" a="1"/>
  <c r="AH55" i="1"/>
  <c r="S63" i="1"/>
  <c r="U67" i="1"/>
  <c r="AA62" i="1" a="1"/>
  <c r="S59" i="23"/>
  <c r="Z71" i="21"/>
  <c r="Z48" i="22"/>
  <c r="P51" i="23"/>
  <c r="AH58" i="21"/>
  <c r="P47" i="22"/>
  <c r="AA47" i="21" a="1"/>
  <c r="AA74" i="22" a="1"/>
  <c r="AA74" i="1" a="1"/>
  <c r="P65" i="21"/>
  <c r="AH41" i="22"/>
  <c r="Z79" i="21"/>
  <c r="P34" i="22"/>
  <c r="S30" i="22"/>
  <c r="Z61" i="23"/>
  <c r="S72" i="1"/>
  <c r="Z54" i="21"/>
  <c r="S74" i="22"/>
  <c r="S76" i="22"/>
  <c r="AA65" i="1" a="1"/>
  <c r="Z72" i="21"/>
  <c r="S66" i="23"/>
  <c r="P49" i="23"/>
  <c r="P29" i="22"/>
  <c r="U59" i="21"/>
  <c r="AA80" i="21" a="1"/>
  <c r="P50" i="21"/>
  <c r="P80" i="1"/>
  <c r="P54" i="1"/>
  <c r="AA57" i="21" a="1"/>
  <c r="P65" i="1"/>
  <c r="S74" i="23"/>
  <c r="AH71" i="1"/>
  <c r="U50" i="21"/>
  <c r="U49" i="21"/>
  <c r="AA36" i="22" a="1"/>
  <c r="AH47" i="23"/>
  <c r="AH46" i="21"/>
  <c r="AH55" i="22"/>
  <c r="Z80" i="1"/>
  <c r="U47" i="1"/>
  <c r="P56" i="22"/>
  <c r="Z55" i="21"/>
  <c r="U75" i="21"/>
  <c r="U69" i="22"/>
  <c r="AH64" i="1"/>
  <c r="AH60" i="22"/>
  <c r="U29" i="22"/>
  <c r="U65" i="1"/>
  <c r="P71" i="1"/>
  <c r="Z58" i="1"/>
  <c r="AA30" i="22" a="1"/>
  <c r="AA80" i="1" a="1"/>
  <c r="B40" i="23"/>
  <c r="U76" i="1"/>
  <c r="S65" i="22"/>
  <c r="AA63" i="21" a="1"/>
  <c r="B30" i="22"/>
  <c r="P54" i="22"/>
  <c r="Z46" i="21"/>
  <c r="U76" i="22"/>
  <c r="U68" i="1"/>
  <c r="S62" i="22"/>
  <c r="AH80" i="23"/>
  <c r="S53" i="21"/>
  <c r="P59" i="1"/>
  <c r="AH54" i="23"/>
  <c r="Z75" i="22"/>
  <c r="U66" i="22"/>
  <c r="U50" i="23"/>
  <c r="P58" i="1"/>
  <c r="AH53" i="1"/>
  <c r="AH44" i="22"/>
  <c r="S32" i="22"/>
  <c r="Z75" i="1"/>
  <c r="Z29" i="22"/>
  <c r="AH73" i="1"/>
  <c r="Z56" i="23"/>
  <c r="S28" i="22"/>
  <c r="B60" i="21"/>
  <c r="AH64" i="23"/>
  <c r="Z72" i="23"/>
  <c r="Z62" i="22"/>
  <c r="AH33" i="22"/>
  <c r="AH48" i="1"/>
  <c r="AH76" i="22"/>
  <c r="U43" i="22"/>
  <c r="Z46" i="23"/>
  <c r="AA51" i="1" a="1"/>
  <c r="U60" i="22"/>
  <c r="AA58" i="22" a="1"/>
  <c r="AA73" i="1" a="1"/>
  <c r="AA52" i="23" a="1"/>
  <c r="AA37" i="22" a="1"/>
  <c r="S42" i="23"/>
  <c r="AA53" i="1" a="1"/>
  <c r="B46" i="1"/>
  <c r="B46" i="23"/>
  <c r="B69" i="23"/>
  <c r="B58" i="21"/>
  <c r="B64" i="1"/>
  <c r="AA71" i="21" a="1"/>
  <c r="AA66" i="22" a="1"/>
  <c r="Z67" i="1"/>
  <c r="AA76" i="21" a="1"/>
  <c r="AH65" i="23"/>
  <c r="P74" i="1"/>
  <c r="P48" i="22"/>
  <c r="Z58" i="21"/>
  <c r="Z63" i="1"/>
  <c r="AH38" i="22"/>
  <c r="P75" i="22"/>
  <c r="U46" i="21"/>
  <c r="U51" i="21"/>
  <c r="AA46" i="1" a="1"/>
  <c r="AH51" i="22"/>
  <c r="P78" i="23"/>
  <c r="Z52" i="21"/>
  <c r="P46" i="21"/>
  <c r="Z34" i="22"/>
  <c r="Z65" i="22"/>
  <c r="AA61" i="23" a="1"/>
  <c r="Z67" i="22"/>
  <c r="U54" i="21"/>
  <c r="U74" i="22"/>
  <c r="S44" i="23"/>
  <c r="P48" i="21"/>
  <c r="Z74" i="21"/>
  <c r="P57" i="22"/>
  <c r="U52" i="1"/>
  <c r="U46" i="1"/>
  <c r="Z43" i="21"/>
  <c r="S54" i="21"/>
  <c r="U37" i="22"/>
  <c r="Z72" i="22"/>
  <c r="AA48" i="21" a="1"/>
  <c r="S74" i="21"/>
  <c r="U70" i="23"/>
  <c r="U72" i="23"/>
  <c r="AH70" i="21"/>
  <c r="P55" i="23"/>
  <c r="P73" i="22"/>
  <c r="P42" i="22"/>
  <c r="Z37" i="22"/>
  <c r="AA67" i="1" a="1"/>
  <c r="U78" i="21"/>
  <c r="U50" i="1"/>
  <c r="P75" i="21"/>
  <c r="AH56" i="23"/>
  <c r="AH80" i="21"/>
  <c r="P66" i="1"/>
  <c r="S69" i="22"/>
  <c r="AH75" i="21"/>
  <c r="U74" i="21"/>
  <c r="Z44" i="22"/>
  <c r="Z69" i="23"/>
  <c r="Z49" i="1"/>
  <c r="AA44" i="22" a="1"/>
  <c r="U75" i="1"/>
  <c r="Z71" i="1"/>
  <c r="AA29" i="22" a="1"/>
  <c r="B36" i="22"/>
  <c r="B63" i="23"/>
  <c r="B67" i="23"/>
  <c r="P45" i="23"/>
  <c r="U60" i="1"/>
  <c r="Z45" i="21"/>
  <c r="AH48" i="22"/>
  <c r="S54" i="23"/>
  <c r="S51" i="21"/>
  <c r="P32" i="22"/>
  <c r="AA64" i="21" a="1"/>
  <c r="AH59" i="21"/>
  <c r="P76" i="21"/>
  <c r="Z45" i="23"/>
  <c r="P50" i="23"/>
  <c r="AH58" i="22"/>
  <c r="Z80" i="21"/>
  <c r="AH44" i="21"/>
  <c r="AH36" i="22"/>
  <c r="P64" i="22"/>
  <c r="AH49" i="23"/>
  <c r="U49" i="1"/>
  <c r="S71" i="1"/>
  <c r="U57" i="23"/>
  <c r="Z49" i="23"/>
  <c r="B71" i="22"/>
  <c r="S67" i="22"/>
  <c r="AA77" i="21" a="1"/>
  <c r="AH64" i="21"/>
  <c r="P78" i="1"/>
  <c r="S51" i="1"/>
  <c r="AA38" i="22" a="1"/>
  <c r="AA69" i="1" a="1"/>
  <c r="AH68" i="21"/>
  <c r="AA59" i="22" a="1"/>
  <c r="S36" i="22"/>
  <c r="S58" i="23"/>
  <c r="AA67" i="21" a="1"/>
  <c r="AA52" i="22" a="1"/>
  <c r="AH50" i="21"/>
  <c r="P53" i="1"/>
  <c r="AA69" i="23" a="1"/>
  <c r="U79" i="23"/>
  <c r="B74" i="21"/>
  <c r="B63" i="21"/>
  <c r="B58" i="22"/>
  <c r="B78" i="22"/>
  <c r="B64" i="22"/>
  <c r="B79" i="1"/>
  <c r="P79" i="21"/>
  <c r="AH69" i="21"/>
  <c r="S66" i="21"/>
  <c r="Z70" i="23"/>
  <c r="Z47" i="22"/>
  <c r="S64" i="23"/>
  <c r="S57" i="22"/>
  <c r="AH67" i="23"/>
  <c r="AA32" i="22" a="1"/>
  <c r="Z44" i="23"/>
  <c r="AH74" i="21"/>
  <c r="U76" i="23"/>
  <c r="U51" i="1"/>
  <c r="AA67" i="23" a="1"/>
  <c r="AA77" i="22" a="1"/>
  <c r="U62" i="1"/>
  <c r="U55" i="22"/>
  <c r="AA76" i="23" a="1"/>
  <c r="AA78" i="22" a="1"/>
  <c r="P66" i="22"/>
  <c r="P33" i="22"/>
  <c r="U73" i="22"/>
  <c r="AH46" i="22"/>
  <c r="P37" i="22"/>
  <c r="AA35" i="22" a="1"/>
  <c r="AH48" i="23"/>
  <c r="S68" i="1"/>
  <c r="S68" i="22"/>
  <c r="AH30" i="22"/>
  <c r="U67" i="23"/>
  <c r="Z68" i="23"/>
  <c r="Z42" i="22"/>
  <c r="AA53" i="22" a="1"/>
  <c r="AH62" i="1"/>
  <c r="S47" i="1"/>
  <c r="Z64" i="21"/>
  <c r="S46" i="21"/>
  <c r="S49" i="22"/>
  <c r="AH69" i="1"/>
  <c r="Z69" i="21"/>
  <c r="U77" i="22"/>
  <c r="S46" i="22"/>
  <c r="U53" i="22"/>
  <c r="S73" i="23"/>
  <c r="AH60" i="21"/>
  <c r="Z74" i="23"/>
  <c r="Z52" i="22"/>
  <c r="AH54" i="1"/>
  <c r="Z47" i="23"/>
  <c r="AA78" i="21" a="1"/>
  <c r="AA58" i="1" a="1"/>
  <c r="S56" i="22"/>
  <c r="S49" i="21"/>
  <c r="P61" i="21"/>
  <c r="S67" i="23"/>
  <c r="AA60" i="21" a="1"/>
  <c r="Z36" i="22"/>
  <c r="S54" i="1"/>
  <c r="P28" i="22"/>
  <c r="U43" i="23"/>
  <c r="U62" i="21"/>
  <c r="P80" i="22"/>
  <c r="P31" i="22"/>
  <c r="U58" i="1"/>
  <c r="P69" i="23"/>
  <c r="Z75" i="21"/>
  <c r="S44" i="21"/>
  <c r="U47" i="23"/>
  <c r="B75" i="23"/>
  <c r="B57" i="23"/>
  <c r="AH74" i="1"/>
  <c r="Z61" i="21"/>
  <c r="Z35" i="22"/>
  <c r="U51" i="23"/>
  <c r="Z68" i="1"/>
  <c r="AA69" i="21" a="1"/>
  <c r="P50" i="22"/>
  <c r="AA79" i="23" a="1"/>
  <c r="S50" i="23"/>
  <c r="Z76" i="23"/>
  <c r="U54" i="23"/>
  <c r="S50" i="21"/>
  <c r="AA49" i="21" a="1"/>
  <c r="AA50" i="21" a="1"/>
  <c r="S60" i="23"/>
  <c r="U54" i="1"/>
  <c r="AH56" i="22"/>
  <c r="P52" i="22"/>
  <c r="S60" i="22"/>
  <c r="Z28" i="22"/>
  <c r="AH52" i="23"/>
  <c r="B49" i="23"/>
  <c r="AH64" i="22"/>
  <c r="AH77" i="22"/>
  <c r="S59" i="21"/>
  <c r="S52" i="1"/>
  <c r="Z68" i="21"/>
  <c r="AH45" i="23"/>
  <c r="AH61" i="22"/>
  <c r="P59" i="22"/>
  <c r="AA60" i="23" a="1"/>
  <c r="S47" i="22"/>
  <c r="Z57" i="23"/>
  <c r="AA44" i="21" a="1"/>
  <c r="S52" i="21"/>
  <c r="Z76" i="1"/>
  <c r="Z79" i="22"/>
  <c r="S69" i="1"/>
  <c r="P47" i="23"/>
  <c r="AA80" i="22" a="1"/>
  <c r="P71" i="21"/>
  <c r="AH50" i="1"/>
  <c r="W20" i="12" a="1"/>
  <c r="AI34" i="21"/>
  <c r="AI20" i="22"/>
  <c r="AI61" i="22"/>
  <c r="AI35" i="21"/>
  <c r="AI34" i="23"/>
  <c r="AI51" i="22"/>
  <c r="AI14" i="22"/>
  <c r="AI15" i="23"/>
  <c r="AI23" i="22"/>
  <c r="AI33" i="21"/>
  <c r="AI64" i="22"/>
  <c r="AI41" i="23"/>
  <c r="AI30" i="23"/>
  <c r="B7" i="23"/>
  <c r="B36" i="1"/>
  <c r="AI12" i="22"/>
  <c r="AI18" i="21"/>
  <c r="B31" i="1"/>
  <c r="AI58" i="21"/>
  <c r="AI67" i="21"/>
  <c r="AI22" i="22"/>
  <c r="AI38" i="23"/>
  <c r="AI60" i="21"/>
  <c r="AI67" i="23"/>
  <c r="B37" i="21"/>
  <c r="B8" i="21"/>
  <c r="AI22" i="23"/>
  <c r="B31" i="21"/>
  <c r="AI38" i="22"/>
  <c r="AI67" i="22"/>
  <c r="AI24" i="22"/>
  <c r="B12" i="23"/>
  <c r="B43" i="1"/>
  <c r="B22" i="1"/>
  <c r="B30" i="1"/>
  <c r="AI51" i="23"/>
  <c r="B11" i="21"/>
  <c r="B25" i="1"/>
  <c r="B28" i="1"/>
  <c r="AI57" i="21"/>
  <c r="B10" i="1"/>
  <c r="AI40" i="22"/>
  <c r="AI42" i="22"/>
  <c r="AI17" i="22"/>
  <c r="B41" i="21"/>
  <c r="B19" i="21"/>
  <c r="B7" i="21"/>
  <c r="B26" i="21"/>
  <c r="B14" i="1"/>
  <c r="B34" i="21"/>
  <c r="B11" i="23"/>
  <c r="AI35" i="23"/>
  <c r="AI11" i="23"/>
  <c r="AI41" i="21"/>
  <c r="AI31" i="21"/>
  <c r="B23" i="1"/>
  <c r="AI9" i="22"/>
  <c r="B38" i="1"/>
  <c r="B23" i="22"/>
  <c r="AI28" i="21"/>
  <c r="B14" i="22"/>
  <c r="B39" i="21"/>
  <c r="AI44" i="22"/>
  <c r="B17" i="22"/>
  <c r="AI11" i="22"/>
  <c r="AI42" i="21"/>
  <c r="AI48" i="21"/>
  <c r="AI42" i="23"/>
  <c r="AI24" i="23"/>
  <c r="AI25" i="21"/>
  <c r="AI14" i="23"/>
  <c r="B22" i="23"/>
  <c r="AI18" i="23"/>
  <c r="B29" i="1"/>
  <c r="AI38" i="21"/>
  <c r="AI64" i="23"/>
  <c r="B27" i="23"/>
  <c r="AI70" i="23"/>
  <c r="B42" i="21"/>
  <c r="B22" i="22"/>
  <c r="AI8" i="22"/>
  <c r="B20" i="22"/>
  <c r="AI56" i="23"/>
  <c r="B19" i="22"/>
  <c r="B10" i="23"/>
  <c r="AI54" i="23"/>
  <c r="AI54" i="22"/>
  <c r="B39" i="23"/>
  <c r="B18" i="22"/>
  <c r="B33" i="21"/>
  <c r="B14" i="23"/>
  <c r="B27" i="21"/>
  <c r="B35" i="21"/>
  <c r="AI15" i="22"/>
  <c r="AI34" i="22"/>
  <c r="B6" i="23"/>
  <c r="B20" i="23"/>
  <c r="AI30" i="21"/>
  <c r="AI51" i="21"/>
  <c r="AI66" i="23"/>
  <c r="AI58" i="23"/>
  <c r="B6" i="22"/>
  <c r="B25" i="22"/>
  <c r="B34" i="23"/>
  <c r="AI7" i="21"/>
  <c r="B8" i="22"/>
  <c r="AI41" i="22"/>
  <c r="AI32" i="23"/>
  <c r="AI16" i="22"/>
  <c r="B32" i="1"/>
  <c r="B24" i="23"/>
  <c r="AI40" i="23"/>
  <c r="B25" i="21"/>
  <c r="AI57" i="22"/>
  <c r="AI71" i="23"/>
  <c r="AI36" i="23"/>
  <c r="B45" i="1"/>
  <c r="AI39" i="21"/>
  <c r="AI18" i="22"/>
  <c r="B15" i="1"/>
  <c r="AI8" i="21"/>
  <c r="B21" i="23"/>
  <c r="AI60" i="22"/>
  <c r="B24" i="1"/>
  <c r="B14" i="21"/>
  <c r="AI65" i="22"/>
  <c r="AI23" i="21"/>
  <c r="AI21" i="21"/>
  <c r="B9" i="21"/>
  <c r="B36" i="21"/>
  <c r="AI26" i="21"/>
  <c r="AI31" i="22"/>
  <c r="AI40" i="21"/>
  <c r="B39" i="1"/>
  <c r="B27" i="22"/>
  <c r="AI32" i="21"/>
  <c r="B16" i="22"/>
  <c r="B15" i="23"/>
  <c r="B17" i="21"/>
  <c r="AI37" i="23"/>
  <c r="AI69" i="21"/>
  <c r="AI30" i="22"/>
  <c r="AI36" i="21"/>
  <c r="B30" i="21"/>
  <c r="AI28" i="23"/>
  <c r="AI71" i="22"/>
  <c r="AI9" i="21"/>
  <c r="B29" i="23"/>
  <c r="AI43" i="21"/>
  <c r="B7" i="1"/>
  <c r="B20" i="21"/>
  <c r="B34" i="1"/>
  <c r="B37" i="1"/>
  <c r="AI16" i="21"/>
  <c r="AI55" i="23"/>
  <c r="AI70" i="22"/>
  <c r="B9" i="1"/>
  <c r="AI7" i="23"/>
  <c r="B12" i="21"/>
  <c r="AI48" i="22"/>
  <c r="AI13" i="21"/>
  <c r="AI6" i="21"/>
  <c r="AI56" i="22"/>
  <c r="B33" i="1"/>
  <c r="AI68" i="23"/>
  <c r="B10" i="22"/>
  <c r="AI49" i="21"/>
  <c r="B15" i="22"/>
  <c r="B30" i="23"/>
  <c r="B35" i="1"/>
  <c r="AI28" i="22"/>
  <c r="AI55" i="21"/>
  <c r="AI26" i="22"/>
  <c r="AI58" i="22"/>
  <c r="AI8" i="23"/>
  <c r="AI33" i="22"/>
  <c r="AI52" i="23"/>
  <c r="AI65" i="23"/>
  <c r="AI63" i="21"/>
  <c r="AI59" i="22"/>
  <c r="AI12" i="23"/>
  <c r="AI37" i="22"/>
  <c r="B23" i="21"/>
  <c r="AI15" i="21"/>
  <c r="AI66" i="21"/>
  <c r="AI9" i="23"/>
  <c r="AI32" i="22"/>
  <c r="AI53" i="22"/>
  <c r="AI29" i="21"/>
  <c r="B9" i="22"/>
  <c r="B41" i="1"/>
  <c r="AI62" i="22"/>
  <c r="AI59" i="21"/>
  <c r="AI13" i="22"/>
  <c r="B11" i="22"/>
  <c r="AI52" i="21"/>
  <c r="AI31" i="23"/>
  <c r="B22" i="21"/>
  <c r="AI20" i="23"/>
  <c r="AI63" i="22"/>
  <c r="AI10" i="21"/>
  <c r="B17" i="23"/>
  <c r="AI55" i="22"/>
  <c r="AI65" i="21"/>
  <c r="B21" i="21"/>
  <c r="AI14" i="21"/>
  <c r="AI17" i="23"/>
  <c r="AI11" i="21"/>
  <c r="AI23" i="23"/>
  <c r="B6" i="21"/>
  <c r="B16" i="21"/>
  <c r="B21" i="22"/>
  <c r="B36" i="23"/>
  <c r="B38" i="21"/>
  <c r="AI46" i="23"/>
  <c r="AI61" i="21"/>
  <c r="AI49" i="23"/>
  <c r="AI61" i="23"/>
  <c r="AI54" i="21"/>
  <c r="AI20" i="21"/>
  <c r="AI50" i="22"/>
  <c r="AI46" i="21"/>
  <c r="B20" i="1"/>
  <c r="AI71" i="21"/>
  <c r="B9" i="23"/>
  <c r="AI6" i="23"/>
  <c r="AI52" i="22"/>
  <c r="B18" i="21"/>
  <c r="AI45" i="22"/>
  <c r="AI69" i="23"/>
  <c r="AI19" i="23"/>
  <c r="AI50" i="21"/>
  <c r="AI10" i="23"/>
  <c r="AI47" i="23"/>
  <c r="B26" i="23"/>
  <c r="AI27" i="23"/>
  <c r="B8" i="1"/>
  <c r="AI45" i="21"/>
  <c r="B24" i="22"/>
  <c r="AI60" i="23"/>
  <c r="AI44" i="23"/>
  <c r="B24" i="21"/>
  <c r="AI59" i="23"/>
  <c r="B27" i="1"/>
  <c r="AI62" i="23"/>
  <c r="B25" i="23"/>
  <c r="AI19" i="22"/>
  <c r="B33" i="23"/>
  <c r="B7" i="22"/>
  <c r="B16" i="1"/>
  <c r="B28" i="21"/>
  <c r="B13" i="23"/>
  <c r="AI44" i="21"/>
  <c r="AI47" i="22"/>
  <c r="B38" i="23"/>
  <c r="AI68" i="21"/>
  <c r="AI25" i="22"/>
  <c r="AI45" i="23"/>
  <c r="AI12" i="21"/>
  <c r="B26" i="22"/>
  <c r="B8" i="23"/>
  <c r="AI36" i="22"/>
  <c r="B13" i="1"/>
  <c r="B18" i="23"/>
  <c r="AI46" i="22"/>
  <c r="AI7" i="22"/>
  <c r="B26" i="1"/>
  <c r="B23" i="23"/>
  <c r="B17" i="1"/>
  <c r="AI68" i="22"/>
  <c r="AI50" i="23"/>
  <c r="AI13" i="23"/>
  <c r="AI35" i="22"/>
  <c r="B32" i="23"/>
  <c r="B16" i="23"/>
  <c r="AI62" i="21"/>
  <c r="B28" i="23"/>
  <c r="AI66" i="22"/>
  <c r="AI6" i="22"/>
  <c r="AI26" i="23"/>
  <c r="B10" i="21"/>
  <c r="AI22" i="21"/>
  <c r="B15" i="21"/>
  <c r="AI21" i="22"/>
  <c r="B18" i="1"/>
  <c r="AI29" i="22"/>
  <c r="B19" i="1"/>
  <c r="AI27" i="22"/>
  <c r="AI39" i="22"/>
  <c r="AI63" i="23"/>
  <c r="B12" i="22"/>
  <c r="AI56" i="21"/>
  <c r="B6" i="1"/>
  <c r="B40" i="21"/>
  <c r="B13" i="22"/>
  <c r="B19" i="23"/>
  <c r="AI43" i="23"/>
  <c r="AI70" i="21"/>
  <c r="AI49" i="22"/>
  <c r="B32" i="21"/>
  <c r="AI33" i="23"/>
  <c r="AI19" i="21"/>
  <c r="AI53" i="21"/>
  <c r="AI29" i="23"/>
  <c r="AI17" i="21"/>
  <c r="AI57" i="23"/>
  <c r="B44" i="1"/>
  <c r="AI48" i="23"/>
  <c r="AI69" i="22"/>
  <c r="B42" i="1"/>
  <c r="AI25" i="23"/>
  <c r="AI10" i="22"/>
  <c r="AI43" i="22"/>
  <c r="AI16" i="23"/>
  <c r="AI64" i="21"/>
  <c r="AI27" i="21"/>
  <c r="B40" i="1"/>
  <c r="AI39" i="23"/>
  <c r="B29" i="21"/>
  <c r="B31" i="23"/>
  <c r="B37" i="23"/>
  <c r="B35" i="23"/>
  <c r="B12" i="1"/>
  <c r="AI37" i="21"/>
  <c r="B11" i="1"/>
  <c r="AI53" i="23"/>
  <c r="AI21" i="23"/>
  <c r="AI47" i="21"/>
  <c r="AI24" i="21"/>
  <c r="V20" i="12" a="1"/>
  <c r="B21" i="1"/>
  <c r="B13" i="21"/>
  <c r="W24" i="12" l="1"/>
  <c r="W31" i="12"/>
  <c r="W22" i="12"/>
  <c r="W26" i="12"/>
  <c r="W32" i="12"/>
  <c r="W21" i="12"/>
  <c r="W25" i="12"/>
  <c r="W23" i="12"/>
  <c r="W29" i="12"/>
  <c r="W27" i="12"/>
  <c r="W20" i="12"/>
  <c r="W30" i="12"/>
  <c r="W28" i="12"/>
  <c r="V32" i="12"/>
  <c r="V25" i="12"/>
  <c r="V22" i="12"/>
  <c r="V20" i="12"/>
  <c r="V24" i="12"/>
  <c r="V30" i="12"/>
  <c r="V26" i="12"/>
  <c r="V21" i="12"/>
  <c r="V27" i="12"/>
  <c r="V31" i="12"/>
  <c r="V29" i="12"/>
  <c r="V28" i="12"/>
  <c r="V23" i="12"/>
  <c r="AF62" i="21"/>
  <c r="AE62" i="21"/>
  <c r="AG62" i="21"/>
  <c r="AC62" i="21"/>
  <c r="AB62" i="21"/>
  <c r="AA62" i="21"/>
  <c r="AD62" i="21"/>
  <c r="Y62" i="21"/>
  <c r="AJ62" i="21" s="1"/>
  <c r="Y29" i="22"/>
  <c r="AJ29" i="22" s="1"/>
  <c r="AC29" i="22"/>
  <c r="AG29" i="22"/>
  <c r="AB29" i="22"/>
  <c r="AA29" i="22"/>
  <c r="AF29" i="22"/>
  <c r="AE29" i="22"/>
  <c r="AD29" i="22"/>
  <c r="AA52" i="23"/>
  <c r="AE52" i="23"/>
  <c r="AF52" i="23"/>
  <c r="AC52" i="23"/>
  <c r="AG52" i="23"/>
  <c r="AD52" i="23"/>
  <c r="AB52" i="23"/>
  <c r="Y52" i="23"/>
  <c r="AJ52" i="23" s="1"/>
  <c r="Y43" i="23"/>
  <c r="AJ43" i="23" s="1"/>
  <c r="AG43" i="23"/>
  <c r="AD43" i="23"/>
  <c r="AF43" i="23"/>
  <c r="AB43" i="23"/>
  <c r="AA43" i="23"/>
  <c r="AC43" i="23"/>
  <c r="AE43" i="23"/>
  <c r="AE66" i="1"/>
  <c r="AC66" i="1"/>
  <c r="AF66" i="1"/>
  <c r="AA66" i="1"/>
  <c r="AG66" i="1"/>
  <c r="AB66" i="1"/>
  <c r="AD66" i="1"/>
  <c r="Y66" i="1"/>
  <c r="AE73" i="1"/>
  <c r="AD73" i="1"/>
  <c r="AA73" i="1"/>
  <c r="AB73" i="1"/>
  <c r="AC73" i="1"/>
  <c r="AG73" i="1"/>
  <c r="AF73" i="1"/>
  <c r="Y73" i="1"/>
  <c r="AJ73" i="1" s="1"/>
  <c r="AG70" i="22"/>
  <c r="AE70" i="22"/>
  <c r="AF70" i="22"/>
  <c r="AD70" i="22"/>
  <c r="AC70" i="22"/>
  <c r="AA70" i="22"/>
  <c r="AB70" i="22"/>
  <c r="Y70" i="22"/>
  <c r="AJ70" i="22" s="1"/>
  <c r="Y58" i="23"/>
  <c r="AJ58" i="23" s="1"/>
  <c r="AA58" i="23"/>
  <c r="AF58" i="23"/>
  <c r="AC58" i="23"/>
  <c r="AE58" i="23"/>
  <c r="AB58" i="23"/>
  <c r="AD58" i="23"/>
  <c r="AG58" i="23"/>
  <c r="Y44" i="21"/>
  <c r="AJ44" i="21" s="1"/>
  <c r="AE44" i="21"/>
  <c r="AF44" i="21"/>
  <c r="AD44" i="21"/>
  <c r="AC44" i="21"/>
  <c r="AB44" i="21"/>
  <c r="AA44" i="21"/>
  <c r="AG44" i="21"/>
  <c r="AA58" i="22"/>
  <c r="AG58" i="22"/>
  <c r="AE58" i="22"/>
  <c r="AF58" i="22"/>
  <c r="AC58" i="22"/>
  <c r="AB58" i="22"/>
  <c r="AD58" i="22"/>
  <c r="Y58" i="22"/>
  <c r="AJ58" i="22" s="1"/>
  <c r="Y54" i="1"/>
  <c r="AB54" i="1"/>
  <c r="AG54" i="1"/>
  <c r="AD54" i="1"/>
  <c r="AF54" i="1"/>
  <c r="AC54" i="1"/>
  <c r="AE54" i="1"/>
  <c r="AA54" i="1"/>
  <c r="AG49" i="21"/>
  <c r="AD49" i="21"/>
  <c r="AF49" i="21"/>
  <c r="AE49" i="21"/>
  <c r="AA49" i="21"/>
  <c r="AC49" i="21"/>
  <c r="AB49" i="21"/>
  <c r="Y49" i="21"/>
  <c r="AJ49" i="21" s="1"/>
  <c r="Y53" i="1"/>
  <c r="AE53" i="1"/>
  <c r="AG53" i="1"/>
  <c r="AA53" i="1"/>
  <c r="AD53" i="1"/>
  <c r="AC53" i="1"/>
  <c r="AF53" i="1"/>
  <c r="AB53" i="1"/>
  <c r="AF49" i="23"/>
  <c r="AA49" i="23"/>
  <c r="AD49" i="23"/>
  <c r="AG49" i="23"/>
  <c r="AC49" i="23"/>
  <c r="AB49" i="23"/>
  <c r="AE49" i="23"/>
  <c r="Y49" i="23"/>
  <c r="AJ49" i="23" s="1"/>
  <c r="Y69" i="23"/>
  <c r="AJ69" i="23" s="1"/>
  <c r="AA69" i="23"/>
  <c r="AC69" i="23"/>
  <c r="AE69" i="23"/>
  <c r="AB69" i="23"/>
  <c r="AF69" i="23"/>
  <c r="AD69" i="23"/>
  <c r="AG69" i="23"/>
  <c r="AD47" i="23"/>
  <c r="AA47" i="23"/>
  <c r="AG47" i="23"/>
  <c r="AB47" i="23"/>
  <c r="AF47" i="23"/>
  <c r="AE47" i="23"/>
  <c r="AC47" i="23"/>
  <c r="Y47" i="23"/>
  <c r="AJ47" i="23" s="1"/>
  <c r="Y71" i="1"/>
  <c r="AD71" i="1"/>
  <c r="AC71" i="1"/>
  <c r="AB71" i="1"/>
  <c r="AG71" i="1"/>
  <c r="AA71" i="1"/>
  <c r="AF71" i="1"/>
  <c r="AE71" i="1"/>
  <c r="Y49" i="1"/>
  <c r="AE49" i="1"/>
  <c r="AB49" i="1"/>
  <c r="AF49" i="1"/>
  <c r="AD49" i="1"/>
  <c r="AA49" i="1"/>
  <c r="AG49" i="1"/>
  <c r="AC49" i="1"/>
  <c r="AF58" i="1"/>
  <c r="AC58" i="1"/>
  <c r="AB58" i="1"/>
  <c r="AA58" i="1"/>
  <c r="AD58" i="1"/>
  <c r="AE58" i="1"/>
  <c r="AG58" i="1"/>
  <c r="Y58" i="1"/>
  <c r="AC75" i="1"/>
  <c r="AA75" i="1"/>
  <c r="AE75" i="1"/>
  <c r="AF75" i="1"/>
  <c r="AB75" i="1"/>
  <c r="AD75" i="1"/>
  <c r="AG75" i="1"/>
  <c r="Y75" i="1"/>
  <c r="AJ75" i="1" s="1"/>
  <c r="AE52" i="22"/>
  <c r="AG52" i="22"/>
  <c r="AA52" i="22"/>
  <c r="AB52" i="22"/>
  <c r="AF52" i="22"/>
  <c r="AD52" i="22"/>
  <c r="AC52" i="22"/>
  <c r="Y52" i="22"/>
  <c r="AJ52" i="22" s="1"/>
  <c r="Y80" i="21"/>
  <c r="AJ80" i="21" s="1"/>
  <c r="AE80" i="21"/>
  <c r="AD80" i="21"/>
  <c r="AG80" i="21"/>
  <c r="AB80" i="21"/>
  <c r="AF80" i="21"/>
  <c r="AC80" i="21"/>
  <c r="AA80" i="21"/>
  <c r="Y75" i="21"/>
  <c r="AJ75" i="21" s="1"/>
  <c r="AF75" i="21"/>
  <c r="AD75" i="21"/>
  <c r="AA75" i="21"/>
  <c r="AB75" i="21"/>
  <c r="AG75" i="21"/>
  <c r="AE75" i="21"/>
  <c r="AC75" i="21"/>
  <c r="Y66" i="23"/>
  <c r="AJ66" i="23" s="1"/>
  <c r="AE66" i="23"/>
  <c r="AA66" i="23"/>
  <c r="AD66" i="23"/>
  <c r="AC66" i="23"/>
  <c r="AG66" i="23"/>
  <c r="AB66" i="23"/>
  <c r="AF66" i="23"/>
  <c r="Y76" i="1"/>
  <c r="AJ76" i="1" s="1"/>
  <c r="AD76" i="1"/>
  <c r="AG76" i="1"/>
  <c r="AE76" i="1"/>
  <c r="AF76" i="1"/>
  <c r="AC76" i="1"/>
  <c r="AA76" i="1"/>
  <c r="AB76" i="1"/>
  <c r="AD56" i="22"/>
  <c r="AE56" i="22"/>
  <c r="AA56" i="22"/>
  <c r="AC56" i="22"/>
  <c r="AF56" i="22"/>
  <c r="AG56" i="22"/>
  <c r="AB56" i="22"/>
  <c r="Y56" i="22"/>
  <c r="AJ56" i="22" s="1"/>
  <c r="AB44" i="22"/>
  <c r="AD44" i="22"/>
  <c r="AA44" i="22"/>
  <c r="AG44" i="22"/>
  <c r="AF44" i="22"/>
  <c r="AC44" i="22"/>
  <c r="AE44" i="22"/>
  <c r="Y44" i="22"/>
  <c r="AJ44" i="22" s="1"/>
  <c r="AE42" i="23"/>
  <c r="AD42" i="23"/>
  <c r="AA42" i="23"/>
  <c r="AG42" i="23"/>
  <c r="AF42" i="23"/>
  <c r="AC42" i="23"/>
  <c r="AB42" i="23"/>
  <c r="Y42" i="23"/>
  <c r="AJ42" i="23" s="1"/>
  <c r="Y36" i="22"/>
  <c r="AJ36" i="22" s="1"/>
  <c r="AG36" i="22"/>
  <c r="AB36" i="22"/>
  <c r="AD36" i="22"/>
  <c r="AF36" i="22"/>
  <c r="AC36" i="22"/>
  <c r="AA36" i="22"/>
  <c r="AE36" i="22"/>
  <c r="Y80" i="1"/>
  <c r="AJ80" i="1" s="1"/>
  <c r="AA80" i="1"/>
  <c r="AG80" i="1"/>
  <c r="AC80" i="1"/>
  <c r="AB80" i="1"/>
  <c r="AF80" i="1"/>
  <c r="AD80" i="1"/>
  <c r="AE80" i="1"/>
  <c r="Y69" i="22"/>
  <c r="AJ69" i="22" s="1"/>
  <c r="AG69" i="22"/>
  <c r="AF69" i="22"/>
  <c r="AD69" i="22"/>
  <c r="AE69" i="22"/>
  <c r="AA69" i="22"/>
  <c r="AC69" i="22"/>
  <c r="AB69" i="22"/>
  <c r="AD74" i="23"/>
  <c r="AE74" i="23"/>
  <c r="AA74" i="23"/>
  <c r="AC74" i="23"/>
  <c r="AB74" i="23"/>
  <c r="AF74" i="23"/>
  <c r="AG74" i="23"/>
  <c r="Y74" i="23"/>
  <c r="AJ74" i="23" s="1"/>
  <c r="Y50" i="1"/>
  <c r="AC50" i="1"/>
  <c r="AA50" i="1"/>
  <c r="AF50" i="1"/>
  <c r="AB50" i="1"/>
  <c r="AG50" i="1"/>
  <c r="AE50" i="1"/>
  <c r="AD50" i="1"/>
  <c r="AG72" i="21"/>
  <c r="AB72" i="21"/>
  <c r="AD72" i="21"/>
  <c r="AF72" i="21"/>
  <c r="AE72" i="21"/>
  <c r="AA72" i="21"/>
  <c r="AC72" i="21"/>
  <c r="Y72" i="21"/>
  <c r="AJ72" i="21" s="1"/>
  <c r="AB28" i="22"/>
  <c r="AA28" i="22"/>
  <c r="AC28" i="22"/>
  <c r="AF28" i="22"/>
  <c r="AE28" i="22"/>
  <c r="AG28" i="22"/>
  <c r="AD28" i="22"/>
  <c r="Y28" i="22"/>
  <c r="AJ28" i="22" s="1"/>
  <c r="Y80" i="22"/>
  <c r="AJ80" i="22" s="1"/>
  <c r="AE80" i="22"/>
  <c r="AA80" i="22"/>
  <c r="AB80" i="22"/>
  <c r="AC80" i="22"/>
  <c r="AG80" i="22"/>
  <c r="AD80" i="22"/>
  <c r="AF80" i="22"/>
  <c r="Y63" i="21"/>
  <c r="AJ63" i="21" s="1"/>
  <c r="AD63" i="21"/>
  <c r="AF63" i="21"/>
  <c r="AG63" i="21"/>
  <c r="AB63" i="21"/>
  <c r="AA63" i="21"/>
  <c r="AC63" i="21"/>
  <c r="AE63" i="21"/>
  <c r="AD60" i="22"/>
  <c r="AF60" i="22"/>
  <c r="AE60" i="22"/>
  <c r="AB60" i="22"/>
  <c r="AG60" i="22"/>
  <c r="AA60" i="22"/>
  <c r="AC60" i="22"/>
  <c r="Y60" i="22"/>
  <c r="AJ60" i="22" s="1"/>
  <c r="Y67" i="21"/>
  <c r="AJ67" i="21" s="1"/>
  <c r="AA67" i="21"/>
  <c r="AB67" i="21"/>
  <c r="AD67" i="21"/>
  <c r="AE67" i="21"/>
  <c r="AC67" i="21"/>
  <c r="AG67" i="21"/>
  <c r="AF67" i="21"/>
  <c r="Y50" i="21"/>
  <c r="AJ50" i="21" s="1"/>
  <c r="AF50" i="21"/>
  <c r="AE50" i="21"/>
  <c r="AG50" i="21"/>
  <c r="AC50" i="21"/>
  <c r="AA50" i="21"/>
  <c r="AD50" i="21"/>
  <c r="AB50" i="21"/>
  <c r="AF60" i="21"/>
  <c r="AG60" i="21"/>
  <c r="AB60" i="21"/>
  <c r="AE60" i="21"/>
  <c r="AD60" i="21"/>
  <c r="AC60" i="21"/>
  <c r="AA60" i="21"/>
  <c r="Y60" i="21"/>
  <c r="AJ60" i="21" s="1"/>
  <c r="AE64" i="1"/>
  <c r="AF64" i="1"/>
  <c r="AG64" i="1"/>
  <c r="AC64" i="1"/>
  <c r="AA64" i="1"/>
  <c r="AB64" i="1"/>
  <c r="AD64" i="1"/>
  <c r="Y64" i="1"/>
  <c r="Y78" i="21"/>
  <c r="AJ78" i="21" s="1"/>
  <c r="AB78" i="21"/>
  <c r="AA78" i="21"/>
  <c r="AG78" i="21"/>
  <c r="AF78" i="21"/>
  <c r="AC78" i="21"/>
  <c r="AE78" i="21"/>
  <c r="AD78" i="21"/>
  <c r="Y65" i="1"/>
  <c r="AA65" i="1"/>
  <c r="AE65" i="1"/>
  <c r="AF65" i="1"/>
  <c r="AC65" i="1"/>
  <c r="AD65" i="1"/>
  <c r="AB65" i="1"/>
  <c r="AG65" i="1"/>
  <c r="AB53" i="23"/>
  <c r="AC53" i="23"/>
  <c r="AD53" i="23"/>
  <c r="AA53" i="23"/>
  <c r="AG53" i="23"/>
  <c r="AE53" i="23"/>
  <c r="AF53" i="23"/>
  <c r="Y53" i="23"/>
  <c r="AJ53" i="23" s="1"/>
  <c r="Y56" i="23"/>
  <c r="AJ56" i="23" s="1"/>
  <c r="AG56" i="23"/>
  <c r="AE56" i="23"/>
  <c r="AC56" i="23"/>
  <c r="AD56" i="23"/>
  <c r="AF56" i="23"/>
  <c r="AA56" i="23"/>
  <c r="AB56" i="23"/>
  <c r="AF73" i="21"/>
  <c r="AD73" i="21"/>
  <c r="AG73" i="21"/>
  <c r="AE73" i="21"/>
  <c r="AB73" i="21"/>
  <c r="AA73" i="21"/>
  <c r="AC73" i="21"/>
  <c r="Y73" i="21"/>
  <c r="AJ73" i="21" s="1"/>
  <c r="Y56" i="21"/>
  <c r="AJ56" i="21" s="1"/>
  <c r="AF56" i="21"/>
  <c r="AG56" i="21"/>
  <c r="AE56" i="21"/>
  <c r="AC56" i="21"/>
  <c r="AD56" i="21"/>
  <c r="AB56" i="21"/>
  <c r="AA56" i="21"/>
  <c r="Y57" i="23"/>
  <c r="AJ57" i="23" s="1"/>
  <c r="AA57" i="23"/>
  <c r="AF57" i="23"/>
  <c r="AE57" i="23"/>
  <c r="AB57" i="23"/>
  <c r="AD57" i="23"/>
  <c r="AC57" i="23"/>
  <c r="AG57" i="23"/>
  <c r="Y79" i="22"/>
  <c r="AJ79" i="22" s="1"/>
  <c r="AB79" i="22"/>
  <c r="AA79" i="22"/>
  <c r="AC79" i="22"/>
  <c r="AF79" i="22"/>
  <c r="AD79" i="22"/>
  <c r="AE79" i="22"/>
  <c r="AG79" i="22"/>
  <c r="AC50" i="23"/>
  <c r="AG50" i="23"/>
  <c r="AA50" i="23"/>
  <c r="AD50" i="23"/>
  <c r="AF50" i="23"/>
  <c r="AB50" i="23"/>
  <c r="AE50" i="23"/>
  <c r="Y50" i="23"/>
  <c r="AJ50" i="23" s="1"/>
  <c r="Y53" i="22"/>
  <c r="AJ53" i="22" s="1"/>
  <c r="AA53" i="22"/>
  <c r="AE53" i="22"/>
  <c r="AG53" i="22"/>
  <c r="AC53" i="22"/>
  <c r="AF53" i="22"/>
  <c r="AD53" i="22"/>
  <c r="AB53" i="22"/>
  <c r="AE73" i="23"/>
  <c r="AA73" i="23"/>
  <c r="AB73" i="23"/>
  <c r="AG73" i="23"/>
  <c r="AC73" i="23"/>
  <c r="AD73" i="23"/>
  <c r="AF73" i="23"/>
  <c r="Y73" i="23"/>
  <c r="AJ73" i="23" s="1"/>
  <c r="AF37" i="22"/>
  <c r="AA37" i="22"/>
  <c r="AD37" i="22"/>
  <c r="AB37" i="22"/>
  <c r="AE37" i="22"/>
  <c r="AC37" i="22"/>
  <c r="AG37" i="22"/>
  <c r="Y37" i="22"/>
  <c r="AJ37" i="22" s="1"/>
  <c r="AD74" i="22"/>
  <c r="AG74" i="22"/>
  <c r="AA74" i="22"/>
  <c r="AB74" i="22"/>
  <c r="AF74" i="22"/>
  <c r="AE74" i="22"/>
  <c r="AC74" i="22"/>
  <c r="Y74" i="22"/>
  <c r="AJ74" i="22" s="1"/>
  <c r="AF67" i="1"/>
  <c r="AE67" i="1"/>
  <c r="AA67" i="1"/>
  <c r="AG67" i="1"/>
  <c r="AC67" i="1"/>
  <c r="AD67" i="1"/>
  <c r="AB67" i="1"/>
  <c r="Y67" i="1"/>
  <c r="Y56" i="1"/>
  <c r="AE56" i="1"/>
  <c r="AA56" i="1"/>
  <c r="AB56" i="1"/>
  <c r="AG56" i="1"/>
  <c r="AF56" i="1"/>
  <c r="AC56" i="1"/>
  <c r="AD56" i="1"/>
  <c r="AE57" i="1"/>
  <c r="AF57" i="1"/>
  <c r="AA57" i="1"/>
  <c r="AB57" i="1"/>
  <c r="AG57" i="1"/>
  <c r="AD57" i="1"/>
  <c r="AC57" i="1"/>
  <c r="Y57" i="1"/>
  <c r="Y46" i="23"/>
  <c r="AJ46" i="23" s="1"/>
  <c r="AA46" i="23"/>
  <c r="AG46" i="23"/>
  <c r="AD46" i="23"/>
  <c r="AF46" i="23"/>
  <c r="AB46" i="23"/>
  <c r="AC46" i="23"/>
  <c r="AE46" i="23"/>
  <c r="Y59" i="21"/>
  <c r="AJ59" i="21" s="1"/>
  <c r="AC59" i="21"/>
  <c r="AA59" i="21"/>
  <c r="AE59" i="21"/>
  <c r="AD59" i="21"/>
  <c r="AG59" i="21"/>
  <c r="AF59" i="21"/>
  <c r="AB59" i="21"/>
  <c r="Y76" i="22"/>
  <c r="AJ76" i="22" s="1"/>
  <c r="AF76" i="22"/>
  <c r="AB76" i="22"/>
  <c r="AE76" i="22"/>
  <c r="AA76" i="22"/>
  <c r="AD76" i="22"/>
  <c r="AC76" i="22"/>
  <c r="AG76" i="22"/>
  <c r="AB32" i="22"/>
  <c r="AA32" i="22"/>
  <c r="AG32" i="22"/>
  <c r="AD32" i="22"/>
  <c r="AE32" i="22"/>
  <c r="AC32" i="22"/>
  <c r="AF32" i="22"/>
  <c r="Y32" i="22"/>
  <c r="AJ32" i="22" s="1"/>
  <c r="AD46" i="22"/>
  <c r="AB46" i="22"/>
  <c r="AF46" i="22"/>
  <c r="AE46" i="22"/>
  <c r="AA46" i="22"/>
  <c r="AC46" i="22"/>
  <c r="AG46" i="22"/>
  <c r="Y46" i="22"/>
  <c r="AJ46" i="22" s="1"/>
  <c r="AC42" i="22"/>
  <c r="AB42" i="22"/>
  <c r="AD42" i="22"/>
  <c r="AG42" i="22"/>
  <c r="AA42" i="22"/>
  <c r="AE42" i="22"/>
  <c r="AF42" i="22"/>
  <c r="Y42" i="22"/>
  <c r="AJ42" i="22" s="1"/>
  <c r="Y54" i="21"/>
  <c r="AJ54" i="21" s="1"/>
  <c r="AA54" i="21"/>
  <c r="AF54" i="21"/>
  <c r="AB54" i="21"/>
  <c r="AC54" i="21"/>
  <c r="AD54" i="21"/>
  <c r="AE54" i="21"/>
  <c r="AG54" i="21"/>
  <c r="Y47" i="21"/>
  <c r="AJ47" i="21" s="1"/>
  <c r="AA47" i="21"/>
  <c r="AB47" i="21"/>
  <c r="AC47" i="21"/>
  <c r="AD47" i="21"/>
  <c r="AE47" i="21"/>
  <c r="AF47" i="21"/>
  <c r="AG47" i="21"/>
  <c r="AD63" i="1"/>
  <c r="AF63" i="1"/>
  <c r="AE63" i="1"/>
  <c r="AA63" i="1"/>
  <c r="AB63" i="1"/>
  <c r="AC63" i="1"/>
  <c r="AG63" i="1"/>
  <c r="Y63" i="1"/>
  <c r="AJ6" i="23"/>
  <c r="Y39" i="22"/>
  <c r="AJ39" i="22" s="1"/>
  <c r="AF39" i="22"/>
  <c r="AC39" i="22"/>
  <c r="AB39" i="22"/>
  <c r="AD39" i="22"/>
  <c r="AG39" i="22"/>
  <c r="AA39" i="22"/>
  <c r="AE39" i="22"/>
  <c r="AE62" i="23"/>
  <c r="AD62" i="23"/>
  <c r="AB62" i="23"/>
  <c r="AF62" i="23"/>
  <c r="AC62" i="23"/>
  <c r="AG62" i="23"/>
  <c r="AA62" i="23"/>
  <c r="Y62" i="23"/>
  <c r="AJ62" i="23" s="1"/>
  <c r="AD59" i="22"/>
  <c r="AA59" i="22"/>
  <c r="AE59" i="22"/>
  <c r="AB59" i="22"/>
  <c r="AG59" i="22"/>
  <c r="AF59" i="22"/>
  <c r="AC59" i="22"/>
  <c r="Y59" i="22"/>
  <c r="AJ59" i="22" s="1"/>
  <c r="AD78" i="1"/>
  <c r="AB78" i="1"/>
  <c r="AG78" i="1"/>
  <c r="AE78" i="1"/>
  <c r="AF78" i="1"/>
  <c r="AA78" i="1"/>
  <c r="AC78" i="1"/>
  <c r="Y78" i="1"/>
  <c r="AJ78" i="1" s="1"/>
  <c r="Y54" i="23"/>
  <c r="AJ54" i="23" s="1"/>
  <c r="AB54" i="23"/>
  <c r="AF54" i="23"/>
  <c r="AD54" i="23"/>
  <c r="AA54" i="23"/>
  <c r="AE54" i="23"/>
  <c r="AG54" i="23"/>
  <c r="AC54" i="23"/>
  <c r="AB77" i="22"/>
  <c r="AF77" i="22"/>
  <c r="AC77" i="22"/>
  <c r="AG77" i="22"/>
  <c r="AD77" i="22"/>
  <c r="AE77" i="22"/>
  <c r="AA77" i="22"/>
  <c r="Y77" i="22"/>
  <c r="AJ77" i="22" s="1"/>
  <c r="Y51" i="22"/>
  <c r="AJ51" i="22" s="1"/>
  <c r="AD51" i="22"/>
  <c r="AE51" i="22"/>
  <c r="AA51" i="22"/>
  <c r="AB51" i="22"/>
  <c r="AF51" i="22"/>
  <c r="AG51" i="22"/>
  <c r="AC51" i="22"/>
  <c r="Y73" i="22"/>
  <c r="AJ73" i="22" s="1"/>
  <c r="AB73" i="22"/>
  <c r="AD73" i="22"/>
  <c r="AA73" i="22"/>
  <c r="AE73" i="22"/>
  <c r="AG73" i="22"/>
  <c r="AF73" i="22"/>
  <c r="AC73" i="22"/>
  <c r="Y67" i="22"/>
  <c r="AJ67" i="22" s="1"/>
  <c r="AA67" i="22"/>
  <c r="AC67" i="22"/>
  <c r="AF67" i="22"/>
  <c r="AG67" i="22"/>
  <c r="AE67" i="22"/>
  <c r="AB67" i="22"/>
  <c r="AD67" i="22"/>
  <c r="Y55" i="1"/>
  <c r="AF55" i="1"/>
  <c r="AE55" i="1"/>
  <c r="AA55" i="1"/>
  <c r="AC55" i="1"/>
  <c r="AG55" i="1"/>
  <c r="AD55" i="1"/>
  <c r="AB55" i="1"/>
  <c r="Y72" i="1"/>
  <c r="AJ72" i="1" s="1"/>
  <c r="AG72" i="1"/>
  <c r="AC72" i="1"/>
  <c r="AF72" i="1"/>
  <c r="AA72" i="1"/>
  <c r="AD72" i="1"/>
  <c r="AB72" i="1"/>
  <c r="AE72" i="1"/>
  <c r="AG68" i="23"/>
  <c r="AA68" i="23"/>
  <c r="AC68" i="23"/>
  <c r="AE68" i="23"/>
  <c r="AB68" i="23"/>
  <c r="AF68" i="23"/>
  <c r="AD68" i="23"/>
  <c r="Y68" i="23"/>
  <c r="AJ68" i="23" s="1"/>
  <c r="Y43" i="21"/>
  <c r="AJ43" i="21" s="1"/>
  <c r="AC43" i="21"/>
  <c r="AF43" i="21"/>
  <c r="AA43" i="21"/>
  <c r="AB43" i="21"/>
  <c r="AE43" i="21"/>
  <c r="AG43" i="21"/>
  <c r="AD43" i="21"/>
  <c r="Y60" i="1"/>
  <c r="AA60" i="1"/>
  <c r="AF60" i="1"/>
  <c r="AC60" i="1"/>
  <c r="AG60" i="1"/>
  <c r="AB60" i="1"/>
  <c r="AD60" i="1"/>
  <c r="AE60" i="1"/>
  <c r="Y47" i="22"/>
  <c r="AJ47" i="22" s="1"/>
  <c r="AB47" i="22"/>
  <c r="AC47" i="22"/>
  <c r="AA47" i="22"/>
  <c r="AG47" i="22"/>
  <c r="AF47" i="22"/>
  <c r="AE47" i="22"/>
  <c r="AD47" i="22"/>
  <c r="Y31" i="22"/>
  <c r="AJ31" i="22" s="1"/>
  <c r="AC31" i="22"/>
  <c r="AE31" i="22"/>
  <c r="AF31" i="22"/>
  <c r="AA31" i="22"/>
  <c r="AB31" i="22"/>
  <c r="AD31" i="22"/>
  <c r="AG31" i="22"/>
  <c r="Y45" i="23"/>
  <c r="AJ45" i="23" s="1"/>
  <c r="AB45" i="23"/>
  <c r="AC45" i="23"/>
  <c r="AA45" i="23"/>
  <c r="AG45" i="23"/>
  <c r="AD45" i="23"/>
  <c r="AE45" i="23"/>
  <c r="AF45" i="23"/>
  <c r="Y69" i="21"/>
  <c r="AJ69" i="21" s="1"/>
  <c r="AA69" i="21"/>
  <c r="AE69" i="21"/>
  <c r="AC69" i="21"/>
  <c r="AD69" i="21"/>
  <c r="AF69" i="21"/>
  <c r="AB69" i="21"/>
  <c r="AG69" i="21"/>
  <c r="Y33" i="22"/>
  <c r="AJ33" i="22" s="1"/>
  <c r="AD33" i="22"/>
  <c r="AG33" i="22"/>
  <c r="AE33" i="22"/>
  <c r="AA33" i="22"/>
  <c r="AC33" i="22"/>
  <c r="AB33" i="22"/>
  <c r="AF33" i="22"/>
  <c r="AA55" i="23"/>
  <c r="AF55" i="23"/>
  <c r="AG55" i="23"/>
  <c r="AC55" i="23"/>
  <c r="AD55" i="23"/>
  <c r="AB55" i="23"/>
  <c r="AE55" i="23"/>
  <c r="Y55" i="23"/>
  <c r="AJ55" i="23" s="1"/>
  <c r="AA61" i="23"/>
  <c r="AE61" i="23"/>
  <c r="AC61" i="23"/>
  <c r="AB61" i="23"/>
  <c r="AG61" i="23"/>
  <c r="AD61" i="23"/>
  <c r="AF61" i="23"/>
  <c r="Y61" i="23"/>
  <c r="AJ61" i="23" s="1"/>
  <c r="Y79" i="1"/>
  <c r="AJ79" i="1" s="1"/>
  <c r="AE79" i="1"/>
  <c r="AA79" i="1"/>
  <c r="AD79" i="1"/>
  <c r="AC79" i="1"/>
  <c r="AB79" i="1"/>
  <c r="AG79" i="1"/>
  <c r="AF79" i="1"/>
  <c r="AB65" i="23"/>
  <c r="AC65" i="23"/>
  <c r="AG65" i="23"/>
  <c r="AA65" i="23"/>
  <c r="AD65" i="23"/>
  <c r="AF65" i="23"/>
  <c r="AE65" i="23"/>
  <c r="Y65" i="23"/>
  <c r="AJ65" i="23" s="1"/>
  <c r="Y45" i="21"/>
  <c r="AJ45" i="21" s="1"/>
  <c r="AD45" i="21"/>
  <c r="AA45" i="21"/>
  <c r="AB45" i="21"/>
  <c r="AG45" i="21"/>
  <c r="AE45" i="21"/>
  <c r="AC45" i="21"/>
  <c r="AF45" i="21"/>
  <c r="AD67" i="23"/>
  <c r="AC67" i="23"/>
  <c r="AA67" i="23"/>
  <c r="AB67" i="23"/>
  <c r="AG67" i="23"/>
  <c r="AF67" i="23"/>
  <c r="AE67" i="23"/>
  <c r="Y67" i="23"/>
  <c r="AJ67" i="23" s="1"/>
  <c r="AE46" i="1"/>
  <c r="AF46" i="1"/>
  <c r="AC46" i="1"/>
  <c r="AB46" i="1"/>
  <c r="AA46" i="1"/>
  <c r="AD46" i="1"/>
  <c r="AG46" i="1"/>
  <c r="Y46" i="1"/>
  <c r="AG58" i="21"/>
  <c r="AF58" i="21"/>
  <c r="AB58" i="21"/>
  <c r="AC58" i="21"/>
  <c r="AA58" i="21"/>
  <c r="AE58" i="21"/>
  <c r="AD58" i="21"/>
  <c r="Y58" i="21"/>
  <c r="AJ58" i="21" s="1"/>
  <c r="Y80" i="23"/>
  <c r="AJ80" i="23" s="1"/>
  <c r="AB80" i="23"/>
  <c r="AE80" i="23"/>
  <c r="AC80" i="23"/>
  <c r="AG80" i="23"/>
  <c r="AD80" i="23"/>
  <c r="AA80" i="23"/>
  <c r="AF80" i="23"/>
  <c r="Y40" i="22"/>
  <c r="AJ40" i="22" s="1"/>
  <c r="AC40" i="22"/>
  <c r="AG40" i="22"/>
  <c r="AE40" i="22"/>
  <c r="AF40" i="22"/>
  <c r="AD40" i="22"/>
  <c r="AA40" i="22"/>
  <c r="AB40" i="22"/>
  <c r="AC66" i="22"/>
  <c r="AD66" i="22"/>
  <c r="AG66" i="22"/>
  <c r="AE66" i="22"/>
  <c r="AA66" i="22"/>
  <c r="AF66" i="22"/>
  <c r="AB66" i="22"/>
  <c r="Y66" i="22"/>
  <c r="AJ66" i="22" s="1"/>
  <c r="AF65" i="22"/>
  <c r="AC65" i="22"/>
  <c r="AE65" i="22"/>
  <c r="AD65" i="22"/>
  <c r="AG65" i="22"/>
  <c r="AB65" i="22"/>
  <c r="AA65" i="22"/>
  <c r="Y65" i="22"/>
  <c r="AJ65" i="22" s="1"/>
  <c r="Y69" i="1"/>
  <c r="AD69" i="1"/>
  <c r="AC69" i="1"/>
  <c r="AB69" i="1"/>
  <c r="AG69" i="1"/>
  <c r="AF69" i="1"/>
  <c r="AE69" i="1"/>
  <c r="AA69" i="1"/>
  <c r="Y70" i="21"/>
  <c r="AJ70" i="21" s="1"/>
  <c r="AD70" i="21"/>
  <c r="AF70" i="21"/>
  <c r="AE70" i="21"/>
  <c r="AC70" i="21"/>
  <c r="AB70" i="21"/>
  <c r="AA70" i="21"/>
  <c r="AG70" i="21"/>
  <c r="AG79" i="23"/>
  <c r="AA79" i="23"/>
  <c r="AF79" i="23"/>
  <c r="AE79" i="23"/>
  <c r="AB79" i="23"/>
  <c r="AD79" i="23"/>
  <c r="AC79" i="23"/>
  <c r="Y79" i="23"/>
  <c r="AJ79" i="23" s="1"/>
  <c r="AB30" i="22"/>
  <c r="AE30" i="22"/>
  <c r="AF30" i="22"/>
  <c r="AG30" i="22"/>
  <c r="AC30" i="22"/>
  <c r="AD30" i="22"/>
  <c r="AA30" i="22"/>
  <c r="Y30" i="22"/>
  <c r="AJ30" i="22" s="1"/>
  <c r="Y77" i="1"/>
  <c r="AJ77" i="1" s="1"/>
  <c r="AG77" i="1"/>
  <c r="AE77" i="1"/>
  <c r="AC77" i="1"/>
  <c r="AB77" i="1"/>
  <c r="AF77" i="1"/>
  <c r="AD77" i="1"/>
  <c r="AA77" i="1"/>
  <c r="AD52" i="1"/>
  <c r="AF52" i="1"/>
  <c r="AE52" i="1"/>
  <c r="AA52" i="1"/>
  <c r="AC52" i="1"/>
  <c r="AG52" i="1"/>
  <c r="AB52" i="1"/>
  <c r="Y52" i="1"/>
  <c r="AB51" i="23"/>
  <c r="AD51" i="23"/>
  <c r="AG51" i="23"/>
  <c r="AA51" i="23"/>
  <c r="AF51" i="23"/>
  <c r="AE51" i="23"/>
  <c r="AC51" i="23"/>
  <c r="Y51" i="23"/>
  <c r="AJ51" i="23" s="1"/>
  <c r="AC51" i="1"/>
  <c r="AB51" i="1"/>
  <c r="AE51" i="1"/>
  <c r="AG51" i="1"/>
  <c r="AF51" i="1"/>
  <c r="AA51" i="1"/>
  <c r="AD51" i="1"/>
  <c r="AE51" i="21"/>
  <c r="AB51" i="21"/>
  <c r="AC51" i="21"/>
  <c r="AA51" i="21"/>
  <c r="AG51" i="21"/>
  <c r="AD51" i="21"/>
  <c r="AF51" i="21"/>
  <c r="Y51" i="21"/>
  <c r="AJ51" i="21" s="1"/>
  <c r="AD57" i="21"/>
  <c r="AA57" i="21"/>
  <c r="AF57" i="21"/>
  <c r="AG57" i="21"/>
  <c r="AC57" i="21"/>
  <c r="AE57" i="21"/>
  <c r="AB57" i="21"/>
  <c r="Y57" i="21"/>
  <c r="AJ57" i="21" s="1"/>
  <c r="AF78" i="22"/>
  <c r="AE78" i="22"/>
  <c r="AD78" i="22"/>
  <c r="AC78" i="22"/>
  <c r="AA78" i="22"/>
  <c r="AB78" i="22"/>
  <c r="AG78" i="22"/>
  <c r="Y78" i="22"/>
  <c r="AJ78" i="22" s="1"/>
  <c r="Y49" i="22"/>
  <c r="AJ49" i="22" s="1"/>
  <c r="AA49" i="22"/>
  <c r="AF49" i="22"/>
  <c r="AD49" i="22"/>
  <c r="AE49" i="22"/>
  <c r="AB49" i="22"/>
  <c r="AG49" i="22"/>
  <c r="AC49" i="22"/>
  <c r="AC45" i="22"/>
  <c r="AD45" i="22"/>
  <c r="AB45" i="22"/>
  <c r="AF45" i="22"/>
  <c r="AG45" i="22"/>
  <c r="AA45" i="22"/>
  <c r="AE45" i="22"/>
  <c r="Y45" i="22"/>
  <c r="AJ45" i="22" s="1"/>
  <c r="AE72" i="23"/>
  <c r="AD72" i="23"/>
  <c r="AF72" i="23"/>
  <c r="AG72" i="23"/>
  <c r="AC72" i="23"/>
  <c r="AB72" i="23"/>
  <c r="AA72" i="23"/>
  <c r="Y72" i="23"/>
  <c r="AJ72" i="23" s="1"/>
  <c r="AC34" i="22"/>
  <c r="AD34" i="22"/>
  <c r="AE34" i="22"/>
  <c r="AB34" i="22"/>
  <c r="AG34" i="22"/>
  <c r="AA34" i="22"/>
  <c r="AF34" i="22"/>
  <c r="Y34" i="22"/>
  <c r="AJ34" i="22" s="1"/>
  <c r="Y43" i="22"/>
  <c r="AJ43" i="22" s="1"/>
  <c r="AD43" i="22"/>
  <c r="AA43" i="22"/>
  <c r="AB43" i="22"/>
  <c r="AG43" i="22"/>
  <c r="AF43" i="22"/>
  <c r="AC43" i="22"/>
  <c r="AE43" i="22"/>
  <c r="AD64" i="22"/>
  <c r="AE64" i="22"/>
  <c r="AG64" i="22"/>
  <c r="AF64" i="22"/>
  <c r="AC64" i="22"/>
  <c r="AB64" i="22"/>
  <c r="AA64" i="22"/>
  <c r="Y64" i="22"/>
  <c r="AJ64" i="22" s="1"/>
  <c r="Y59" i="1"/>
  <c r="AB59" i="1"/>
  <c r="AA59" i="1"/>
  <c r="AD59" i="1"/>
  <c r="AF59" i="1"/>
  <c r="AE59" i="1"/>
  <c r="AC59" i="1"/>
  <c r="AG59" i="1"/>
  <c r="Y68" i="22"/>
  <c r="AJ68" i="22" s="1"/>
  <c r="AG68" i="22"/>
  <c r="AD68" i="22"/>
  <c r="AA68" i="22"/>
  <c r="AF68" i="22"/>
  <c r="AE68" i="22"/>
  <c r="AC68" i="22"/>
  <c r="AB68" i="22"/>
  <c r="AE77" i="23"/>
  <c r="AB77" i="23"/>
  <c r="AG77" i="23"/>
  <c r="AC77" i="23"/>
  <c r="AA77" i="23"/>
  <c r="AF77" i="23"/>
  <c r="AD77" i="23"/>
  <c r="Y77" i="23"/>
  <c r="AJ77" i="23" s="1"/>
  <c r="AE48" i="1"/>
  <c r="AF48" i="1"/>
  <c r="AC48" i="1"/>
  <c r="AD48" i="1"/>
  <c r="AA48" i="1"/>
  <c r="AB48" i="1"/>
  <c r="AG48" i="1"/>
  <c r="Y48" i="1"/>
  <c r="AE57" i="22"/>
  <c r="AC57" i="22"/>
  <c r="AD57" i="22"/>
  <c r="AA57" i="22"/>
  <c r="AB57" i="22"/>
  <c r="AG57" i="22"/>
  <c r="AF57" i="22"/>
  <c r="Y57" i="22"/>
  <c r="AJ57" i="22" s="1"/>
  <c r="AB48" i="22"/>
  <c r="AF48" i="22"/>
  <c r="AE48" i="22"/>
  <c r="AC48" i="22"/>
  <c r="AA48" i="22"/>
  <c r="AD48" i="22"/>
  <c r="AG48" i="22"/>
  <c r="Y48" i="22"/>
  <c r="AJ48" i="22" s="1"/>
  <c r="AE76" i="23"/>
  <c r="AD76" i="23"/>
  <c r="AF76" i="23"/>
  <c r="AC76" i="23"/>
  <c r="AG76" i="23"/>
  <c r="AB76" i="23"/>
  <c r="AA76" i="23"/>
  <c r="Y76" i="23"/>
  <c r="AJ76" i="23" s="1"/>
  <c r="AE46" i="21"/>
  <c r="AB46" i="21"/>
  <c r="AF46" i="21"/>
  <c r="AD46" i="21"/>
  <c r="AA46" i="21"/>
  <c r="AC46" i="21"/>
  <c r="AG46" i="21"/>
  <c r="Y46" i="21"/>
  <c r="AJ46" i="21" s="1"/>
  <c r="AB70" i="23"/>
  <c r="AF70" i="23"/>
  <c r="AC70" i="23"/>
  <c r="AD70" i="23"/>
  <c r="AA70" i="23"/>
  <c r="AE70" i="23"/>
  <c r="AG70" i="23"/>
  <c r="Y70" i="23"/>
  <c r="AJ70" i="23" s="1"/>
  <c r="Y54" i="22"/>
  <c r="AJ54" i="22" s="1"/>
  <c r="AC54" i="22"/>
  <c r="AA54" i="22"/>
  <c r="AD54" i="22"/>
  <c r="AE54" i="22"/>
  <c r="AB54" i="22"/>
  <c r="AF54" i="22"/>
  <c r="AG54" i="22"/>
  <c r="AF79" i="21"/>
  <c r="AC79" i="21"/>
  <c r="AG79" i="21"/>
  <c r="AD79" i="21"/>
  <c r="AA79" i="21"/>
  <c r="AE79" i="21"/>
  <c r="AB79" i="21"/>
  <c r="Y79" i="21"/>
  <c r="AJ79" i="21" s="1"/>
  <c r="AD75" i="23"/>
  <c r="AB75" i="23"/>
  <c r="AE75" i="23"/>
  <c r="AF75" i="23"/>
  <c r="AC75" i="23"/>
  <c r="AG75" i="23"/>
  <c r="AA75" i="23"/>
  <c r="Y75" i="23"/>
  <c r="AJ75" i="23" s="1"/>
  <c r="AF61" i="1"/>
  <c r="AE61" i="1"/>
  <c r="AB61" i="1"/>
  <c r="AD61" i="1"/>
  <c r="AG61" i="1"/>
  <c r="AA61" i="1"/>
  <c r="AC61" i="1"/>
  <c r="Y61" i="1"/>
  <c r="Y63" i="22"/>
  <c r="AJ63" i="22" s="1"/>
  <c r="AB63" i="22"/>
  <c r="AC63" i="22"/>
  <c r="AD63" i="22"/>
  <c r="AA63" i="22"/>
  <c r="AG63" i="22"/>
  <c r="AE63" i="22"/>
  <c r="AF63" i="22"/>
  <c r="AD61" i="22"/>
  <c r="AC61" i="22"/>
  <c r="AF61" i="22"/>
  <c r="AG61" i="22"/>
  <c r="AA61" i="22"/>
  <c r="AE61" i="22"/>
  <c r="AB61" i="22"/>
  <c r="Y61" i="22"/>
  <c r="AJ61" i="22" s="1"/>
  <c r="Y68" i="21"/>
  <c r="AJ68" i="21" s="1"/>
  <c r="AD68" i="21"/>
  <c r="AC68" i="21"/>
  <c r="AA68" i="21"/>
  <c r="AB68" i="21"/>
  <c r="AG68" i="21"/>
  <c r="AE68" i="21"/>
  <c r="AF68" i="21"/>
  <c r="AA76" i="21"/>
  <c r="AC76" i="21"/>
  <c r="AF76" i="21"/>
  <c r="AE76" i="21"/>
  <c r="AD76" i="21"/>
  <c r="AB76" i="21"/>
  <c r="AG76" i="21"/>
  <c r="Y76" i="21"/>
  <c r="AJ76" i="21" s="1"/>
  <c r="AG64" i="21"/>
  <c r="AB64" i="21"/>
  <c r="AD64" i="21"/>
  <c r="AF64" i="21"/>
  <c r="AA64" i="21"/>
  <c r="AE64" i="21"/>
  <c r="AC64" i="21"/>
  <c r="Y64" i="21"/>
  <c r="AJ64" i="21" s="1"/>
  <c r="AD68" i="1"/>
  <c r="AE68" i="1"/>
  <c r="AG68" i="1"/>
  <c r="AC68" i="1"/>
  <c r="AF68" i="1"/>
  <c r="AB68" i="1"/>
  <c r="AA68" i="1"/>
  <c r="Y68" i="1"/>
  <c r="Y74" i="21"/>
  <c r="AJ74" i="21" s="1"/>
  <c r="AC74" i="21"/>
  <c r="AG74" i="21"/>
  <c r="AE74" i="21"/>
  <c r="AD74" i="21"/>
  <c r="AB74" i="21"/>
  <c r="AA74" i="21"/>
  <c r="AF74" i="21"/>
  <c r="AA41" i="22"/>
  <c r="AB41" i="22"/>
  <c r="AG41" i="22"/>
  <c r="AD41" i="22"/>
  <c r="AC41" i="22"/>
  <c r="AF41" i="22"/>
  <c r="AE41" i="22"/>
  <c r="Y41" i="22"/>
  <c r="AJ41" i="22" s="1"/>
  <c r="Y71" i="21"/>
  <c r="AJ71" i="21" s="1"/>
  <c r="AF71" i="21"/>
  <c r="AD71" i="21"/>
  <c r="AA71" i="21"/>
  <c r="AE71" i="21"/>
  <c r="AC71" i="21"/>
  <c r="AB71" i="21"/>
  <c r="AG71" i="21"/>
  <c r="Y55" i="22"/>
  <c r="AJ55" i="22" s="1"/>
  <c r="AB55" i="22"/>
  <c r="AG55" i="22"/>
  <c r="AE55" i="22"/>
  <c r="AA55" i="22"/>
  <c r="AF55" i="22"/>
  <c r="AC55" i="22"/>
  <c r="AD55" i="22"/>
  <c r="Y52" i="21"/>
  <c r="AJ52" i="21" s="1"/>
  <c r="AC52" i="21"/>
  <c r="AE52" i="21"/>
  <c r="AA52" i="21"/>
  <c r="AF52" i="21"/>
  <c r="AG52" i="21"/>
  <c r="AB52" i="21"/>
  <c r="AD52" i="21"/>
  <c r="Y71" i="23"/>
  <c r="AJ71" i="23" s="1"/>
  <c r="AE71" i="23"/>
  <c r="AA71" i="23"/>
  <c r="AB71" i="23"/>
  <c r="AG71" i="23"/>
  <c r="AF71" i="23"/>
  <c r="AC71" i="23"/>
  <c r="AD71" i="23"/>
  <c r="AE77" i="21"/>
  <c r="AA77" i="21"/>
  <c r="AG77" i="21"/>
  <c r="AC77" i="21"/>
  <c r="AF77" i="21"/>
  <c r="AD77" i="21"/>
  <c r="AB77" i="21"/>
  <c r="Y77" i="21"/>
  <c r="AJ77" i="21" s="1"/>
  <c r="Y60" i="23"/>
  <c r="AJ60" i="23" s="1"/>
  <c r="AG60" i="23"/>
  <c r="AE60" i="23"/>
  <c r="AC60" i="23"/>
  <c r="AF60" i="23"/>
  <c r="AB60" i="23"/>
  <c r="AD60" i="23"/>
  <c r="AA60" i="23"/>
  <c r="Y48" i="23"/>
  <c r="AJ48" i="23" s="1"/>
  <c r="AD48" i="23"/>
  <c r="AG48" i="23"/>
  <c r="AC48" i="23"/>
  <c r="AB48" i="23"/>
  <c r="AF48" i="23"/>
  <c r="AE48" i="23"/>
  <c r="AA48" i="23"/>
  <c r="Y75" i="22"/>
  <c r="AJ75" i="22" s="1"/>
  <c r="AC75" i="22"/>
  <c r="AB75" i="22"/>
  <c r="AG75" i="22"/>
  <c r="AA75" i="22"/>
  <c r="AE75" i="22"/>
  <c r="AD75" i="22"/>
  <c r="AF75" i="22"/>
  <c r="AD47" i="1"/>
  <c r="AA47" i="1"/>
  <c r="AF47" i="1"/>
  <c r="AE47" i="1"/>
  <c r="AB47" i="1"/>
  <c r="AC47" i="1"/>
  <c r="AG47" i="1"/>
  <c r="Y47" i="1"/>
  <c r="AF48" i="21"/>
  <c r="AC48" i="21"/>
  <c r="AE48" i="21"/>
  <c r="AG48" i="21"/>
  <c r="AB48" i="21"/>
  <c r="AA48" i="21"/>
  <c r="AD48" i="21"/>
  <c r="Y48" i="21"/>
  <c r="AJ48" i="21" s="1"/>
  <c r="Y65" i="21"/>
  <c r="AJ65" i="21" s="1"/>
  <c r="AA65" i="21"/>
  <c r="AG65" i="21"/>
  <c r="AB65" i="21"/>
  <c r="AD65" i="21"/>
  <c r="AE65" i="21"/>
  <c r="AC65" i="21"/>
  <c r="AF65" i="21"/>
  <c r="Y59" i="23"/>
  <c r="AJ59" i="23" s="1"/>
  <c r="AB59" i="23"/>
  <c r="AC59" i="23"/>
  <c r="AE59" i="23"/>
  <c r="AF59" i="23"/>
  <c r="AD59" i="23"/>
  <c r="AA59" i="23"/>
  <c r="AG59" i="23"/>
  <c r="Y55" i="21"/>
  <c r="AJ55" i="21" s="1"/>
  <c r="AC55" i="21"/>
  <c r="AD55" i="21"/>
  <c r="AE55" i="21"/>
  <c r="AA55" i="21"/>
  <c r="AF55" i="21"/>
  <c r="AB55" i="21"/>
  <c r="AG55" i="21"/>
  <c r="AA71" i="22"/>
  <c r="AG71" i="22"/>
  <c r="AD71" i="22"/>
  <c r="AC71" i="22"/>
  <c r="AF71" i="22"/>
  <c r="AB71" i="22"/>
  <c r="AE71" i="22"/>
  <c r="Y71" i="22"/>
  <c r="AJ71" i="22" s="1"/>
  <c r="AF61" i="21"/>
  <c r="AC61" i="21"/>
  <c r="AD61" i="21"/>
  <c r="AE61" i="21"/>
  <c r="AG61" i="21"/>
  <c r="AA61" i="21"/>
  <c r="AB61" i="21"/>
  <c r="Y61" i="21"/>
  <c r="AJ61" i="21" s="1"/>
  <c r="AA64" i="23"/>
  <c r="AG64" i="23"/>
  <c r="AC64" i="23"/>
  <c r="AF64" i="23"/>
  <c r="AD64" i="23"/>
  <c r="AE64" i="23"/>
  <c r="AB64" i="23"/>
  <c r="Y64" i="23"/>
  <c r="AJ64" i="23" s="1"/>
  <c r="Y70" i="1"/>
  <c r="AG70" i="1"/>
  <c r="AB70" i="1"/>
  <c r="AA70" i="1"/>
  <c r="AC70" i="1"/>
  <c r="AD70" i="1"/>
  <c r="AF70" i="1"/>
  <c r="AE70" i="1"/>
  <c r="AC50" i="22"/>
  <c r="AE50" i="22"/>
  <c r="AD50" i="22"/>
  <c r="AA50" i="22"/>
  <c r="AF50" i="22"/>
  <c r="AB50" i="22"/>
  <c r="AG50" i="22"/>
  <c r="Y50" i="22"/>
  <c r="AJ50" i="22" s="1"/>
  <c r="Y62" i="22"/>
  <c r="AJ62" i="22" s="1"/>
  <c r="AD62" i="22"/>
  <c r="AF62" i="22"/>
  <c r="AG62" i="22"/>
  <c r="AC62" i="22"/>
  <c r="AB62" i="22"/>
  <c r="AA62" i="22"/>
  <c r="AE62" i="22"/>
  <c r="Y35" i="22"/>
  <c r="AJ35" i="22" s="1"/>
  <c r="AA35" i="22"/>
  <c r="AG35" i="22"/>
  <c r="AB35" i="22"/>
  <c r="AD35" i="22"/>
  <c r="AE35" i="22"/>
  <c r="AF35" i="22"/>
  <c r="AC35" i="22"/>
  <c r="Y44" i="23"/>
  <c r="AJ44" i="23" s="1"/>
  <c r="AC44" i="23"/>
  <c r="AB44" i="23"/>
  <c r="AA44" i="23"/>
  <c r="AD44" i="23"/>
  <c r="AF44" i="23"/>
  <c r="AG44" i="23"/>
  <c r="AE44" i="23"/>
  <c r="Y62" i="1"/>
  <c r="AA62" i="1"/>
  <c r="AC62" i="1"/>
  <c r="AE62" i="1"/>
  <c r="AG62" i="1"/>
  <c r="AF62" i="1"/>
  <c r="AB62" i="1"/>
  <c r="AD62" i="1"/>
  <c r="Y72" i="22"/>
  <c r="AJ72" i="22" s="1"/>
  <c r="AG72" i="22"/>
  <c r="AB72" i="22"/>
  <c r="AA72" i="22"/>
  <c r="AD72" i="22"/>
  <c r="AE72" i="22"/>
  <c r="AC72" i="22"/>
  <c r="AF72" i="22"/>
  <c r="Y63" i="23"/>
  <c r="AJ63" i="23" s="1"/>
  <c r="AA63" i="23"/>
  <c r="AB63" i="23"/>
  <c r="AG63" i="23"/>
  <c r="AC63" i="23"/>
  <c r="AD63" i="23"/>
  <c r="AF63" i="23"/>
  <c r="AE63" i="23"/>
  <c r="Y74" i="1"/>
  <c r="AJ74" i="1" s="1"/>
  <c r="AE74" i="1"/>
  <c r="AC74" i="1"/>
  <c r="AB74" i="1"/>
  <c r="AG74" i="1"/>
  <c r="AA74" i="1"/>
  <c r="AF74" i="1"/>
  <c r="AD74" i="1"/>
  <c r="Y66" i="21"/>
  <c r="AJ66" i="21" s="1"/>
  <c r="AG66" i="21"/>
  <c r="AB66" i="21"/>
  <c r="AF66" i="21"/>
  <c r="AA66" i="21"/>
  <c r="AC66" i="21"/>
  <c r="AE66" i="21"/>
  <c r="AD66" i="21"/>
  <c r="AF38" i="22"/>
  <c r="AB38" i="22"/>
  <c r="AC38" i="22"/>
  <c r="AA38" i="22"/>
  <c r="AE38" i="22"/>
  <c r="AG38" i="22"/>
  <c r="AD38" i="22"/>
  <c r="Y38" i="22"/>
  <c r="AJ38" i="22" s="1"/>
  <c r="AD78" i="23"/>
  <c r="AE78" i="23"/>
  <c r="AC78" i="23"/>
  <c r="AF78" i="23"/>
  <c r="AG78" i="23"/>
  <c r="AA78" i="23"/>
  <c r="AB78" i="23"/>
  <c r="Y78" i="23"/>
  <c r="AJ78" i="23" s="1"/>
  <c r="AF53" i="21"/>
  <c r="AG53" i="21"/>
  <c r="AB53" i="21"/>
  <c r="AE53" i="21"/>
  <c r="AC53" i="21"/>
  <c r="AD53" i="21"/>
  <c r="AA53" i="21"/>
  <c r="Y53" i="21"/>
  <c r="AJ53" i="21" s="1"/>
  <c r="S48" i="12"/>
  <c r="P48" i="12"/>
  <c r="F48" i="12" s="1"/>
  <c r="D48" i="12" s="1"/>
  <c r="P13" i="12"/>
  <c r="F13" i="12" s="1"/>
  <c r="D13" i="12" s="1"/>
  <c r="S13" i="12"/>
  <c r="AI66" i="1"/>
  <c r="S51" i="12"/>
  <c r="P51" i="12"/>
  <c r="F51" i="12" s="1"/>
  <c r="D51" i="12" s="1"/>
  <c r="AI54" i="1"/>
  <c r="P50" i="12"/>
  <c r="F50" i="12" s="1"/>
  <c r="D50" i="12" s="1"/>
  <c r="S50" i="12"/>
  <c r="AI53" i="1"/>
  <c r="AI71" i="1"/>
  <c r="AI49" i="1"/>
  <c r="AI58" i="1"/>
  <c r="S4" i="12"/>
  <c r="P4" i="12"/>
  <c r="F4" i="12" s="1"/>
  <c r="D4" i="12" s="1"/>
  <c r="P42" i="12"/>
  <c r="F42" i="12" s="1"/>
  <c r="D42" i="12" s="1"/>
  <c r="N19" i="12" s="1"/>
  <c r="S42" i="12"/>
  <c r="P46" i="12"/>
  <c r="F46" i="12" s="1"/>
  <c r="D46" i="12" s="1"/>
  <c r="S46" i="12"/>
  <c r="S16" i="12"/>
  <c r="P16" i="12"/>
  <c r="F16" i="12" s="1"/>
  <c r="D16" i="12" s="1"/>
  <c r="S64" i="12"/>
  <c r="P64" i="12"/>
  <c r="F64" i="12" s="1"/>
  <c r="D64" i="12" s="1"/>
  <c r="AI50" i="1"/>
  <c r="S33" i="12"/>
  <c r="P33" i="12"/>
  <c r="F33" i="12" s="1"/>
  <c r="D33" i="12" s="1"/>
  <c r="P41" i="12"/>
  <c r="F41" i="12" s="1"/>
  <c r="D41" i="12" s="1"/>
  <c r="S41" i="12"/>
  <c r="P58" i="12"/>
  <c r="F58" i="12" s="1"/>
  <c r="D58" i="12" s="1"/>
  <c r="S58" i="12"/>
  <c r="AI64" i="1"/>
  <c r="AI65" i="1"/>
  <c r="S10" i="12"/>
  <c r="P10" i="12"/>
  <c r="F10" i="12" s="1"/>
  <c r="D10" i="12" s="1"/>
  <c r="P44" i="12"/>
  <c r="F44" i="12" s="1"/>
  <c r="D44" i="12" s="1"/>
  <c r="S44" i="12"/>
  <c r="P60" i="12"/>
  <c r="F60" i="12" s="1"/>
  <c r="D60" i="12" s="1"/>
  <c r="S60" i="12"/>
  <c r="S38" i="12"/>
  <c r="P38" i="12"/>
  <c r="F38" i="12" s="1"/>
  <c r="D38" i="12" s="1"/>
  <c r="S8" i="12"/>
  <c r="P8" i="12"/>
  <c r="F8" i="12" s="1"/>
  <c r="D8" i="12" s="1"/>
  <c r="S5" i="12"/>
  <c r="P5" i="12"/>
  <c r="F5" i="12" s="1"/>
  <c r="D5" i="12" s="1"/>
  <c r="AI67" i="1"/>
  <c r="AI56" i="1"/>
  <c r="AI57" i="1"/>
  <c r="AI63" i="1"/>
  <c r="P7" i="12"/>
  <c r="F7" i="12" s="1"/>
  <c r="D7" i="12" s="1"/>
  <c r="S7" i="12"/>
  <c r="P18" i="12"/>
  <c r="F18" i="12" s="1"/>
  <c r="D18" i="12" s="1"/>
  <c r="S18" i="12"/>
  <c r="S9" i="12"/>
  <c r="P9" i="12"/>
  <c r="F9" i="12" s="1"/>
  <c r="D9" i="12" s="1"/>
  <c r="P15" i="12"/>
  <c r="F15" i="12" s="1"/>
  <c r="D15" i="12" s="1"/>
  <c r="S15" i="12"/>
  <c r="P35" i="12"/>
  <c r="F35" i="12" s="1"/>
  <c r="D35" i="12" s="1"/>
  <c r="S35" i="12"/>
  <c r="AI55" i="1"/>
  <c r="S39" i="12"/>
  <c r="P39" i="12"/>
  <c r="F39" i="12" s="1"/>
  <c r="D39" i="12" s="1"/>
  <c r="P34" i="12"/>
  <c r="F34" i="12" s="1"/>
  <c r="D34" i="12" s="1"/>
  <c r="S34" i="12"/>
  <c r="AI60" i="1"/>
  <c r="P59" i="12"/>
  <c r="F59" i="12" s="1"/>
  <c r="D59" i="12" s="1"/>
  <c r="S59" i="12"/>
  <c r="S63" i="12"/>
  <c r="P63" i="12"/>
  <c r="F63" i="12" s="1"/>
  <c r="D63" i="12" s="1"/>
  <c r="S49" i="12"/>
  <c r="P49" i="12"/>
  <c r="F49" i="12" s="1"/>
  <c r="D49" i="12" s="1"/>
  <c r="S62" i="12"/>
  <c r="P62" i="12"/>
  <c r="F62" i="12" s="1"/>
  <c r="D62" i="12" s="1"/>
  <c r="AI46" i="1"/>
  <c r="S55" i="12"/>
  <c r="P55" i="12"/>
  <c r="F55" i="12" s="1"/>
  <c r="D55" i="12" s="1"/>
  <c r="AI69" i="1"/>
  <c r="AI52" i="1"/>
  <c r="S54" i="12"/>
  <c r="P54" i="12"/>
  <c r="F54" i="12" s="1"/>
  <c r="D54" i="12" s="1"/>
  <c r="AI51" i="1"/>
  <c r="AJ51" i="1" s="1"/>
  <c r="P3" i="12"/>
  <c r="F3" i="12" s="1"/>
  <c r="D3" i="12" s="1"/>
  <c r="S3" i="12"/>
  <c r="AI59" i="1"/>
  <c r="P57" i="12"/>
  <c r="F57" i="12" s="1"/>
  <c r="D57" i="12" s="1"/>
  <c r="S57" i="12"/>
  <c r="AI48" i="1"/>
  <c r="P6" i="12"/>
  <c r="F6" i="12" s="1"/>
  <c r="D6" i="12" s="1"/>
  <c r="S6" i="12"/>
  <c r="P53" i="12"/>
  <c r="F53" i="12" s="1"/>
  <c r="D53" i="12" s="1"/>
  <c r="S53" i="12"/>
  <c r="AI61" i="1"/>
  <c r="S12" i="12"/>
  <c r="P12" i="12"/>
  <c r="F12" i="12" s="1"/>
  <c r="D12" i="12" s="1"/>
  <c r="S40" i="12"/>
  <c r="P40" i="12"/>
  <c r="F40" i="12" s="1"/>
  <c r="D40" i="12" s="1"/>
  <c r="AI68" i="1"/>
  <c r="S45" i="12"/>
  <c r="P45" i="12"/>
  <c r="F45" i="12" s="1"/>
  <c r="D45" i="12" s="1"/>
  <c r="S52" i="12"/>
  <c r="P52" i="12"/>
  <c r="F52" i="12" s="1"/>
  <c r="D52" i="12" s="1"/>
  <c r="AI47" i="1"/>
  <c r="P37" i="12"/>
  <c r="F37" i="12" s="1"/>
  <c r="D37" i="12" s="1"/>
  <c r="S37" i="12"/>
  <c r="P11" i="12"/>
  <c r="F11" i="12" s="1"/>
  <c r="D11" i="12" s="1"/>
  <c r="S11" i="12"/>
  <c r="AI70" i="1"/>
  <c r="S19" i="12"/>
  <c r="P19" i="12"/>
  <c r="F19" i="12" s="1"/>
  <c r="D19" i="12" s="1"/>
  <c r="S14" i="12"/>
  <c r="P14" i="12"/>
  <c r="F14" i="12" s="1"/>
  <c r="D14" i="12" s="1"/>
  <c r="S47" i="12"/>
  <c r="P47" i="12"/>
  <c r="F47" i="12" s="1"/>
  <c r="D47" i="12" s="1"/>
  <c r="S36" i="12"/>
  <c r="P36" i="12"/>
  <c r="F36" i="12" s="1"/>
  <c r="D36" i="12" s="1"/>
  <c r="AI62" i="1"/>
  <c r="P17" i="12"/>
  <c r="F17" i="12" s="1"/>
  <c r="D17" i="12" s="1"/>
  <c r="S17" i="12"/>
  <c r="S56" i="12"/>
  <c r="P56" i="12"/>
  <c r="F56" i="12" s="1"/>
  <c r="D56" i="12" s="1"/>
  <c r="S61" i="12"/>
  <c r="P61" i="12"/>
  <c r="F61" i="12" s="1"/>
  <c r="D61" i="12" s="1"/>
  <c r="Q63" i="1"/>
  <c r="Q69" i="21"/>
  <c r="R68" i="22"/>
  <c r="R76" i="22"/>
  <c r="R80" i="22"/>
  <c r="R53" i="22"/>
  <c r="Q48" i="21"/>
  <c r="R56" i="1"/>
  <c r="Q56" i="1"/>
  <c r="Q55" i="21"/>
  <c r="Q77" i="23"/>
  <c r="R54" i="1"/>
  <c r="Q62" i="1"/>
  <c r="R80" i="1"/>
  <c r="R72" i="21"/>
  <c r="R38" i="22"/>
  <c r="Q35" i="22"/>
  <c r="Q32" i="22"/>
  <c r="R54" i="22"/>
  <c r="Q71" i="23"/>
  <c r="Q33" i="22"/>
  <c r="Q54" i="21"/>
  <c r="R52" i="22"/>
  <c r="Q56" i="22"/>
  <c r="R33" i="22"/>
  <c r="Q66" i="1"/>
  <c r="R71" i="23"/>
  <c r="R57" i="21"/>
  <c r="Q64" i="1"/>
  <c r="R40" i="22"/>
  <c r="Q56" i="21"/>
  <c r="R79" i="22"/>
  <c r="R50" i="22"/>
  <c r="R73" i="23"/>
  <c r="R49" i="1"/>
  <c r="Q44" i="23"/>
  <c r="Q75" i="23"/>
  <c r="R57" i="23"/>
  <c r="Q28" i="22"/>
  <c r="Q31" i="22"/>
  <c r="R48" i="21"/>
  <c r="R66" i="21"/>
  <c r="Q57" i="21"/>
  <c r="Q61" i="23"/>
  <c r="Q42" i="23"/>
  <c r="R46" i="22"/>
  <c r="R73" i="1"/>
  <c r="Q47" i="22"/>
  <c r="R64" i="23"/>
  <c r="Q67" i="23"/>
  <c r="Q79" i="21"/>
  <c r="Q71" i="21"/>
  <c r="Q60" i="1"/>
  <c r="R55" i="22"/>
  <c r="R70" i="23"/>
  <c r="Q52" i="1"/>
  <c r="Q49" i="23"/>
  <c r="Q53" i="21"/>
  <c r="R46" i="21"/>
  <c r="Q57" i="1"/>
  <c r="Q69" i="23"/>
  <c r="Q70" i="23"/>
  <c r="R58" i="23"/>
  <c r="R66" i="23"/>
  <c r="Q73" i="23"/>
  <c r="R71" i="1"/>
  <c r="Q66" i="23"/>
  <c r="Q47" i="21"/>
  <c r="Q49" i="21"/>
  <c r="R69" i="23"/>
  <c r="Q73" i="21"/>
  <c r="Q54" i="22"/>
  <c r="Q79" i="23"/>
  <c r="R40" i="23"/>
  <c r="R72" i="1"/>
  <c r="R49" i="21"/>
  <c r="R58" i="1"/>
  <c r="R41" i="23"/>
  <c r="Q77" i="21"/>
  <c r="R57" i="22"/>
  <c r="Q63" i="22"/>
  <c r="R46" i="23"/>
  <c r="R77" i="23"/>
  <c r="R36" i="22"/>
  <c r="Q78" i="22"/>
  <c r="R61" i="1"/>
  <c r="R76" i="23"/>
  <c r="Q75" i="22"/>
  <c r="Q55" i="23"/>
  <c r="R49" i="22"/>
  <c r="Q69" i="22"/>
  <c r="R30" i="22"/>
  <c r="Q46" i="1"/>
  <c r="Q79" i="1"/>
  <c r="Q58" i="21"/>
  <c r="R47" i="1"/>
  <c r="Q58" i="23"/>
  <c r="R62" i="23"/>
  <c r="Q61" i="1"/>
  <c r="R52" i="21"/>
  <c r="R52" i="1"/>
  <c r="Q68" i="23"/>
  <c r="R52" i="23"/>
  <c r="R43" i="21"/>
  <c r="Q43" i="23"/>
  <c r="Q65" i="21"/>
  <c r="R59" i="23"/>
  <c r="R79" i="1"/>
  <c r="R28" i="22"/>
  <c r="R60" i="21"/>
  <c r="Q41" i="22"/>
  <c r="R68" i="23"/>
  <c r="Q29" i="22"/>
  <c r="Q39" i="22"/>
  <c r="R55" i="21"/>
  <c r="Q44" i="21"/>
  <c r="Q48" i="22"/>
  <c r="Q66" i="21"/>
  <c r="R80" i="23"/>
  <c r="Q47" i="23"/>
  <c r="R58" i="22"/>
  <c r="Q59" i="22"/>
  <c r="Q80" i="1"/>
  <c r="Q60" i="21"/>
  <c r="Q80" i="21"/>
  <c r="R68" i="21"/>
  <c r="R70" i="1"/>
  <c r="R43" i="23"/>
  <c r="Q44" i="22"/>
  <c r="R53" i="1"/>
  <c r="R74" i="23"/>
  <c r="R64" i="21"/>
  <c r="Q68" i="21"/>
  <c r="R75" i="21"/>
  <c r="R64" i="22"/>
  <c r="Q78" i="1"/>
  <c r="R62" i="22"/>
  <c r="Q45" i="23"/>
  <c r="Q73" i="1"/>
  <c r="Q60" i="23"/>
  <c r="Q59" i="1"/>
  <c r="Q65" i="1"/>
  <c r="Q77" i="22"/>
  <c r="R58" i="21"/>
  <c r="R61" i="21"/>
  <c r="R53" i="21"/>
  <c r="R78" i="22"/>
  <c r="Q79" i="22"/>
  <c r="Q48" i="23"/>
  <c r="R46" i="1"/>
  <c r="Q57" i="23"/>
  <c r="R45" i="23"/>
  <c r="R54" i="23"/>
  <c r="R70" i="21"/>
  <c r="R77" i="1"/>
  <c r="Q59" i="21"/>
  <c r="Q36" i="22"/>
  <c r="R45" i="21"/>
  <c r="R50" i="23"/>
  <c r="R68" i="1"/>
  <c r="Q53" i="23"/>
  <c r="R64" i="1"/>
  <c r="R57" i="1"/>
  <c r="R72" i="23"/>
  <c r="Q68" i="22"/>
  <c r="R75" i="23"/>
  <c r="R48" i="23"/>
  <c r="Q62" i="21"/>
  <c r="Q48" i="1"/>
  <c r="Q72" i="1"/>
  <c r="R60" i="22"/>
  <c r="R41" i="22"/>
  <c r="Q40" i="22"/>
  <c r="R71" i="21"/>
  <c r="Q38" i="22"/>
  <c r="Q66" i="22"/>
  <c r="R59" i="21"/>
  <c r="Q67" i="1"/>
  <c r="R29" i="22"/>
  <c r="Q62" i="23"/>
  <c r="R56" i="23"/>
  <c r="R44" i="21"/>
  <c r="Q77" i="1"/>
  <c r="Q76" i="22"/>
  <c r="R80" i="21"/>
  <c r="Q67" i="21"/>
  <c r="R79" i="21"/>
  <c r="Q64" i="21"/>
  <c r="R65" i="21"/>
  <c r="Q56" i="23"/>
  <c r="Q68" i="1"/>
  <c r="Q50" i="21"/>
  <c r="R66" i="1"/>
  <c r="Q45" i="21"/>
  <c r="Q70" i="1"/>
  <c r="R79" i="23"/>
  <c r="R50" i="21"/>
  <c r="Q41" i="23"/>
  <c r="Q55" i="1"/>
  <c r="Q54" i="1"/>
  <c r="Q75" i="21"/>
  <c r="Q72" i="21"/>
  <c r="R67" i="22"/>
  <c r="Q69" i="1"/>
  <c r="R44" i="23"/>
  <c r="Q74" i="1"/>
  <c r="Q53" i="1"/>
  <c r="R69" i="22"/>
  <c r="Q50" i="23"/>
  <c r="R73" i="22"/>
  <c r="Q58" i="1"/>
  <c r="Q50" i="22"/>
  <c r="Q63" i="21"/>
  <c r="R78" i="1"/>
  <c r="Q74" i="22"/>
  <c r="R76" i="1"/>
  <c r="Q51" i="21"/>
  <c r="R63" i="1"/>
  <c r="Q46" i="22"/>
  <c r="Q71" i="1"/>
  <c r="Q52" i="22"/>
  <c r="Q76" i="23"/>
  <c r="Q46" i="23"/>
  <c r="Q75" i="1"/>
  <c r="R67" i="1"/>
  <c r="R39" i="22"/>
  <c r="Q49" i="22"/>
  <c r="R51" i="22"/>
  <c r="Q40" i="23"/>
  <c r="Q43" i="22"/>
  <c r="R61" i="23"/>
  <c r="R78" i="21"/>
  <c r="R44" i="22"/>
  <c r="Q61" i="21"/>
  <c r="R59" i="22"/>
  <c r="Q49" i="1"/>
  <c r="R77" i="22"/>
  <c r="R70" i="22"/>
  <c r="R69" i="21"/>
  <c r="Q74" i="23"/>
  <c r="R60" i="1"/>
  <c r="Q34" i="22"/>
  <c r="R51" i="23"/>
  <c r="Q76" i="21"/>
  <c r="R55" i="1"/>
  <c r="R61" i="22"/>
  <c r="R55" i="23"/>
  <c r="R37" i="22"/>
  <c r="R65" i="22"/>
  <c r="R71" i="22"/>
  <c r="R65" i="23"/>
  <c r="Q53" i="22"/>
  <c r="R48" i="22"/>
  <c r="Q78" i="21"/>
  <c r="R32" i="22"/>
  <c r="Q78" i="23"/>
  <c r="Q71" i="22"/>
  <c r="R62" i="21"/>
  <c r="Q80" i="23"/>
  <c r="R75" i="1"/>
  <c r="Q37" i="22"/>
  <c r="R51" i="1"/>
  <c r="R43" i="22"/>
  <c r="Q51" i="23"/>
  <c r="Q70" i="21"/>
  <c r="R75" i="22"/>
  <c r="R49" i="23"/>
  <c r="Q47" i="1"/>
  <c r="R63" i="22"/>
  <c r="R62" i="1"/>
  <c r="Q42" i="22"/>
  <c r="Q51" i="22"/>
  <c r="R42" i="23"/>
  <c r="R63" i="23"/>
  <c r="R67" i="21"/>
  <c r="Q63" i="23"/>
  <c r="R53" i="23"/>
  <c r="Q51" i="1"/>
  <c r="R48" i="1"/>
  <c r="R73" i="21"/>
  <c r="Q64" i="22"/>
  <c r="R59" i="1"/>
  <c r="R65" i="1"/>
  <c r="Q57" i="22"/>
  <c r="Q72" i="23"/>
  <c r="Q45" i="22"/>
  <c r="R60" i="23"/>
  <c r="R78" i="23"/>
  <c r="Q46" i="21"/>
  <c r="Q76" i="1"/>
  <c r="R51" i="21"/>
  <c r="R67" i="23"/>
  <c r="Q62" i="22"/>
  <c r="Q52" i="21"/>
  <c r="R54" i="21"/>
  <c r="Q73" i="22"/>
  <c r="Q60" i="22"/>
  <c r="R74" i="21"/>
  <c r="R35" i="22"/>
  <c r="Q58" i="22"/>
  <c r="Q61" i="22"/>
  <c r="Q59" i="23"/>
  <c r="Q64" i="23"/>
  <c r="R47" i="21"/>
  <c r="Q67" i="22"/>
  <c r="Q52" i="23"/>
  <c r="Q50" i="1"/>
  <c r="Q54" i="23"/>
  <c r="Q80" i="22"/>
  <c r="R77" i="21"/>
  <c r="Q74" i="21"/>
  <c r="R72" i="22"/>
  <c r="R56" i="21"/>
  <c r="R74" i="1"/>
  <c r="R47" i="22"/>
  <c r="R56" i="22"/>
  <c r="R69" i="1"/>
  <c r="Q65" i="23"/>
  <c r="R45" i="22"/>
  <c r="R34" i="22"/>
  <c r="R31" i="22"/>
  <c r="Q65" i="22"/>
  <c r="Q70" i="22"/>
  <c r="Q30" i="22"/>
  <c r="Q55" i="22"/>
  <c r="Q72" i="22"/>
  <c r="R63" i="21"/>
  <c r="R66" i="22"/>
  <c r="Q43" i="21"/>
  <c r="R42" i="22"/>
  <c r="R76" i="21"/>
  <c r="R74" i="22"/>
  <c r="R47" i="23"/>
  <c r="R50" i="1"/>
  <c r="R10" i="23"/>
  <c r="R13" i="21"/>
  <c r="AI24" i="1"/>
  <c r="Q22" i="23"/>
  <c r="Q12" i="23"/>
  <c r="R30" i="23"/>
  <c r="R18" i="23"/>
  <c r="Q27" i="21"/>
  <c r="Q10" i="21"/>
  <c r="R12" i="23"/>
  <c r="Q40" i="1"/>
  <c r="AI9" i="1"/>
  <c r="Q6" i="23"/>
  <c r="Q34" i="21"/>
  <c r="R41" i="1"/>
  <c r="Q18" i="21"/>
  <c r="R17" i="1"/>
  <c r="AI35" i="1"/>
  <c r="R38" i="21"/>
  <c r="R7" i="23"/>
  <c r="Q22" i="1"/>
  <c r="Q44" i="1"/>
  <c r="R38" i="23"/>
  <c r="R6" i="1"/>
  <c r="Q20" i="23"/>
  <c r="P12" i="23"/>
  <c r="R15" i="22"/>
  <c r="R8" i="22"/>
  <c r="Q9" i="1"/>
  <c r="R35" i="21"/>
  <c r="R17" i="23"/>
  <c r="R19" i="1"/>
  <c r="R27" i="23"/>
  <c r="Q11" i="1"/>
  <c r="R23" i="1"/>
  <c r="Q41" i="21"/>
  <c r="Q27" i="23"/>
  <c r="R13" i="1"/>
  <c r="R20" i="22"/>
  <c r="R25" i="22"/>
  <c r="R9" i="1"/>
  <c r="R26" i="22"/>
  <c r="Q13" i="23"/>
  <c r="R22" i="23"/>
  <c r="Q7" i="23"/>
  <c r="Q15" i="23"/>
  <c r="Q30" i="21"/>
  <c r="R28" i="23"/>
  <c r="R24" i="1"/>
  <c r="R32" i="21"/>
  <c r="Q10" i="23"/>
  <c r="Q13" i="22"/>
  <c r="Q25" i="23"/>
  <c r="R23" i="22"/>
  <c r="AI42" i="1"/>
  <c r="Q23" i="21"/>
  <c r="Q14" i="23"/>
  <c r="Q35" i="21"/>
  <c r="Q33" i="1"/>
  <c r="R42" i="21"/>
  <c r="R25" i="21"/>
  <c r="R40" i="1"/>
  <c r="R15" i="21"/>
  <c r="R26" i="23"/>
  <c r="R31" i="23"/>
  <c r="Q16" i="21"/>
  <c r="R9" i="22"/>
  <c r="Q37" i="21"/>
  <c r="R28" i="21"/>
  <c r="R19" i="22"/>
  <c r="Q31" i="21"/>
  <c r="Q20" i="22"/>
  <c r="AI29" i="1"/>
  <c r="Q42" i="21"/>
  <c r="R36" i="21"/>
  <c r="Q20" i="1"/>
  <c r="AI27" i="1"/>
  <c r="R20" i="1"/>
  <c r="R14" i="22"/>
  <c r="Q8" i="21"/>
  <c r="Q24" i="21"/>
  <c r="Q22" i="21"/>
  <c r="R31" i="21"/>
  <c r="AI8" i="1"/>
  <c r="R12" i="21"/>
  <c r="R21" i="22"/>
  <c r="R41" i="21"/>
  <c r="Q35" i="23"/>
  <c r="R11" i="1"/>
  <c r="Q8" i="23"/>
  <c r="Q16" i="23"/>
  <c r="Q28" i="21"/>
  <c r="Q9" i="23"/>
  <c r="Q31" i="1"/>
  <c r="Q6" i="22"/>
  <c r="AI36" i="1"/>
  <c r="R33" i="21"/>
  <c r="Q36" i="23"/>
  <c r="AI33" i="1"/>
  <c r="R6" i="21"/>
  <c r="R37" i="23"/>
  <c r="R32" i="23"/>
  <c r="Q25" i="22"/>
  <c r="AI14" i="1"/>
  <c r="R18" i="1"/>
  <c r="R11" i="22"/>
  <c r="R28" i="1"/>
  <c r="Q6" i="21"/>
  <c r="P6" i="21" s="1"/>
  <c r="Q37" i="23"/>
  <c r="Q21" i="1"/>
  <c r="Q38" i="21"/>
  <c r="Q18" i="23"/>
  <c r="Q18" i="1"/>
  <c r="AI21" i="1"/>
  <c r="R22" i="1"/>
  <c r="Q34" i="1"/>
  <c r="Q15" i="1"/>
  <c r="Q26" i="23"/>
  <c r="R15" i="23"/>
  <c r="R11" i="23"/>
  <c r="R15" i="1"/>
  <c r="Q8" i="22"/>
  <c r="Q27" i="22"/>
  <c r="P27" i="22" s="1"/>
  <c r="AI15" i="1"/>
  <c r="AI20" i="1"/>
  <c r="R22" i="21"/>
  <c r="R43" i="1"/>
  <c r="Q28" i="1"/>
  <c r="R23" i="21"/>
  <c r="Q17" i="21"/>
  <c r="P17" i="21" s="1"/>
  <c r="Q19" i="23"/>
  <c r="Q21" i="23"/>
  <c r="P21" i="23" s="1"/>
  <c r="R8" i="1"/>
  <c r="R24" i="21"/>
  <c r="R29" i="23"/>
  <c r="R23" i="23"/>
  <c r="AI39" i="1"/>
  <c r="Q32" i="21"/>
  <c r="Q39" i="1"/>
  <c r="R19" i="23"/>
  <c r="R6" i="22"/>
  <c r="R21" i="23"/>
  <c r="AI6" i="1"/>
  <c r="R30" i="1"/>
  <c r="R16" i="22"/>
  <c r="Q9" i="22"/>
  <c r="R39" i="1"/>
  <c r="R10" i="21"/>
  <c r="R12" i="1"/>
  <c r="R39" i="23"/>
  <c r="Q16" i="22"/>
  <c r="Q19" i="21"/>
  <c r="R36" i="1"/>
  <c r="Q7" i="1"/>
  <c r="P7" i="1" s="1"/>
  <c r="Q42" i="1"/>
  <c r="R12" i="22"/>
  <c r="Q13" i="21"/>
  <c r="Q20" i="21"/>
  <c r="P20" i="21" s="1"/>
  <c r="R17" i="21"/>
  <c r="R6" i="23"/>
  <c r="R27" i="21"/>
  <c r="Q45" i="1"/>
  <c r="P45" i="1" s="1"/>
  <c r="Q26" i="22"/>
  <c r="P26" i="22" s="1"/>
  <c r="P22" i="23"/>
  <c r="Q27" i="1"/>
  <c r="Q17" i="23"/>
  <c r="R19" i="21"/>
  <c r="AI44" i="1"/>
  <c r="R24" i="22"/>
  <c r="Q14" i="21"/>
  <c r="R26" i="21"/>
  <c r="Q10" i="22"/>
  <c r="R20" i="23"/>
  <c r="R32" i="1"/>
  <c r="Q7" i="22"/>
  <c r="R33" i="1"/>
  <c r="Q8" i="1"/>
  <c r="Q22" i="22"/>
  <c r="R25" i="1"/>
  <c r="Q37" i="1"/>
  <c r="R25" i="23"/>
  <c r="AI12" i="1"/>
  <c r="AI31" i="1"/>
  <c r="AI13" i="1"/>
  <c r="Z6" i="23"/>
  <c r="AI32" i="1"/>
  <c r="R37" i="1"/>
  <c r="AI17" i="1"/>
  <c r="Q29" i="21"/>
  <c r="P29" i="21" s="1"/>
  <c r="R27" i="22"/>
  <c r="Q10" i="1"/>
  <c r="Q36" i="1"/>
  <c r="AI22" i="1"/>
  <c r="AI7" i="1"/>
  <c r="AI37" i="1"/>
  <c r="P7" i="23"/>
  <c r="AI25" i="1"/>
  <c r="Q12" i="21"/>
  <c r="P12" i="21" s="1"/>
  <c r="R7" i="22"/>
  <c r="R22" i="22"/>
  <c r="Q11" i="22"/>
  <c r="Q21" i="21"/>
  <c r="R13" i="23"/>
  <c r="R7" i="21"/>
  <c r="P21" i="21"/>
  <c r="AI40" i="1"/>
  <c r="P27" i="21"/>
  <c r="AI23" i="1"/>
  <c r="R18" i="22"/>
  <c r="Q30" i="1"/>
  <c r="P30" i="1" s="1"/>
  <c r="R39" i="21"/>
  <c r="Q21" i="22"/>
  <c r="P21" i="22" s="1"/>
  <c r="Q23" i="1"/>
  <c r="Q17" i="22"/>
  <c r="R21" i="1"/>
  <c r="Q26" i="1"/>
  <c r="Q18" i="22"/>
  <c r="P18" i="22" s="1"/>
  <c r="Q33" i="21"/>
  <c r="P23" i="1"/>
  <c r="P11" i="22"/>
  <c r="R8" i="21"/>
  <c r="AI26" i="1"/>
  <c r="R35" i="23"/>
  <c r="Q12" i="22"/>
  <c r="P12" i="22" s="1"/>
  <c r="Q29" i="1"/>
  <c r="R34" i="23"/>
  <c r="R34" i="1"/>
  <c r="R13" i="22"/>
  <c r="Q34" i="23"/>
  <c r="Q28" i="23"/>
  <c r="R8" i="23"/>
  <c r="Q14" i="1"/>
  <c r="Q6" i="1"/>
  <c r="Q39" i="21"/>
  <c r="R9" i="21"/>
  <c r="R18" i="21"/>
  <c r="AI28" i="1"/>
  <c r="R10" i="22"/>
  <c r="Q26" i="21"/>
  <c r="Q33" i="23"/>
  <c r="Q12" i="1"/>
  <c r="Q39" i="23"/>
  <c r="R10" i="1"/>
  <c r="R45" i="1"/>
  <c r="P18" i="23"/>
  <c r="P34" i="23"/>
  <c r="R26" i="1"/>
  <c r="R35" i="1"/>
  <c r="AI11" i="1"/>
  <c r="R16" i="23"/>
  <c r="Q31" i="23"/>
  <c r="P31" i="23" s="1"/>
  <c r="AI19" i="1"/>
  <c r="P13" i="21"/>
  <c r="R34" i="21"/>
  <c r="R20" i="21"/>
  <c r="R14" i="21"/>
  <c r="R16" i="1"/>
  <c r="Q32" i="23"/>
  <c r="AI16" i="1"/>
  <c r="Q13" i="1"/>
  <c r="R44" i="1"/>
  <c r="R11" i="21"/>
  <c r="Q29" i="23"/>
  <c r="R7" i="1"/>
  <c r="AI10" i="1"/>
  <c r="Q43" i="1"/>
  <c r="R21" i="21"/>
  <c r="Q15" i="21"/>
  <c r="Q24" i="1"/>
  <c r="Q24" i="23"/>
  <c r="P38" i="21"/>
  <c r="Q38" i="23"/>
  <c r="AI45" i="1"/>
  <c r="P18" i="21"/>
  <c r="Q17" i="1"/>
  <c r="P17" i="1" s="1"/>
  <c r="Q19" i="22"/>
  <c r="R30" i="21"/>
  <c r="Q25" i="1"/>
  <c r="Q36" i="21"/>
  <c r="Q38" i="1"/>
  <c r="P38" i="1" s="1"/>
  <c r="R27" i="1"/>
  <c r="Q32" i="1"/>
  <c r="R37" i="21"/>
  <c r="AI30" i="1"/>
  <c r="P8" i="22"/>
  <c r="AI18" i="1"/>
  <c r="AI38" i="1"/>
  <c r="Q14" i="22"/>
  <c r="P14" i="22" s="1"/>
  <c r="AI43" i="1"/>
  <c r="R31" i="1"/>
  <c r="P38" i="23"/>
  <c r="Q24" i="22"/>
  <c r="Q7" i="21"/>
  <c r="P7" i="21" s="1"/>
  <c r="Q19" i="1"/>
  <c r="Q16" i="1"/>
  <c r="P16" i="1" s="1"/>
  <c r="Q9" i="21"/>
  <c r="P9" i="21" s="1"/>
  <c r="Q15" i="22"/>
  <c r="P15" i="22" s="1"/>
  <c r="P23" i="21"/>
  <c r="R36" i="23"/>
  <c r="R29" i="21"/>
  <c r="Q30" i="23"/>
  <c r="P30" i="23" s="1"/>
  <c r="Q41" i="1"/>
  <c r="P28" i="23"/>
  <c r="Q11" i="23"/>
  <c r="R14" i="23"/>
  <c r="R16" i="21"/>
  <c r="R42" i="1"/>
  <c r="R9" i="23"/>
  <c r="AI41" i="1"/>
  <c r="Q25" i="21"/>
  <c r="R24" i="23"/>
  <c r="R38" i="1"/>
  <c r="Q11" i="21"/>
  <c r="Q23" i="22"/>
  <c r="Q23" i="23"/>
  <c r="R17" i="22"/>
  <c r="Q40" i="21"/>
  <c r="R14" i="1"/>
  <c r="R33" i="23"/>
  <c r="R40" i="21"/>
  <c r="Q35" i="1"/>
  <c r="P16" i="22"/>
  <c r="AI34" i="1"/>
  <c r="R29" i="1"/>
  <c r="P10" i="21"/>
  <c r="R26" i="12" l="1"/>
  <c r="P26" i="12" s="1"/>
  <c r="F26" i="12" s="1"/>
  <c r="D26" i="12" s="1"/>
  <c r="R24" i="12"/>
  <c r="P24" i="12" s="1"/>
  <c r="F24" i="12" s="1"/>
  <c r="D24" i="12" s="1"/>
  <c r="R31" i="12"/>
  <c r="P31" i="12" s="1"/>
  <c r="F31" i="12" s="1"/>
  <c r="D31" i="12" s="1"/>
  <c r="R25" i="12"/>
  <c r="S25" i="12" s="1"/>
  <c r="R21" i="12"/>
  <c r="S21" i="12" s="1"/>
  <c r="AJ48" i="1"/>
  <c r="AJ56" i="1"/>
  <c r="AJ62" i="1"/>
  <c r="AJ59" i="1"/>
  <c r="AJ61" i="1"/>
  <c r="R27" i="12"/>
  <c r="S27" i="12" s="1"/>
  <c r="AJ49" i="1"/>
  <c r="AJ71" i="1"/>
  <c r="R23" i="12"/>
  <c r="P23" i="12" s="1"/>
  <c r="F23" i="12" s="1"/>
  <c r="D23" i="12" s="1"/>
  <c r="AJ52" i="1"/>
  <c r="AJ47" i="1"/>
  <c r="AJ67" i="1"/>
  <c r="R32" i="12"/>
  <c r="S32" i="12" s="1"/>
  <c r="R30" i="12"/>
  <c r="S30" i="12" s="1"/>
  <c r="R28" i="12"/>
  <c r="P28" i="12" s="1"/>
  <c r="F28" i="12" s="1"/>
  <c r="D28" i="12" s="1"/>
  <c r="R20" i="12"/>
  <c r="S20" i="12" s="1"/>
  <c r="R29" i="12"/>
  <c r="P29" i="12" s="1"/>
  <c r="F29" i="12" s="1"/>
  <c r="D29" i="12" s="1"/>
  <c r="R22" i="12"/>
  <c r="S22" i="12" s="1"/>
  <c r="AJ50" i="1"/>
  <c r="AJ54" i="1"/>
  <c r="AJ65" i="1"/>
  <c r="AJ46" i="1"/>
  <c r="AJ63" i="1"/>
  <c r="AJ57" i="1"/>
  <c r="T71" i="22"/>
  <c r="W71" i="22" s="1"/>
  <c r="T48" i="21"/>
  <c r="W48" i="21" s="1"/>
  <c r="T71" i="21"/>
  <c r="W71" i="21" s="1"/>
  <c r="T8" i="23"/>
  <c r="T69" i="23"/>
  <c r="W69" i="23" s="1"/>
  <c r="T24" i="21"/>
  <c r="T63" i="23"/>
  <c r="W63" i="23" s="1"/>
  <c r="T62" i="1"/>
  <c r="W62" i="1" s="1"/>
  <c r="T19" i="21"/>
  <c r="T26" i="22"/>
  <c r="T23" i="22"/>
  <c r="T20" i="21"/>
  <c r="T75" i="22"/>
  <c r="W75" i="22" s="1"/>
  <c r="T74" i="21"/>
  <c r="W74" i="21" s="1"/>
  <c r="T34" i="23"/>
  <c r="T18" i="22"/>
  <c r="T21" i="22"/>
  <c r="T9" i="22"/>
  <c r="T30" i="22"/>
  <c r="W30" i="22" s="1"/>
  <c r="T21" i="1"/>
  <c r="T6" i="1"/>
  <c r="T72" i="1"/>
  <c r="W72" i="1" s="1"/>
  <c r="T26" i="21"/>
  <c r="T9" i="23"/>
  <c r="T73" i="22"/>
  <c r="W73" i="22" s="1"/>
  <c r="T77" i="22"/>
  <c r="W77" i="22" s="1"/>
  <c r="T38" i="23"/>
  <c r="T24" i="23"/>
  <c r="T56" i="21"/>
  <c r="W56" i="21" s="1"/>
  <c r="T30" i="23"/>
  <c r="T35" i="1"/>
  <c r="T50" i="21"/>
  <c r="W50" i="21" s="1"/>
  <c r="T69" i="22"/>
  <c r="W69" i="22" s="1"/>
  <c r="T56" i="22"/>
  <c r="W56" i="22" s="1"/>
  <c r="T14" i="1"/>
  <c r="T47" i="23"/>
  <c r="W47" i="23" s="1"/>
  <c r="T58" i="22"/>
  <c r="W58" i="22" s="1"/>
  <c r="T25" i="1"/>
  <c r="T29" i="22"/>
  <c r="W29" i="22" s="1"/>
  <c r="T18" i="1"/>
  <c r="T44" i="23"/>
  <c r="W44" i="23" s="1"/>
  <c r="T62" i="22"/>
  <c r="W62" i="22" s="1"/>
  <c r="T11" i="1"/>
  <c r="T64" i="23"/>
  <c r="W64" i="23" s="1"/>
  <c r="T10" i="21"/>
  <c r="T47" i="1"/>
  <c r="W47" i="1" s="1"/>
  <c r="T39" i="23"/>
  <c r="T6" i="21"/>
  <c r="T68" i="1"/>
  <c r="W68" i="1" s="1"/>
  <c r="T31" i="23"/>
  <c r="T40" i="23"/>
  <c r="T31" i="1"/>
  <c r="T16" i="1"/>
  <c r="T12" i="21"/>
  <c r="T43" i="22"/>
  <c r="W43" i="22" s="1"/>
  <c r="T22" i="21"/>
  <c r="T17" i="21"/>
  <c r="T40" i="22"/>
  <c r="W40" i="22" s="1"/>
  <c r="T28" i="23"/>
  <c r="T30" i="21"/>
  <c r="T9" i="1"/>
  <c r="T60" i="1"/>
  <c r="W60" i="1" s="1"/>
  <c r="T39" i="22"/>
  <c r="W39" i="22" s="1"/>
  <c r="T47" i="21"/>
  <c r="W47" i="21" s="1"/>
  <c r="T32" i="22"/>
  <c r="W32" i="22" s="1"/>
  <c r="T25" i="23"/>
  <c r="T13" i="23"/>
  <c r="T11" i="21"/>
  <c r="T13" i="21"/>
  <c r="T28" i="1"/>
  <c r="T15" i="1"/>
  <c r="T13" i="22"/>
  <c r="T28" i="22"/>
  <c r="W28" i="22" s="1"/>
  <c r="T36" i="22"/>
  <c r="W36" i="22" s="1"/>
  <c r="T66" i="23"/>
  <c r="W66" i="23" s="1"/>
  <c r="T15" i="22"/>
  <c r="T23" i="21"/>
  <c r="T44" i="21"/>
  <c r="W44" i="21" s="1"/>
  <c r="T73" i="1"/>
  <c r="W73" i="1" s="1"/>
  <c r="T43" i="23"/>
  <c r="W43" i="23" s="1"/>
  <c r="T27" i="23"/>
  <c r="T10" i="23"/>
  <c r="T11" i="22"/>
  <c r="T64" i="22"/>
  <c r="W64" i="22" s="1"/>
  <c r="T58" i="21"/>
  <c r="W58" i="21" s="1"/>
  <c r="T16" i="22"/>
  <c r="T11" i="23"/>
  <c r="T48" i="22"/>
  <c r="W48" i="22" s="1"/>
  <c r="T49" i="22"/>
  <c r="W49" i="22" s="1"/>
  <c r="T79" i="23"/>
  <c r="W79" i="23" s="1"/>
  <c r="T28" i="21"/>
  <c r="T44" i="1"/>
  <c r="T42" i="23"/>
  <c r="W42" i="23" s="1"/>
  <c r="T37" i="1"/>
  <c r="T61" i="22"/>
  <c r="W61" i="22" s="1"/>
  <c r="T76" i="23"/>
  <c r="W76" i="23" s="1"/>
  <c r="T33" i="23"/>
  <c r="T55" i="1"/>
  <c r="W55" i="1" s="1"/>
  <c r="T54" i="23"/>
  <c r="W54" i="23" s="1"/>
  <c r="T40" i="1"/>
  <c r="T46" i="23"/>
  <c r="W46" i="23" s="1"/>
  <c r="T67" i="1"/>
  <c r="W67" i="1" s="1"/>
  <c r="T37" i="22"/>
  <c r="W37" i="22" s="1"/>
  <c r="T53" i="22"/>
  <c r="W53" i="22" s="1"/>
  <c r="T53" i="23"/>
  <c r="W53" i="23" s="1"/>
  <c r="T67" i="21"/>
  <c r="W67" i="21" s="1"/>
  <c r="T13" i="1"/>
  <c r="T22" i="22"/>
  <c r="T80" i="21"/>
  <c r="W80" i="21" s="1"/>
  <c r="T25" i="21"/>
  <c r="T58" i="1"/>
  <c r="W58" i="1" s="1"/>
  <c r="T17" i="23"/>
  <c r="T53" i="1"/>
  <c r="W53" i="1" s="1"/>
  <c r="T32" i="1"/>
  <c r="T66" i="1"/>
  <c r="W66" i="1" s="1"/>
  <c r="T62" i="21"/>
  <c r="W62" i="21" s="1"/>
  <c r="T67" i="22"/>
  <c r="W67" i="22" s="1"/>
  <c r="T15" i="23"/>
  <c r="T61" i="1"/>
  <c r="W61" i="1" s="1"/>
  <c r="T20" i="23"/>
  <c r="T17" i="22"/>
  <c r="T60" i="23"/>
  <c r="W60" i="23" s="1"/>
  <c r="T64" i="21"/>
  <c r="W64" i="21" s="1"/>
  <c r="T79" i="21"/>
  <c r="W79" i="21" s="1"/>
  <c r="T14" i="21"/>
  <c r="T48" i="23"/>
  <c r="W48" i="23" s="1"/>
  <c r="T16" i="21"/>
  <c r="T65" i="1"/>
  <c r="W65" i="1" s="1"/>
  <c r="T27" i="1"/>
  <c r="T26" i="1"/>
  <c r="T77" i="23"/>
  <c r="W77" i="23" s="1"/>
  <c r="T45" i="23"/>
  <c r="W45" i="23" s="1"/>
  <c r="T29" i="1"/>
  <c r="T79" i="22"/>
  <c r="W79" i="22" s="1"/>
  <c r="T80" i="1"/>
  <c r="W80" i="1" s="1"/>
  <c r="T75" i="21"/>
  <c r="W75" i="21" s="1"/>
  <c r="T41" i="1"/>
  <c r="T54" i="1"/>
  <c r="W54" i="1" s="1"/>
  <c r="T70" i="1"/>
  <c r="W70" i="1" s="1"/>
  <c r="T68" i="21"/>
  <c r="W68" i="21" s="1"/>
  <c r="T52" i="1"/>
  <c r="W52" i="1" s="1"/>
  <c r="T17" i="1"/>
  <c r="T36" i="1"/>
  <c r="T6" i="22"/>
  <c r="T56" i="23"/>
  <c r="W56" i="23" s="1"/>
  <c r="T22" i="1"/>
  <c r="T53" i="21"/>
  <c r="W53" i="21" s="1"/>
  <c r="T7" i="22"/>
  <c r="T54" i="22"/>
  <c r="W54" i="22" s="1"/>
  <c r="T41" i="23"/>
  <c r="T33" i="1"/>
  <c r="T32" i="23"/>
  <c r="T80" i="23"/>
  <c r="W80" i="23" s="1"/>
  <c r="T67" i="23"/>
  <c r="W67" i="23" s="1"/>
  <c r="T61" i="23"/>
  <c r="W61" i="23" s="1"/>
  <c r="T54" i="21"/>
  <c r="W54" i="21" s="1"/>
  <c r="T78" i="23"/>
  <c r="W78" i="23" s="1"/>
  <c r="T10" i="22"/>
  <c r="T22" i="23"/>
  <c r="T55" i="21"/>
  <c r="W55" i="21" s="1"/>
  <c r="T18" i="21"/>
  <c r="T75" i="23"/>
  <c r="W75" i="23" s="1"/>
  <c r="T34" i="22"/>
  <c r="W34" i="22" s="1"/>
  <c r="T65" i="22"/>
  <c r="W65" i="22" s="1"/>
  <c r="T55" i="23"/>
  <c r="W55" i="23" s="1"/>
  <c r="T7" i="21"/>
  <c r="T68" i="23"/>
  <c r="W68" i="23" s="1"/>
  <c r="T27" i="21"/>
  <c r="T51" i="22"/>
  <c r="W51" i="22" s="1"/>
  <c r="T23" i="1"/>
  <c r="T43" i="1"/>
  <c r="T74" i="23"/>
  <c r="W74" i="23" s="1"/>
  <c r="T52" i="22"/>
  <c r="W52" i="22" s="1"/>
  <c r="T49" i="1"/>
  <c r="W49" i="1" s="1"/>
  <c r="T38" i="22"/>
  <c r="W38" i="22" s="1"/>
  <c r="T34" i="1"/>
  <c r="T65" i="21"/>
  <c r="W65" i="21" s="1"/>
  <c r="T20" i="1"/>
  <c r="T77" i="21"/>
  <c r="W77" i="21" s="1"/>
  <c r="T55" i="22"/>
  <c r="W55" i="22" s="1"/>
  <c r="T76" i="21"/>
  <c r="W76" i="21" s="1"/>
  <c r="T8" i="21"/>
  <c r="T20" i="22"/>
  <c r="T48" i="1"/>
  <c r="W48" i="1" s="1"/>
  <c r="T68" i="22"/>
  <c r="W68" i="22" s="1"/>
  <c r="T78" i="22"/>
  <c r="W78" i="22" s="1"/>
  <c r="T51" i="21"/>
  <c r="W51" i="21" s="1"/>
  <c r="T14" i="23"/>
  <c r="T69" i="21"/>
  <c r="W69" i="21" s="1"/>
  <c r="T42" i="22"/>
  <c r="W42" i="22" s="1"/>
  <c r="T57" i="1"/>
  <c r="W57" i="1" s="1"/>
  <c r="T34" i="21"/>
  <c r="T78" i="21"/>
  <c r="W78" i="21" s="1"/>
  <c r="T21" i="21"/>
  <c r="T60" i="22"/>
  <c r="W60" i="22" s="1"/>
  <c r="T63" i="21"/>
  <c r="W63" i="21" s="1"/>
  <c r="T18" i="23"/>
  <c r="T44" i="22"/>
  <c r="W44" i="22" s="1"/>
  <c r="T16" i="23"/>
  <c r="T45" i="1"/>
  <c r="T71" i="1"/>
  <c r="W71" i="1" s="1"/>
  <c r="T52" i="23"/>
  <c r="W52" i="23" s="1"/>
  <c r="T35" i="22"/>
  <c r="W35" i="22" s="1"/>
  <c r="T37" i="21"/>
  <c r="T45" i="22"/>
  <c r="W45" i="22" s="1"/>
  <c r="T69" i="1"/>
  <c r="W69" i="1" s="1"/>
  <c r="T33" i="22"/>
  <c r="W33" i="22" s="1"/>
  <c r="T41" i="21"/>
  <c r="T59" i="22"/>
  <c r="W59" i="22" s="1"/>
  <c r="T56" i="1"/>
  <c r="W56" i="1" s="1"/>
  <c r="T50" i="1"/>
  <c r="W50" i="1" s="1"/>
  <c r="T76" i="1"/>
  <c r="W76" i="1" s="1"/>
  <c r="T66" i="21"/>
  <c r="W66" i="21" s="1"/>
  <c r="T21" i="23"/>
  <c r="T41" i="22"/>
  <c r="W41" i="22" s="1"/>
  <c r="T9" i="21"/>
  <c r="T57" i="22"/>
  <c r="W57" i="22" s="1"/>
  <c r="T51" i="1"/>
  <c r="W51" i="1" s="1"/>
  <c r="T79" i="1"/>
  <c r="W79" i="1" s="1"/>
  <c r="T35" i="21"/>
  <c r="T14" i="22"/>
  <c r="T73" i="21"/>
  <c r="W73" i="21" s="1"/>
  <c r="T19" i="22"/>
  <c r="T58" i="23"/>
  <c r="W58" i="23" s="1"/>
  <c r="T36" i="23"/>
  <c r="T10" i="1"/>
  <c r="T52" i="21"/>
  <c r="W52" i="21" s="1"/>
  <c r="T32" i="21"/>
  <c r="T57" i="21"/>
  <c r="W57" i="21" s="1"/>
  <c r="T46" i="1"/>
  <c r="W46" i="1" s="1"/>
  <c r="T65" i="23"/>
  <c r="W65" i="23" s="1"/>
  <c r="T19" i="1"/>
  <c r="T72" i="22"/>
  <c r="W72" i="22" s="1"/>
  <c r="T50" i="22"/>
  <c r="W50" i="22" s="1"/>
  <c r="T61" i="21"/>
  <c r="W61" i="21" s="1"/>
  <c r="T59" i="23"/>
  <c r="W59" i="23" s="1"/>
  <c r="T70" i="23"/>
  <c r="W70" i="23" s="1"/>
  <c r="T37" i="23"/>
  <c r="T42" i="1"/>
  <c r="T27" i="22"/>
  <c r="T33" i="21"/>
  <c r="T45" i="21"/>
  <c r="W45" i="21" s="1"/>
  <c r="T40" i="21"/>
  <c r="T29" i="21"/>
  <c r="T19" i="23"/>
  <c r="T63" i="1"/>
  <c r="W63" i="1" s="1"/>
  <c r="T76" i="22"/>
  <c r="W76" i="22" s="1"/>
  <c r="T12" i="22"/>
  <c r="T64" i="1"/>
  <c r="W64" i="1" s="1"/>
  <c r="T8" i="1"/>
  <c r="T38" i="1"/>
  <c r="T49" i="23"/>
  <c r="W49" i="23" s="1"/>
  <c r="T49" i="21"/>
  <c r="W49" i="21" s="1"/>
  <c r="T70" i="22"/>
  <c r="W70" i="22" s="1"/>
  <c r="T24" i="22"/>
  <c r="T74" i="1"/>
  <c r="W74" i="1" s="1"/>
  <c r="T15" i="21"/>
  <c r="T25" i="22"/>
  <c r="T23" i="23"/>
  <c r="T39" i="1"/>
  <c r="T7" i="23"/>
  <c r="T71" i="23"/>
  <c r="W71" i="23" s="1"/>
  <c r="T63" i="22"/>
  <c r="W63" i="22" s="1"/>
  <c r="T6" i="23"/>
  <c r="T29" i="23"/>
  <c r="T24" i="1"/>
  <c r="T39" i="21"/>
  <c r="T46" i="21"/>
  <c r="W46" i="21" s="1"/>
  <c r="T12" i="1"/>
  <c r="T59" i="1"/>
  <c r="W59" i="1" s="1"/>
  <c r="T30" i="1"/>
  <c r="T72" i="23"/>
  <c r="W72" i="23" s="1"/>
  <c r="T36" i="21"/>
  <c r="T51" i="23"/>
  <c r="W51" i="23" s="1"/>
  <c r="T77" i="1"/>
  <c r="W77" i="1" s="1"/>
  <c r="T70" i="21"/>
  <c r="W70" i="21" s="1"/>
  <c r="T66" i="22"/>
  <c r="W66" i="22" s="1"/>
  <c r="T31" i="21"/>
  <c r="T7" i="1"/>
  <c r="T31" i="22"/>
  <c r="W31" i="22" s="1"/>
  <c r="T47" i="22"/>
  <c r="W47" i="22" s="1"/>
  <c r="T43" i="21"/>
  <c r="W43" i="21" s="1"/>
  <c r="T8" i="22"/>
  <c r="T78" i="1"/>
  <c r="W78" i="1" s="1"/>
  <c r="T62" i="23"/>
  <c r="W62" i="23" s="1"/>
  <c r="T46" i="22"/>
  <c r="W46" i="22" s="1"/>
  <c r="T35" i="23"/>
  <c r="T59" i="21"/>
  <c r="W59" i="21" s="1"/>
  <c r="T74" i="22"/>
  <c r="W74" i="22" s="1"/>
  <c r="T73" i="23"/>
  <c r="W73" i="23" s="1"/>
  <c r="T50" i="23"/>
  <c r="W50" i="23" s="1"/>
  <c r="T57" i="23"/>
  <c r="W57" i="23" s="1"/>
  <c r="T42" i="21"/>
  <c r="T60" i="21"/>
  <c r="W60" i="21" s="1"/>
  <c r="T80" i="22"/>
  <c r="W80" i="22" s="1"/>
  <c r="T72" i="21"/>
  <c r="W72" i="21" s="1"/>
  <c r="T75" i="1"/>
  <c r="W75" i="1" s="1"/>
  <c r="T12" i="23"/>
  <c r="T38" i="21"/>
  <c r="T26" i="23"/>
  <c r="AJ69" i="1"/>
  <c r="AJ60" i="1"/>
  <c r="AJ55" i="1"/>
  <c r="AJ66" i="1"/>
  <c r="AJ70" i="1"/>
  <c r="AJ68" i="1"/>
  <c r="AJ53" i="1"/>
  <c r="AJ64" i="1"/>
  <c r="AJ58" i="1"/>
  <c r="P40" i="23"/>
  <c r="S41" i="23"/>
  <c r="P41" i="23"/>
  <c r="P42" i="23"/>
  <c r="P43" i="21"/>
  <c r="U40" i="23"/>
  <c r="S40" i="23"/>
  <c r="U41" i="23"/>
  <c r="P40" i="21"/>
  <c r="P13" i="1"/>
  <c r="P26" i="23"/>
  <c r="P16" i="21"/>
  <c r="P22" i="1"/>
  <c r="S33" i="23"/>
  <c r="S45" i="1"/>
  <c r="U7" i="22"/>
  <c r="U36" i="23"/>
  <c r="U31" i="23"/>
  <c r="U39" i="21"/>
  <c r="U19" i="22"/>
  <c r="U33" i="21"/>
  <c r="S28" i="21"/>
  <c r="S20" i="22"/>
  <c r="U30" i="23"/>
  <c r="S17" i="22"/>
  <c r="S19" i="23"/>
  <c r="U15" i="21"/>
  <c r="P16" i="23"/>
  <c r="U41" i="1"/>
  <c r="P19" i="23"/>
  <c r="U40" i="21"/>
  <c r="U40" i="1"/>
  <c r="P29" i="23"/>
  <c r="S23" i="23"/>
  <c r="U6" i="1"/>
  <c r="S21" i="1"/>
  <c r="S37" i="1"/>
  <c r="P21" i="1"/>
  <c r="U11" i="21"/>
  <c r="S27" i="23"/>
  <c r="U21" i="23"/>
  <c r="S7" i="21"/>
  <c r="S23" i="22"/>
  <c r="U32" i="23"/>
  <c r="U30" i="1"/>
  <c r="S35" i="21"/>
  <c r="S33" i="1"/>
  <c r="U27" i="22"/>
  <c r="P14" i="21"/>
  <c r="S30" i="21"/>
  <c r="P39" i="21"/>
  <c r="S19" i="21"/>
  <c r="S27" i="22"/>
  <c r="U29" i="21"/>
  <c r="P13" i="23"/>
  <c r="U6" i="23"/>
  <c r="P39" i="23"/>
  <c r="U43" i="1"/>
  <c r="S28" i="23"/>
  <c r="U18" i="22"/>
  <c r="U38" i="21"/>
  <c r="P10" i="23"/>
  <c r="S38" i="23"/>
  <c r="P35" i="23"/>
  <c r="U19" i="1"/>
  <c r="U20" i="1"/>
  <c r="S34" i="23"/>
  <c r="U42" i="21"/>
  <c r="U29" i="1"/>
  <c r="S11" i="1"/>
  <c r="S17" i="23"/>
  <c r="U10" i="22"/>
  <c r="S20" i="21"/>
  <c r="U15" i="23"/>
  <c r="P10" i="22"/>
  <c r="S7" i="1"/>
  <c r="U24" i="23"/>
  <c r="U9" i="22"/>
  <c r="S23" i="1"/>
  <c r="U17" i="23"/>
  <c r="U26" i="1"/>
  <c r="U39" i="1"/>
  <c r="U27" i="1"/>
  <c r="S18" i="22"/>
  <c r="U17" i="22"/>
  <c r="S22" i="1"/>
  <c r="P19" i="21"/>
  <c r="S31" i="23"/>
  <c r="P32" i="1"/>
  <c r="P23" i="22"/>
  <c r="S21" i="23"/>
  <c r="U13" i="1"/>
  <c r="S9" i="22"/>
  <c r="S10" i="1"/>
  <c r="U32" i="1"/>
  <c r="S10" i="21"/>
  <c r="S12" i="1"/>
  <c r="U17" i="1"/>
  <c r="P23" i="23"/>
  <c r="P12" i="1"/>
  <c r="P37" i="23"/>
  <c r="P14" i="23"/>
  <c r="P34" i="21"/>
  <c r="S19" i="1"/>
  <c r="S36" i="21"/>
  <c r="U8" i="1"/>
  <c r="P41" i="1"/>
  <c r="U16" i="21"/>
  <c r="U23" i="21"/>
  <c r="U8" i="21"/>
  <c r="U32" i="21"/>
  <c r="P37" i="21"/>
  <c r="S12" i="22"/>
  <c r="U36" i="21"/>
  <c r="S15" i="21"/>
  <c r="S13" i="22"/>
  <c r="U19" i="23"/>
  <c r="U25" i="21"/>
  <c r="U31" i="1"/>
  <c r="U27" i="21"/>
  <c r="U38" i="1"/>
  <c r="U42" i="1"/>
  <c r="U34" i="1"/>
  <c r="S18" i="23"/>
  <c r="U11" i="1"/>
  <c r="S29" i="21"/>
  <c r="S23" i="21"/>
  <c r="U45" i="1"/>
  <c r="S41" i="1"/>
  <c r="U22" i="23"/>
  <c r="S36" i="23"/>
  <c r="S37" i="21"/>
  <c r="S16" i="22"/>
  <c r="U22" i="21"/>
  <c r="S11" i="22"/>
  <c r="S41" i="21"/>
  <c r="S16" i="21"/>
  <c r="S24" i="23"/>
  <c r="S20" i="1"/>
  <c r="S26" i="1"/>
  <c r="S12" i="23"/>
  <c r="U20" i="22"/>
  <c r="P26" i="1"/>
  <c r="S30" i="23"/>
  <c r="P33" i="1"/>
  <c r="U35" i="23"/>
  <c r="U23" i="23"/>
  <c r="U11" i="22"/>
  <c r="S39" i="21"/>
  <c r="S25" i="1"/>
  <c r="U21" i="21"/>
  <c r="S26" i="21"/>
  <c r="U10" i="23"/>
  <c r="P7" i="22"/>
  <c r="P24" i="1"/>
  <c r="U33" i="23"/>
  <c r="S25" i="23"/>
  <c r="U13" i="23"/>
  <c r="S11" i="23"/>
  <c r="P10" i="1"/>
  <c r="U6" i="22"/>
  <c r="P6" i="23"/>
  <c r="U28" i="1"/>
  <c r="S7" i="23"/>
  <c r="P19" i="22"/>
  <c r="S13" i="21"/>
  <c r="P28" i="1"/>
  <c r="U13" i="21"/>
  <c r="P11" i="21"/>
  <c r="P37" i="1"/>
  <c r="S8" i="22"/>
  <c r="P9" i="1"/>
  <c r="U24" i="1"/>
  <c r="S40" i="21"/>
  <c r="U39" i="23"/>
  <c r="P42" i="21"/>
  <c r="U28" i="23"/>
  <c r="U16" i="23"/>
  <c r="U37" i="23"/>
  <c r="P6" i="1"/>
  <c r="S42" i="1"/>
  <c r="P18" i="1"/>
  <c r="U21" i="1"/>
  <c r="U26" i="22"/>
  <c r="S24" i="1"/>
  <c r="P11" i="23"/>
  <c r="P29" i="1"/>
  <c r="P31" i="1"/>
  <c r="P13" i="22"/>
  <c r="P40" i="1"/>
  <c r="S14" i="22"/>
  <c r="S29" i="23"/>
  <c r="P19" i="1"/>
  <c r="U34" i="21"/>
  <c r="U10" i="21"/>
  <c r="U6" i="21"/>
  <c r="P33" i="23"/>
  <c r="P25" i="22"/>
  <c r="U21" i="22"/>
  <c r="S43" i="1"/>
  <c r="U37" i="21"/>
  <c r="S9" i="23"/>
  <c r="S32" i="1"/>
  <c r="P35" i="1"/>
  <c r="U12" i="22"/>
  <c r="U24" i="21"/>
  <c r="U9" i="23"/>
  <c r="P8" i="1"/>
  <c r="U23" i="1"/>
  <c r="U14" i="22"/>
  <c r="S16" i="23"/>
  <c r="S13" i="1"/>
  <c r="S42" i="21"/>
  <c r="S10" i="23"/>
  <c r="P22" i="21"/>
  <c r="P9" i="22"/>
  <c r="S24" i="22"/>
  <c r="S38" i="21"/>
  <c r="S34" i="1"/>
  <c r="P22" i="22"/>
  <c r="P32" i="23"/>
  <c r="S22" i="23"/>
  <c r="S20" i="23"/>
  <c r="U38" i="23"/>
  <c r="U35" i="1"/>
  <c r="S17" i="21"/>
  <c r="P20" i="22"/>
  <c r="S15" i="22"/>
  <c r="S8" i="1"/>
  <c r="U23" i="22"/>
  <c r="P8" i="23"/>
  <c r="P15" i="1"/>
  <c r="P36" i="1"/>
  <c r="S8" i="23"/>
  <c r="U9" i="21"/>
  <c r="U22" i="1"/>
  <c r="P27" i="1"/>
  <c r="S14" i="1"/>
  <c r="U16" i="22"/>
  <c r="U25" i="1"/>
  <c r="S9" i="21"/>
  <c r="P25" i="1"/>
  <c r="S19" i="22"/>
  <c r="P31" i="21"/>
  <c r="P32" i="21"/>
  <c r="P14" i="1"/>
  <c r="U16" i="1"/>
  <c r="S15" i="23"/>
  <c r="U28" i="21"/>
  <c r="S15" i="1"/>
  <c r="S29" i="1"/>
  <c r="S22" i="21"/>
  <c r="P8" i="21"/>
  <c r="U12" i="21"/>
  <c r="S44" i="1"/>
  <c r="P20" i="23"/>
  <c r="S14" i="21"/>
  <c r="S24" i="21"/>
  <c r="U14" i="1"/>
  <c r="S26" i="23"/>
  <c r="U31" i="21"/>
  <c r="S36" i="1"/>
  <c r="P24" i="23"/>
  <c r="S13" i="23"/>
  <c r="U27" i="23"/>
  <c r="S25" i="21"/>
  <c r="S28" i="1"/>
  <c r="U17" i="21"/>
  <c r="S27" i="21"/>
  <c r="U8" i="23"/>
  <c r="S40" i="1"/>
  <c r="S35" i="1"/>
  <c r="U19" i="21"/>
  <c r="P17" i="22"/>
  <c r="P24" i="22"/>
  <c r="P33" i="21"/>
  <c r="P9" i="23"/>
  <c r="P30" i="21"/>
  <c r="S39" i="1"/>
  <c r="S31" i="1"/>
  <c r="U26" i="21"/>
  <c r="U33" i="1"/>
  <c r="U14" i="23"/>
  <c r="U14" i="21"/>
  <c r="U7" i="21"/>
  <c r="P15" i="21"/>
  <c r="U8" i="22"/>
  <c r="P36" i="23"/>
  <c r="U7" i="1"/>
  <c r="S35" i="23"/>
  <c r="S7" i="22"/>
  <c r="U44" i="1"/>
  <c r="U36" i="1"/>
  <c r="P17" i="23"/>
  <c r="P6" i="22"/>
  <c r="P25" i="23"/>
  <c r="U25" i="22"/>
  <c r="P26" i="21"/>
  <c r="U26" i="23"/>
  <c r="S32" i="21"/>
  <c r="S10" i="22"/>
  <c r="P34" i="1"/>
  <c r="P42" i="1"/>
  <c r="U7" i="23"/>
  <c r="U18" i="1"/>
  <c r="S33" i="21"/>
  <c r="S6" i="23"/>
  <c r="U34" i="23"/>
  <c r="P41" i="21"/>
  <c r="U35" i="21"/>
  <c r="S6" i="1"/>
  <c r="S12" i="21"/>
  <c r="U12" i="23"/>
  <c r="P24" i="21"/>
  <c r="U15" i="1"/>
  <c r="S14" i="23"/>
  <c r="S21" i="22"/>
  <c r="U20" i="21"/>
  <c r="P36" i="21"/>
  <c r="S18" i="1"/>
  <c r="U20" i="23"/>
  <c r="P28" i="21"/>
  <c r="S11" i="21"/>
  <c r="P15" i="23"/>
  <c r="U37" i="1"/>
  <c r="P35" i="21"/>
  <c r="S6" i="22"/>
  <c r="S9" i="1"/>
  <c r="S22" i="22"/>
  <c r="U24" i="22"/>
  <c r="P27" i="23"/>
  <c r="S16" i="1"/>
  <c r="U41" i="21"/>
  <c r="U25" i="23"/>
  <c r="S27" i="1"/>
  <c r="U11" i="23"/>
  <c r="U29" i="23"/>
  <c r="U15" i="22"/>
  <c r="S32" i="23"/>
  <c r="S8" i="21"/>
  <c r="S37" i="23"/>
  <c r="U22" i="22"/>
  <c r="P11" i="1"/>
  <c r="S31" i="21"/>
  <c r="P39" i="1"/>
  <c r="U30" i="21"/>
  <c r="S17" i="1"/>
  <c r="U12" i="1"/>
  <c r="S26" i="22"/>
  <c r="P43" i="1"/>
  <c r="S38" i="1"/>
  <c r="S30" i="1"/>
  <c r="S6" i="21"/>
  <c r="P20" i="1"/>
  <c r="P44" i="1"/>
  <c r="U9" i="1"/>
  <c r="U13" i="22"/>
  <c r="S25" i="22"/>
  <c r="U18" i="21"/>
  <c r="U10" i="1"/>
  <c r="P25" i="21"/>
  <c r="U18" i="23"/>
  <c r="S18" i="21"/>
  <c r="S34" i="21"/>
  <c r="S39" i="23"/>
  <c r="S21" i="21"/>
  <c r="S26" i="12" l="1"/>
  <c r="S28" i="12"/>
  <c r="S24" i="12"/>
  <c r="P25" i="12"/>
  <c r="F25" i="12" s="1"/>
  <c r="D25" i="12" s="1"/>
  <c r="S31" i="12"/>
  <c r="P21" i="12"/>
  <c r="F21" i="12" s="1"/>
  <c r="D21" i="12" s="1"/>
  <c r="P27" i="12"/>
  <c r="F27" i="12" s="1"/>
  <c r="D27" i="12" s="1"/>
  <c r="P20" i="12"/>
  <c r="F20" i="12" s="1"/>
  <c r="D20" i="12" s="1"/>
  <c r="S23" i="12"/>
  <c r="P30" i="12"/>
  <c r="F30" i="12" s="1"/>
  <c r="D30" i="12" s="1"/>
  <c r="S29" i="12"/>
  <c r="P32" i="12"/>
  <c r="F32" i="12" s="1"/>
  <c r="D32" i="12" s="1"/>
  <c r="P22" i="12"/>
  <c r="F22" i="12" s="1"/>
  <c r="D22" i="12" s="1"/>
  <c r="W32" i="23"/>
  <c r="W26" i="1"/>
  <c r="W11" i="23"/>
  <c r="W13" i="23"/>
  <c r="W12" i="21"/>
  <c r="W35" i="23"/>
  <c r="W36" i="21"/>
  <c r="W24" i="1"/>
  <c r="W7" i="23"/>
  <c r="W32" i="21"/>
  <c r="W19" i="22"/>
  <c r="W9" i="21"/>
  <c r="W41" i="21"/>
  <c r="W22" i="23"/>
  <c r="W22" i="1"/>
  <c r="W29" i="1"/>
  <c r="W27" i="1"/>
  <c r="W16" i="22"/>
  <c r="W15" i="1"/>
  <c r="W25" i="23"/>
  <c r="W30" i="21"/>
  <c r="W16" i="1"/>
  <c r="W24" i="21"/>
  <c r="W14" i="23"/>
  <c r="W15" i="23"/>
  <c r="W21" i="1"/>
  <c r="W33" i="21"/>
  <c r="W28" i="23"/>
  <c r="W31" i="1"/>
  <c r="W10" i="21"/>
  <c r="W25" i="1"/>
  <c r="W35" i="1"/>
  <c r="W31" i="21"/>
  <c r="W27" i="22"/>
  <c r="W43" i="1"/>
  <c r="W41" i="1"/>
  <c r="W16" i="21"/>
  <c r="W11" i="22"/>
  <c r="W15" i="22"/>
  <c r="W17" i="21"/>
  <c r="W31" i="23"/>
  <c r="W11" i="1"/>
  <c r="W30" i="23"/>
  <c r="W8" i="23"/>
  <c r="W17" i="23"/>
  <c r="W13" i="22"/>
  <c r="W7" i="1"/>
  <c r="W39" i="1"/>
  <c r="W10" i="22"/>
  <c r="W33" i="23"/>
  <c r="W9" i="23"/>
  <c r="W42" i="21"/>
  <c r="W21" i="23"/>
  <c r="W28" i="21"/>
  <c r="W28" i="1"/>
  <c r="W40" i="23"/>
  <c r="W9" i="22"/>
  <c r="W23" i="23"/>
  <c r="W19" i="1"/>
  <c r="W35" i="21"/>
  <c r="W16" i="23"/>
  <c r="W8" i="22"/>
  <c r="W25" i="22"/>
  <c r="W36" i="1"/>
  <c r="W20" i="23"/>
  <c r="W10" i="23"/>
  <c r="W22" i="21"/>
  <c r="W14" i="1"/>
  <c r="W26" i="22"/>
  <c r="W27" i="21"/>
  <c r="W12" i="22"/>
  <c r="W33" i="1"/>
  <c r="W29" i="23"/>
  <c r="W14" i="22"/>
  <c r="W45" i="1"/>
  <c r="W20" i="1"/>
  <c r="W25" i="21"/>
  <c r="W34" i="21"/>
  <c r="W41" i="23"/>
  <c r="W38" i="21"/>
  <c r="W6" i="23"/>
  <c r="W32" i="1"/>
  <c r="W13" i="21"/>
  <c r="W21" i="22"/>
  <c r="W38" i="1"/>
  <c r="W37" i="23"/>
  <c r="W36" i="23"/>
  <c r="W37" i="21"/>
  <c r="W34" i="1"/>
  <c r="W23" i="1"/>
  <c r="W14" i="21"/>
  <c r="W22" i="22"/>
  <c r="W37" i="1"/>
  <c r="W11" i="21"/>
  <c r="W6" i="21"/>
  <c r="W24" i="23"/>
  <c r="W6" i="1"/>
  <c r="W18" i="22"/>
  <c r="W19" i="21"/>
  <c r="W40" i="21"/>
  <c r="W13" i="1"/>
  <c r="W24" i="22"/>
  <c r="W21" i="21"/>
  <c r="W7" i="21"/>
  <c r="W44" i="1"/>
  <c r="W20" i="21"/>
  <c r="W30" i="1"/>
  <c r="W6" i="22"/>
  <c r="W17" i="22"/>
  <c r="W23" i="21"/>
  <c r="W26" i="21"/>
  <c r="W23" i="22"/>
  <c r="W26" i="23"/>
  <c r="W42" i="1"/>
  <c r="W10" i="1"/>
  <c r="W12" i="1"/>
  <c r="W19" i="23"/>
  <c r="W20" i="22"/>
  <c r="W12" i="23"/>
  <c r="W39" i="21"/>
  <c r="W15" i="21"/>
  <c r="W8" i="1"/>
  <c r="W29" i="21"/>
  <c r="W18" i="23"/>
  <c r="W8" i="21"/>
  <c r="W18" i="21"/>
  <c r="W7" i="22"/>
  <c r="W17" i="1"/>
  <c r="W40" i="1"/>
  <c r="W27" i="23"/>
  <c r="W9" i="1"/>
  <c r="W39" i="23"/>
  <c r="W18" i="1"/>
  <c r="W38" i="23"/>
  <c r="W34" i="23"/>
  <c r="AA40" i="23" a="1"/>
  <c r="AA41" i="23" a="1"/>
  <c r="AH41" i="23"/>
  <c r="AH40" i="23"/>
  <c r="AA7" i="23" a="1"/>
  <c r="AA27" i="23" a="1"/>
  <c r="AH12" i="1"/>
  <c r="AH24" i="22"/>
  <c r="AA37" i="21" a="1"/>
  <c r="AH32" i="23"/>
  <c r="AA38" i="21" a="1"/>
  <c r="AH14" i="22"/>
  <c r="AH35" i="21"/>
  <c r="AH13" i="22"/>
  <c r="AH24" i="1"/>
  <c r="AH38" i="21"/>
  <c r="AA26" i="23" a="1"/>
  <c r="AA19" i="21" a="1"/>
  <c r="AA38" i="1" a="1"/>
  <c r="AH12" i="22"/>
  <c r="AH7" i="21"/>
  <c r="AH39" i="1"/>
  <c r="AA15" i="21" a="1"/>
  <c r="AA30" i="1" a="1"/>
  <c r="AA37" i="1" a="1"/>
  <c r="AH20" i="23"/>
  <c r="AA25" i="22" a="1"/>
  <c r="AA42" i="1" a="1"/>
  <c r="AH40" i="21"/>
  <c r="AH37" i="23"/>
  <c r="AA33" i="1" a="1"/>
  <c r="AA28" i="1" a="1"/>
  <c r="AH21" i="1"/>
  <c r="AA9" i="21" a="1"/>
  <c r="AA8" i="22" a="1"/>
  <c r="AA27" i="22" a="1"/>
  <c r="AA25" i="23" a="1"/>
  <c r="AH35" i="23"/>
  <c r="AA34" i="21" a="1"/>
  <c r="AH32" i="21"/>
  <c r="AA19" i="23" a="1"/>
  <c r="AA40" i="1" a="1"/>
  <c r="AH10" i="21"/>
  <c r="AH13" i="23"/>
  <c r="AA8" i="21" a="1"/>
  <c r="AH15" i="23"/>
  <c r="AH39" i="23"/>
  <c r="AH20" i="22"/>
  <c r="AH23" i="22"/>
  <c r="AH23" i="23"/>
  <c r="AA8" i="23" a="1"/>
  <c r="AH10" i="23"/>
  <c r="AH42" i="21"/>
  <c r="AH19" i="1"/>
  <c r="AA25" i="1" a="1"/>
  <c r="AH21" i="21"/>
  <c r="AA27" i="1" a="1"/>
  <c r="AA18" i="23" a="1"/>
  <c r="AA6" i="1" a="1"/>
  <c r="AA11" i="1" a="1"/>
  <c r="AA22" i="23" a="1"/>
  <c r="AA18" i="21" a="1"/>
  <c r="AH41" i="1"/>
  <c r="AH8" i="23"/>
  <c r="AH9" i="22"/>
  <c r="AH31" i="1"/>
  <c r="AA31" i="21" a="1"/>
  <c r="AA23" i="1" a="1"/>
  <c r="AH6" i="21"/>
  <c r="AA18" i="22" a="1"/>
  <c r="AA27" i="21" a="1"/>
  <c r="AH14" i="21"/>
  <c r="AH25" i="22"/>
  <c r="AA10" i="1" a="1"/>
  <c r="AH43" i="1"/>
  <c r="AA36" i="21" a="1"/>
  <c r="AA14" i="22" a="1"/>
  <c r="AA13" i="22" a="1"/>
  <c r="AA15" i="1" a="1"/>
  <c r="AH14" i="1"/>
  <c r="AH26" i="22"/>
  <c r="AA45" i="1" a="1"/>
  <c r="AH7" i="1"/>
  <c r="AA32" i="23" a="1"/>
  <c r="AH7" i="23"/>
  <c r="AA12" i="1" a="1"/>
  <c r="AH29" i="21"/>
  <c r="AA24" i="23" a="1"/>
  <c r="AH22" i="21"/>
  <c r="AH15" i="22"/>
  <c r="AA39" i="21" a="1"/>
  <c r="AH36" i="1"/>
  <c r="AH37" i="21"/>
  <c r="AA37" i="23" a="1"/>
  <c r="AH37" i="1"/>
  <c r="AH15" i="1"/>
  <c r="AA33" i="21" a="1"/>
  <c r="AH17" i="1"/>
  <c r="AH26" i="23"/>
  <c r="AA12" i="22" a="1"/>
  <c r="AH18" i="23"/>
  <c r="AA15" i="23" a="1"/>
  <c r="AH16" i="22"/>
  <c r="AH8" i="22"/>
  <c r="AH9" i="23"/>
  <c r="AA19" i="1" a="1"/>
  <c r="AA42" i="21" a="1"/>
  <c r="AA32" i="21" a="1"/>
  <c r="AH18" i="21"/>
  <c r="AH18" i="1"/>
  <c r="AA22" i="1" a="1"/>
  <c r="AA41" i="1" a="1"/>
  <c r="AH6" i="1"/>
  <c r="AA44" i="1" a="1"/>
  <c r="AH31" i="23"/>
  <c r="AH33" i="21"/>
  <c r="AA41" i="21" a="1"/>
  <c r="AA38" i="23" a="1"/>
  <c r="AH39" i="21"/>
  <c r="AA21" i="1" a="1"/>
  <c r="AA20" i="21" a="1"/>
  <c r="AH22" i="22"/>
  <c r="AH33" i="1"/>
  <c r="AA11" i="21" a="1"/>
  <c r="AH9" i="1"/>
  <c r="AA21" i="21" a="1"/>
  <c r="AA16" i="22" a="1"/>
  <c r="AH8" i="1"/>
  <c r="AA19" i="22" a="1"/>
  <c r="AA7" i="21" a="1"/>
  <c r="AH29" i="1"/>
  <c r="AA11" i="22" a="1"/>
  <c r="AH29" i="23"/>
  <c r="AA17" i="23" a="1"/>
  <c r="AH23" i="1"/>
  <c r="AA11" i="23" a="1"/>
  <c r="AA23" i="21" a="1"/>
  <c r="AA12" i="23" a="1"/>
  <c r="AH28" i="23"/>
  <c r="AH34" i="23"/>
  <c r="AA23" i="23" a="1"/>
  <c r="AH33" i="23"/>
  <c r="AA16" i="1" a="1"/>
  <c r="AH30" i="23"/>
  <c r="AH22" i="1"/>
  <c r="AH14" i="23"/>
  <c r="AA20" i="1" a="1"/>
  <c r="AA21" i="22" a="1"/>
  <c r="AH44" i="1"/>
  <c r="AA25" i="21" a="1"/>
  <c r="AH35" i="1"/>
  <c r="AH10" i="22"/>
  <c r="AA30" i="21" a="1"/>
  <c r="AH13" i="21"/>
  <c r="AA35" i="21" a="1"/>
  <c r="AA35" i="1" a="1"/>
  <c r="AA39" i="1" a="1"/>
  <c r="AA28" i="21" a="1"/>
  <c r="AH34" i="1"/>
  <c r="AH16" i="23"/>
  <c r="AA9" i="23" a="1"/>
  <c r="AA8" i="1" a="1"/>
  <c r="AH27" i="23"/>
  <c r="AH26" i="1"/>
  <c r="AA6" i="21" a="1"/>
  <c r="AH6" i="23"/>
  <c r="AH21" i="23"/>
  <c r="AH20" i="21"/>
  <c r="AH34" i="21"/>
  <c r="AH9" i="21"/>
  <c r="AA40" i="21" a="1"/>
  <c r="AH30" i="1"/>
  <c r="AH31" i="21"/>
  <c r="AA31" i="23" a="1"/>
  <c r="AH38" i="23"/>
  <c r="AH27" i="22"/>
  <c r="AA10" i="21" a="1"/>
  <c r="AH38" i="1"/>
  <c r="AH13" i="1"/>
  <c r="AH24" i="23"/>
  <c r="AA20" i="22" a="1"/>
  <c r="AH8" i="21"/>
  <c r="AA20" i="23" a="1"/>
  <c r="AH17" i="23"/>
  <c r="AA10" i="23" a="1"/>
  <c r="AH26" i="21"/>
  <c r="AH19" i="23"/>
  <c r="AH30" i="21"/>
  <c r="AA9" i="22" a="1"/>
  <c r="AA23" i="22" a="1"/>
  <c r="AH16" i="1"/>
  <c r="AA13" i="21" a="1"/>
  <c r="AH25" i="21"/>
  <c r="AA32" i="1" a="1"/>
  <c r="AH6" i="22"/>
  <c r="AA24" i="22" a="1"/>
  <c r="AA6" i="22" a="1"/>
  <c r="AH20" i="1"/>
  <c r="AA22" i="22" a="1"/>
  <c r="AH42" i="1"/>
  <c r="AH15" i="21"/>
  <c r="AA12" i="21" a="1"/>
  <c r="AH12" i="21"/>
  <c r="AH41" i="21"/>
  <c r="AA35" i="23" a="1"/>
  <c r="AH19" i="21"/>
  <c r="AH27" i="1"/>
  <c r="AH16" i="21"/>
  <c r="AH28" i="1"/>
  <c r="AA26" i="21" a="1"/>
  <c r="AH7" i="22"/>
  <c r="AA14" i="23" a="1"/>
  <c r="AA9" i="1" a="1"/>
  <c r="AH36" i="21"/>
  <c r="AA30" i="23" a="1"/>
  <c r="AA24" i="1" a="1"/>
  <c r="AH25" i="1"/>
  <c r="AH25" i="23"/>
  <c r="AH11" i="23"/>
  <c r="AA39" i="23" a="1"/>
  <c r="AA29" i="23" a="1"/>
  <c r="AA10" i="22" a="1"/>
  <c r="AA17" i="22" a="1"/>
  <c r="AH11" i="21"/>
  <c r="AA7" i="22" a="1"/>
  <c r="AH23" i="21"/>
  <c r="AH19" i="22"/>
  <c r="AA13" i="23" a="1"/>
  <c r="AA16" i="21" a="1"/>
  <c r="AA43" i="1" a="1"/>
  <c r="AA14" i="21" a="1"/>
  <c r="J3" i="12" a="1"/>
  <c r="AH18" i="22"/>
  <c r="AH21" i="22"/>
  <c r="AH27" i="21"/>
  <c r="AA17" i="21" a="1"/>
  <c r="AA24" i="21" a="1"/>
  <c r="AH11" i="1"/>
  <c r="AA28" i="23" a="1"/>
  <c r="AH22" i="23"/>
  <c r="AA36" i="1" a="1"/>
  <c r="AH36" i="23"/>
  <c r="AA6" i="23" a="1"/>
  <c r="AA22" i="21" a="1"/>
  <c r="AA21" i="23" a="1"/>
  <c r="AA15" i="22" a="1"/>
  <c r="AA7" i="1" a="1"/>
  <c r="AH24" i="21"/>
  <c r="AA34" i="1" a="1"/>
  <c r="AH45" i="1"/>
  <c r="AA16" i="23" a="1"/>
  <c r="AA36" i="23" a="1"/>
  <c r="AH32" i="1"/>
  <c r="AA14" i="1" a="1"/>
  <c r="AH28" i="21"/>
  <c r="AH17" i="21"/>
  <c r="AA18" i="1" a="1"/>
  <c r="AH40" i="1"/>
  <c r="AH10" i="1"/>
  <c r="AA13" i="1" a="1"/>
  <c r="AA26" i="1" a="1"/>
  <c r="AA29" i="21" a="1"/>
  <c r="AH17" i="22"/>
  <c r="AH11" i="22"/>
  <c r="AA29" i="1" a="1"/>
  <c r="AA34" i="23" a="1"/>
  <c r="AA17" i="1" a="1"/>
  <c r="AA31" i="1" a="1"/>
  <c r="AA33" i="23" a="1"/>
  <c r="AH12" i="23"/>
  <c r="AA26" i="22" a="1"/>
  <c r="K14" i="12" l="1"/>
  <c r="K13" i="12"/>
  <c r="K9" i="12"/>
  <c r="J10" i="12"/>
  <c r="K46" i="12"/>
  <c r="J21" i="12"/>
  <c r="K53" i="12"/>
  <c r="K29" i="12"/>
  <c r="J15" i="12"/>
  <c r="J47" i="12"/>
  <c r="J9" i="12"/>
  <c r="J40" i="12"/>
  <c r="K45" i="12"/>
  <c r="K64" i="12"/>
  <c r="K11" i="12"/>
  <c r="J4" i="12"/>
  <c r="K19" i="12"/>
  <c r="K37" i="12"/>
  <c r="J39" i="12"/>
  <c r="J16" i="12"/>
  <c r="K40" i="12"/>
  <c r="J55" i="12"/>
  <c r="J59" i="12"/>
  <c r="J38" i="12"/>
  <c r="J33" i="12"/>
  <c r="J7" i="12"/>
  <c r="K56" i="12"/>
  <c r="K49" i="12"/>
  <c r="K24" i="12"/>
  <c r="K8" i="12"/>
  <c r="K5" i="12"/>
  <c r="J45" i="12"/>
  <c r="K35" i="12"/>
  <c r="J54" i="12"/>
  <c r="J35" i="12"/>
  <c r="J56" i="12"/>
  <c r="J52" i="12"/>
  <c r="J24" i="12"/>
  <c r="J26" i="12"/>
  <c r="K18" i="12"/>
  <c r="J37" i="12"/>
  <c r="K20" i="12"/>
  <c r="J6" i="12"/>
  <c r="K43" i="12"/>
  <c r="J14" i="12"/>
  <c r="K27" i="12"/>
  <c r="K47" i="12"/>
  <c r="J42" i="12"/>
  <c r="J8" i="12"/>
  <c r="K12" i="12"/>
  <c r="J51" i="12"/>
  <c r="K58" i="12"/>
  <c r="J25" i="12"/>
  <c r="K22" i="12"/>
  <c r="K30" i="12"/>
  <c r="K32" i="12"/>
  <c r="K7" i="12"/>
  <c r="K44" i="12"/>
  <c r="K16" i="12"/>
  <c r="K25" i="12"/>
  <c r="K23" i="12"/>
  <c r="K60" i="12"/>
  <c r="J3" i="12"/>
  <c r="K3" i="12"/>
  <c r="J43" i="12"/>
  <c r="K31" i="12"/>
  <c r="J17" i="12"/>
  <c r="J30" i="12"/>
  <c r="K59" i="12"/>
  <c r="K17" i="12"/>
  <c r="J64" i="12"/>
  <c r="K41" i="12"/>
  <c r="J60" i="12"/>
  <c r="K55" i="12"/>
  <c r="J61" i="12"/>
  <c r="K42" i="12"/>
  <c r="J63" i="12"/>
  <c r="K21" i="12"/>
  <c r="J23" i="12"/>
  <c r="K10" i="12"/>
  <c r="J29" i="12"/>
  <c r="K51" i="12"/>
  <c r="K48" i="12"/>
  <c r="K54" i="12"/>
  <c r="J5" i="12"/>
  <c r="J28" i="12"/>
  <c r="K34" i="12"/>
  <c r="K36" i="12"/>
  <c r="K33" i="12"/>
  <c r="K63" i="12"/>
  <c r="K4" i="12"/>
  <c r="K62" i="12"/>
  <c r="J22" i="12"/>
  <c r="J18" i="12"/>
  <c r="J57" i="12"/>
  <c r="J62" i="12"/>
  <c r="K26" i="12"/>
  <c r="K6" i="12"/>
  <c r="K57" i="12"/>
  <c r="J44" i="12"/>
  <c r="J46" i="12"/>
  <c r="K38" i="12"/>
  <c r="J34" i="12"/>
  <c r="J32" i="12"/>
  <c r="J50" i="12"/>
  <c r="J41" i="12"/>
  <c r="J49" i="12"/>
  <c r="K28" i="12"/>
  <c r="J12" i="12"/>
  <c r="J20" i="12"/>
  <c r="J53" i="12"/>
  <c r="J48" i="12"/>
  <c r="J36" i="12"/>
  <c r="J27" i="12"/>
  <c r="J31" i="12"/>
  <c r="K39" i="12"/>
  <c r="K50" i="12"/>
  <c r="J11" i="12"/>
  <c r="K15" i="12"/>
  <c r="K52" i="12"/>
  <c r="J58" i="12"/>
  <c r="K61" i="12"/>
  <c r="J13" i="12"/>
  <c r="J19" i="12"/>
  <c r="AD17" i="1"/>
  <c r="AF17" i="1"/>
  <c r="AG17" i="1"/>
  <c r="AE17" i="1"/>
  <c r="AB17" i="1"/>
  <c r="AC17" i="1"/>
  <c r="AA17" i="1"/>
  <c r="Y17" i="1"/>
  <c r="Y39" i="21"/>
  <c r="AD39" i="21"/>
  <c r="AC39" i="21"/>
  <c r="AA39" i="21"/>
  <c r="AG39" i="21"/>
  <c r="AE39" i="21"/>
  <c r="AF39" i="21"/>
  <c r="AB39" i="21"/>
  <c r="Y23" i="22"/>
  <c r="AA23" i="22"/>
  <c r="AD23" i="22"/>
  <c r="AC23" i="22"/>
  <c r="AE23" i="22"/>
  <c r="AF23" i="22"/>
  <c r="AB23" i="22"/>
  <c r="AG23" i="22"/>
  <c r="AD7" i="21"/>
  <c r="AF7" i="21"/>
  <c r="AB7" i="21"/>
  <c r="AG7" i="21"/>
  <c r="AA7" i="21"/>
  <c r="AC7" i="21"/>
  <c r="AE7" i="21"/>
  <c r="Y7" i="21"/>
  <c r="Y24" i="23"/>
  <c r="AA24" i="23"/>
  <c r="AB24" i="23"/>
  <c r="AE24" i="23"/>
  <c r="AD24" i="23"/>
  <c r="AF24" i="23"/>
  <c r="AC24" i="23"/>
  <c r="AG24" i="23"/>
  <c r="AD37" i="21"/>
  <c r="AE37" i="21"/>
  <c r="AC37" i="21"/>
  <c r="AG37" i="21"/>
  <c r="AF37" i="21"/>
  <c r="AB37" i="21"/>
  <c r="AA37" i="21"/>
  <c r="Y37" i="21"/>
  <c r="AD38" i="21"/>
  <c r="AG38" i="21"/>
  <c r="AB38" i="21"/>
  <c r="AF38" i="21"/>
  <c r="AC38" i="21"/>
  <c r="AE38" i="21"/>
  <c r="AA38" i="21"/>
  <c r="Y38" i="21"/>
  <c r="AB33" i="1"/>
  <c r="AD33" i="1"/>
  <c r="AE33" i="1"/>
  <c r="AG33" i="1"/>
  <c r="AA33" i="1"/>
  <c r="AF33" i="1"/>
  <c r="AC33" i="1"/>
  <c r="Y33" i="1"/>
  <c r="Y36" i="1"/>
  <c r="AG36" i="1"/>
  <c r="AF36" i="1"/>
  <c r="AD36" i="1"/>
  <c r="AB36" i="1"/>
  <c r="AA36" i="1"/>
  <c r="AC36" i="1"/>
  <c r="AE36" i="1"/>
  <c r="Y40" i="23"/>
  <c r="AC40" i="23"/>
  <c r="AD40" i="23"/>
  <c r="AB40" i="23"/>
  <c r="AF40" i="23"/>
  <c r="AE40" i="23"/>
  <c r="AA40" i="23"/>
  <c r="AG40" i="23"/>
  <c r="AG39" i="1"/>
  <c r="AD39" i="1"/>
  <c r="AB39" i="1"/>
  <c r="AC39" i="1"/>
  <c r="AE39" i="1"/>
  <c r="AF39" i="1"/>
  <c r="AA39" i="1"/>
  <c r="Y39" i="1"/>
  <c r="Y17" i="21"/>
  <c r="AF17" i="21"/>
  <c r="AG17" i="21"/>
  <c r="AB17" i="21"/>
  <c r="AE17" i="21"/>
  <c r="AA17" i="21"/>
  <c r="AC17" i="21"/>
  <c r="AD17" i="21"/>
  <c r="AG35" i="1"/>
  <c r="AC35" i="1"/>
  <c r="AF35" i="1"/>
  <c r="AB35" i="1"/>
  <c r="AD35" i="1"/>
  <c r="AA35" i="1"/>
  <c r="AE35" i="1"/>
  <c r="Y35" i="1"/>
  <c r="AG14" i="23"/>
  <c r="AE14" i="23"/>
  <c r="AB14" i="23"/>
  <c r="AC14" i="23"/>
  <c r="AD14" i="23"/>
  <c r="AF14" i="23"/>
  <c r="AA14" i="23"/>
  <c r="Y14" i="23"/>
  <c r="Y29" i="1"/>
  <c r="AG29" i="1"/>
  <c r="AB29" i="1"/>
  <c r="AA29" i="1"/>
  <c r="AD29" i="1"/>
  <c r="AF29" i="1"/>
  <c r="AC29" i="1"/>
  <c r="AE29" i="1"/>
  <c r="AC24" i="1"/>
  <c r="AD24" i="1"/>
  <c r="AA24" i="1"/>
  <c r="AF24" i="1"/>
  <c r="AB24" i="1"/>
  <c r="AG24" i="1"/>
  <c r="AE24" i="1"/>
  <c r="Y24" i="1"/>
  <c r="Y34" i="23"/>
  <c r="AE34" i="23"/>
  <c r="AA34" i="23"/>
  <c r="AG34" i="23"/>
  <c r="AD34" i="23"/>
  <c r="AF34" i="23"/>
  <c r="AC34" i="23"/>
  <c r="AB34" i="23"/>
  <c r="AG7" i="22"/>
  <c r="AF7" i="22"/>
  <c r="AA7" i="22"/>
  <c r="AE7" i="22"/>
  <c r="AB7" i="22"/>
  <c r="AD7" i="22"/>
  <c r="AC7" i="22"/>
  <c r="Y7" i="22"/>
  <c r="AF12" i="23"/>
  <c r="AC12" i="23"/>
  <c r="AE12" i="23"/>
  <c r="AG12" i="23"/>
  <c r="AA12" i="23"/>
  <c r="AD12" i="23"/>
  <c r="AB12" i="23"/>
  <c r="Y12" i="23"/>
  <c r="AC26" i="21"/>
  <c r="AD26" i="21"/>
  <c r="AF26" i="21"/>
  <c r="AB26" i="21"/>
  <c r="AE26" i="21"/>
  <c r="AG26" i="21"/>
  <c r="AA26" i="21"/>
  <c r="Y26" i="21"/>
  <c r="AF21" i="21"/>
  <c r="AG21" i="21"/>
  <c r="AC21" i="21"/>
  <c r="AD21" i="21"/>
  <c r="AA21" i="21"/>
  <c r="AE21" i="21"/>
  <c r="AB21" i="21"/>
  <c r="Y21" i="21"/>
  <c r="AD6" i="21"/>
  <c r="AF6" i="21"/>
  <c r="AE6" i="21"/>
  <c r="AC6" i="21"/>
  <c r="AA6" i="21"/>
  <c r="AB6" i="21"/>
  <c r="AG6" i="21"/>
  <c r="Y6" i="21"/>
  <c r="AB36" i="23"/>
  <c r="AE36" i="23"/>
  <c r="AC36" i="23"/>
  <c r="AG36" i="23"/>
  <c r="AA36" i="23"/>
  <c r="AD36" i="23"/>
  <c r="AF36" i="23"/>
  <c r="Y36" i="23"/>
  <c r="Y41" i="23"/>
  <c r="AE41" i="23"/>
  <c r="AC41" i="23"/>
  <c r="AB41" i="23"/>
  <c r="AA41" i="23"/>
  <c r="AD41" i="23"/>
  <c r="AF41" i="23"/>
  <c r="AG41" i="23"/>
  <c r="Y12" i="22"/>
  <c r="AB12" i="22"/>
  <c r="AC12" i="22"/>
  <c r="AG12" i="22"/>
  <c r="AD12" i="22"/>
  <c r="AA12" i="22"/>
  <c r="AF12" i="22"/>
  <c r="AE12" i="22"/>
  <c r="Y25" i="22"/>
  <c r="AC25" i="22"/>
  <c r="AF25" i="22"/>
  <c r="AA25" i="22"/>
  <c r="AG25" i="22"/>
  <c r="AB25" i="22"/>
  <c r="AD25" i="22"/>
  <c r="AE25" i="22"/>
  <c r="AF28" i="1"/>
  <c r="AA28" i="1"/>
  <c r="AG28" i="1"/>
  <c r="AD28" i="1"/>
  <c r="AB28" i="1"/>
  <c r="AC28" i="1"/>
  <c r="AE28" i="1"/>
  <c r="Y28" i="1"/>
  <c r="Y7" i="1"/>
  <c r="AE7" i="1"/>
  <c r="AC7" i="1"/>
  <c r="AF7" i="1"/>
  <c r="AA7" i="1"/>
  <c r="AB7" i="1"/>
  <c r="AG7" i="1"/>
  <c r="AD7" i="1"/>
  <c r="AA15" i="22"/>
  <c r="AF15" i="22"/>
  <c r="AE15" i="22"/>
  <c r="AG15" i="22"/>
  <c r="AD15" i="22"/>
  <c r="AC15" i="22"/>
  <c r="AB15" i="22"/>
  <c r="Y15" i="22"/>
  <c r="AD25" i="1"/>
  <c r="AA25" i="1"/>
  <c r="AE25" i="1"/>
  <c r="AC25" i="1"/>
  <c r="AB25" i="1"/>
  <c r="AF25" i="1"/>
  <c r="AG25" i="1"/>
  <c r="Y25" i="1"/>
  <c r="AA24" i="21"/>
  <c r="AF24" i="21"/>
  <c r="AE24" i="21"/>
  <c r="AB24" i="21"/>
  <c r="AD24" i="21"/>
  <c r="AG24" i="21"/>
  <c r="AC24" i="21"/>
  <c r="Y24" i="21"/>
  <c r="Y22" i="1"/>
  <c r="AF22" i="1"/>
  <c r="AE22" i="1"/>
  <c r="AG22" i="1"/>
  <c r="AD22" i="1"/>
  <c r="AA22" i="1"/>
  <c r="AB22" i="1"/>
  <c r="AC22" i="1"/>
  <c r="Y36" i="21"/>
  <c r="AD36" i="21"/>
  <c r="AG36" i="21"/>
  <c r="AF36" i="21"/>
  <c r="AA36" i="21"/>
  <c r="AE36" i="21"/>
  <c r="AB36" i="21"/>
  <c r="AC36" i="21"/>
  <c r="AC38" i="23"/>
  <c r="AF38" i="23"/>
  <c r="AB38" i="23"/>
  <c r="AE38" i="23"/>
  <c r="AA38" i="23"/>
  <c r="AG38" i="23"/>
  <c r="AD38" i="23"/>
  <c r="Y38" i="23"/>
  <c r="AD18" i="21"/>
  <c r="AA18" i="21"/>
  <c r="AC18" i="21"/>
  <c r="AB18" i="21"/>
  <c r="AG18" i="21"/>
  <c r="AF18" i="21"/>
  <c r="AE18" i="21"/>
  <c r="Y18" i="21"/>
  <c r="Y20" i="22"/>
  <c r="AC20" i="22"/>
  <c r="AE20" i="22"/>
  <c r="AD20" i="22"/>
  <c r="AG20" i="22"/>
  <c r="AF20" i="22"/>
  <c r="AA20" i="22"/>
  <c r="AB20" i="22"/>
  <c r="Y23" i="21"/>
  <c r="AD23" i="21"/>
  <c r="AG23" i="21"/>
  <c r="AE23" i="21"/>
  <c r="AF23" i="21"/>
  <c r="AA23" i="21"/>
  <c r="AB23" i="21"/>
  <c r="AC23" i="21"/>
  <c r="Y24" i="22"/>
  <c r="AB24" i="22"/>
  <c r="AD24" i="22"/>
  <c r="AE24" i="22"/>
  <c r="AG24" i="22"/>
  <c r="AA24" i="22"/>
  <c r="AF24" i="22"/>
  <c r="AC24" i="22"/>
  <c r="AF11" i="21"/>
  <c r="AA11" i="21"/>
  <c r="AG11" i="21"/>
  <c r="AE11" i="21"/>
  <c r="AD11" i="21"/>
  <c r="AB11" i="21"/>
  <c r="AC11" i="21"/>
  <c r="Y11" i="21"/>
  <c r="Y37" i="23"/>
  <c r="AD37" i="23"/>
  <c r="AB37" i="23"/>
  <c r="AC37" i="23"/>
  <c r="AG37" i="23"/>
  <c r="AA37" i="23"/>
  <c r="AF37" i="23"/>
  <c r="AE37" i="23"/>
  <c r="Y34" i="21"/>
  <c r="AC34" i="21"/>
  <c r="AB34" i="21"/>
  <c r="AA34" i="21"/>
  <c r="AG34" i="21"/>
  <c r="AE34" i="21"/>
  <c r="AD34" i="21"/>
  <c r="AF34" i="21"/>
  <c r="Y27" i="21"/>
  <c r="AA27" i="21"/>
  <c r="AF27" i="21"/>
  <c r="AE27" i="21"/>
  <c r="AG27" i="21"/>
  <c r="AD27" i="21"/>
  <c r="AC27" i="21"/>
  <c r="AB27" i="21"/>
  <c r="AB8" i="22"/>
  <c r="AD8" i="22"/>
  <c r="AC8" i="22"/>
  <c r="AF8" i="22"/>
  <c r="AE8" i="22"/>
  <c r="AA8" i="22"/>
  <c r="AG8" i="22"/>
  <c r="Y8" i="22"/>
  <c r="Y28" i="21"/>
  <c r="AB28" i="21"/>
  <c r="AC28" i="21"/>
  <c r="AG28" i="21"/>
  <c r="AA28" i="21"/>
  <c r="AE28" i="21"/>
  <c r="AF28" i="21"/>
  <c r="AD28" i="21"/>
  <c r="AF13" i="22"/>
  <c r="AE13" i="22"/>
  <c r="AG13" i="22"/>
  <c r="AB13" i="22"/>
  <c r="AC13" i="22"/>
  <c r="AA13" i="22"/>
  <c r="AD13" i="22"/>
  <c r="Y13" i="22"/>
  <c r="Y11" i="22"/>
  <c r="AF11" i="22"/>
  <c r="AD11" i="22"/>
  <c r="AA11" i="22"/>
  <c r="AB11" i="22"/>
  <c r="AC11" i="22"/>
  <c r="AG11" i="22"/>
  <c r="AE11" i="22"/>
  <c r="Y10" i="21"/>
  <c r="AC10" i="21"/>
  <c r="AG10" i="21"/>
  <c r="AA10" i="21"/>
  <c r="AD10" i="21"/>
  <c r="AF10" i="21"/>
  <c r="AE10" i="21"/>
  <c r="AB10" i="21"/>
  <c r="Y16" i="1"/>
  <c r="AA16" i="1"/>
  <c r="AE16" i="1"/>
  <c r="AF16" i="1"/>
  <c r="AC16" i="1"/>
  <c r="AD16" i="1"/>
  <c r="AB16" i="1"/>
  <c r="AG16" i="1"/>
  <c r="AB22" i="23"/>
  <c r="AG22" i="23"/>
  <c r="AA22" i="23"/>
  <c r="AF22" i="23"/>
  <c r="AD22" i="23"/>
  <c r="AC22" i="23"/>
  <c r="AE22" i="23"/>
  <c r="Y22" i="23"/>
  <c r="AB35" i="23"/>
  <c r="AG35" i="23"/>
  <c r="AA35" i="23"/>
  <c r="AC35" i="23"/>
  <c r="AE35" i="23"/>
  <c r="AF35" i="23"/>
  <c r="AD35" i="23"/>
  <c r="Y35" i="23"/>
  <c r="AB18" i="1"/>
  <c r="AA18" i="1"/>
  <c r="AG18" i="1"/>
  <c r="AF18" i="1"/>
  <c r="AC18" i="1"/>
  <c r="AD18" i="1"/>
  <c r="AE18" i="1"/>
  <c r="Y18" i="1"/>
  <c r="Y8" i="21"/>
  <c r="AE8" i="21"/>
  <c r="AB8" i="21"/>
  <c r="AC8" i="21"/>
  <c r="AA8" i="21"/>
  <c r="AF8" i="21"/>
  <c r="AD8" i="21"/>
  <c r="AG8" i="21"/>
  <c r="AF19" i="23"/>
  <c r="AE19" i="23"/>
  <c r="AB19" i="23"/>
  <c r="AG19" i="23"/>
  <c r="AC19" i="23"/>
  <c r="AD19" i="23"/>
  <c r="AA19" i="23"/>
  <c r="Y19" i="23"/>
  <c r="AC17" i="22"/>
  <c r="AB17" i="22"/>
  <c r="AE17" i="22"/>
  <c r="AD17" i="22"/>
  <c r="AA17" i="22"/>
  <c r="AF17" i="22"/>
  <c r="AG17" i="22"/>
  <c r="Y17" i="22"/>
  <c r="AA13" i="1"/>
  <c r="AD13" i="1"/>
  <c r="AB13" i="1"/>
  <c r="AC13" i="1"/>
  <c r="AE13" i="1"/>
  <c r="AF13" i="1"/>
  <c r="AG13" i="1"/>
  <c r="Y13" i="1"/>
  <c r="Y37" i="1"/>
  <c r="AD37" i="1"/>
  <c r="AG37" i="1"/>
  <c r="AF37" i="1"/>
  <c r="AC37" i="1"/>
  <c r="AE37" i="1"/>
  <c r="AB37" i="1"/>
  <c r="AA37" i="1"/>
  <c r="AG38" i="1"/>
  <c r="AA38" i="1"/>
  <c r="AF38" i="1"/>
  <c r="AD38" i="1"/>
  <c r="AB38" i="1"/>
  <c r="AE38" i="1"/>
  <c r="AC38" i="1"/>
  <c r="Y38" i="1"/>
  <c r="AD25" i="21"/>
  <c r="AB25" i="21"/>
  <c r="AC25" i="21"/>
  <c r="AA25" i="21"/>
  <c r="AF25" i="21"/>
  <c r="AG25" i="21"/>
  <c r="AE25" i="21"/>
  <c r="Y25" i="21"/>
  <c r="AE26" i="22"/>
  <c r="AC26" i="22"/>
  <c r="AD26" i="22"/>
  <c r="AB26" i="22"/>
  <c r="AF26" i="22"/>
  <c r="AG26" i="22"/>
  <c r="AA26" i="22"/>
  <c r="Y26" i="22"/>
  <c r="Y16" i="23"/>
  <c r="AE16" i="23"/>
  <c r="AG16" i="23"/>
  <c r="AD16" i="23"/>
  <c r="AB16" i="23"/>
  <c r="AF16" i="23"/>
  <c r="AC16" i="23"/>
  <c r="AA16" i="23"/>
  <c r="AD21" i="23"/>
  <c r="AE21" i="23"/>
  <c r="AA21" i="23"/>
  <c r="AG21" i="23"/>
  <c r="AF21" i="23"/>
  <c r="AB21" i="23"/>
  <c r="AC21" i="23"/>
  <c r="Y21" i="23"/>
  <c r="AC17" i="23"/>
  <c r="AE17" i="23"/>
  <c r="AG17" i="23"/>
  <c r="AA17" i="23"/>
  <c r="AB17" i="23"/>
  <c r="AD17" i="23"/>
  <c r="AF17" i="23"/>
  <c r="Y17" i="23"/>
  <c r="AE16" i="21"/>
  <c r="AD16" i="21"/>
  <c r="AA16" i="21"/>
  <c r="AC16" i="21"/>
  <c r="AG16" i="21"/>
  <c r="AF16" i="21"/>
  <c r="AB16" i="21"/>
  <c r="Y16" i="21"/>
  <c r="Y31" i="1"/>
  <c r="AD31" i="1"/>
  <c r="AG31" i="1"/>
  <c r="AA31" i="1"/>
  <c r="AF31" i="1"/>
  <c r="AC31" i="1"/>
  <c r="AE31" i="1"/>
  <c r="AB31" i="1"/>
  <c r="Y30" i="21"/>
  <c r="AC30" i="21"/>
  <c r="AA30" i="21"/>
  <c r="AB30" i="21"/>
  <c r="AE30" i="21"/>
  <c r="AD30" i="21"/>
  <c r="AF30" i="21"/>
  <c r="AG30" i="21"/>
  <c r="AE41" i="21"/>
  <c r="AF41" i="21"/>
  <c r="AB41" i="21"/>
  <c r="AC41" i="21"/>
  <c r="AD41" i="21"/>
  <c r="AG41" i="21"/>
  <c r="AA41" i="21"/>
  <c r="Y41" i="21"/>
  <c r="Y12" i="21"/>
  <c r="AC12" i="21"/>
  <c r="AG12" i="21"/>
  <c r="AF12" i="21"/>
  <c r="AB12" i="21"/>
  <c r="AD12" i="21"/>
  <c r="AA12" i="21"/>
  <c r="AE12" i="21"/>
  <c r="Y39" i="23"/>
  <c r="AF39" i="23"/>
  <c r="AB39" i="23"/>
  <c r="AC39" i="23"/>
  <c r="AE39" i="23"/>
  <c r="AA39" i="23"/>
  <c r="AD39" i="23"/>
  <c r="AG39" i="23"/>
  <c r="Y18" i="23"/>
  <c r="AG18" i="23"/>
  <c r="AC18" i="23"/>
  <c r="AA18" i="23"/>
  <c r="AB18" i="23"/>
  <c r="AE18" i="23"/>
  <c r="AD18" i="23"/>
  <c r="AF18" i="23"/>
  <c r="Y12" i="1"/>
  <c r="AF12" i="1"/>
  <c r="AA12" i="1"/>
  <c r="AG12" i="1"/>
  <c r="AB12" i="1"/>
  <c r="AE12" i="1"/>
  <c r="AD12" i="1"/>
  <c r="AC12" i="1"/>
  <c r="Y6" i="22"/>
  <c r="AD6" i="22"/>
  <c r="AC6" i="22"/>
  <c r="AG6" i="22"/>
  <c r="AB6" i="22"/>
  <c r="AE6" i="22"/>
  <c r="AF6" i="22"/>
  <c r="AA6" i="22"/>
  <c r="Y40" i="21"/>
  <c r="AF40" i="21"/>
  <c r="AB40" i="21"/>
  <c r="AA40" i="21"/>
  <c r="AE40" i="21"/>
  <c r="AD40" i="21"/>
  <c r="AC40" i="21"/>
  <c r="AG40" i="21"/>
  <c r="AG22" i="22"/>
  <c r="AF22" i="22"/>
  <c r="AE22" i="22"/>
  <c r="AD22" i="22"/>
  <c r="AC22" i="22"/>
  <c r="AB22" i="22"/>
  <c r="AA22" i="22"/>
  <c r="Y22" i="22"/>
  <c r="Y21" i="22"/>
  <c r="AG21" i="22"/>
  <c r="AF21" i="22"/>
  <c r="AD21" i="22"/>
  <c r="AB21" i="22"/>
  <c r="AA21" i="22"/>
  <c r="AE21" i="22"/>
  <c r="AC21" i="22"/>
  <c r="AE20" i="1"/>
  <c r="AD20" i="1"/>
  <c r="AC20" i="1"/>
  <c r="AB20" i="1"/>
  <c r="AF20" i="1"/>
  <c r="AG20" i="1"/>
  <c r="AA20" i="1"/>
  <c r="Y20" i="1"/>
  <c r="AD14" i="1"/>
  <c r="AG14" i="1"/>
  <c r="AB14" i="1"/>
  <c r="AF14" i="1"/>
  <c r="AE14" i="1"/>
  <c r="AA14" i="1"/>
  <c r="AC14" i="1"/>
  <c r="Y14" i="1"/>
  <c r="AF35" i="21"/>
  <c r="AG35" i="21"/>
  <c r="AC35" i="21"/>
  <c r="AB35" i="21"/>
  <c r="AD35" i="21"/>
  <c r="AA35" i="21"/>
  <c r="AE35" i="21"/>
  <c r="Y35" i="21"/>
  <c r="AG42" i="21"/>
  <c r="AD42" i="21"/>
  <c r="AA42" i="21"/>
  <c r="AE42" i="21"/>
  <c r="AB42" i="21"/>
  <c r="AF42" i="21"/>
  <c r="AC42" i="21"/>
  <c r="Y42" i="21"/>
  <c r="AE8" i="23"/>
  <c r="AC8" i="23"/>
  <c r="AD8" i="23"/>
  <c r="AG8" i="23"/>
  <c r="AF8" i="23"/>
  <c r="AA8" i="23"/>
  <c r="AB8" i="23"/>
  <c r="Y8" i="23"/>
  <c r="AA41" i="1"/>
  <c r="AG41" i="1"/>
  <c r="AB41" i="1"/>
  <c r="AC41" i="1"/>
  <c r="AE41" i="1"/>
  <c r="AD41" i="1"/>
  <c r="AF41" i="1"/>
  <c r="Y41" i="1"/>
  <c r="Y28" i="23"/>
  <c r="AE28" i="23"/>
  <c r="AD28" i="23"/>
  <c r="AG28" i="23"/>
  <c r="AF28" i="23"/>
  <c r="AC28" i="23"/>
  <c r="AA28" i="23"/>
  <c r="AB28" i="23"/>
  <c r="Y25" i="23"/>
  <c r="AA25" i="23"/>
  <c r="AE25" i="23"/>
  <c r="AC25" i="23"/>
  <c r="AF25" i="23"/>
  <c r="AB25" i="23"/>
  <c r="AD25" i="23"/>
  <c r="AG25" i="23"/>
  <c r="AC9" i="21"/>
  <c r="AG9" i="21"/>
  <c r="AF9" i="21"/>
  <c r="AE9" i="21"/>
  <c r="AB9" i="21"/>
  <c r="AD9" i="21"/>
  <c r="AA9" i="21"/>
  <c r="Y9" i="21"/>
  <c r="AC13" i="23"/>
  <c r="AG13" i="23"/>
  <c r="AD13" i="23"/>
  <c r="AA13" i="23"/>
  <c r="AF13" i="23"/>
  <c r="AE13" i="23"/>
  <c r="AB13" i="23"/>
  <c r="Y13" i="23"/>
  <c r="Y9" i="1"/>
  <c r="AB9" i="1"/>
  <c r="AF9" i="1"/>
  <c r="AD9" i="1"/>
  <c r="AE9" i="1"/>
  <c r="AG9" i="1"/>
  <c r="AA9" i="1"/>
  <c r="AC9" i="1"/>
  <c r="Y29" i="21"/>
  <c r="AC29" i="21"/>
  <c r="AB29" i="21"/>
  <c r="AF29" i="21"/>
  <c r="AA29" i="21"/>
  <c r="AE29" i="21"/>
  <c r="AG29" i="21"/>
  <c r="AD29" i="21"/>
  <c r="Y10" i="1"/>
  <c r="AG10" i="1"/>
  <c r="AB10" i="1"/>
  <c r="AA10" i="1"/>
  <c r="AC10" i="1"/>
  <c r="AF10" i="1"/>
  <c r="AE10" i="1"/>
  <c r="AD10" i="1"/>
  <c r="Y30" i="1"/>
  <c r="AF30" i="1"/>
  <c r="AC30" i="1"/>
  <c r="AD30" i="1"/>
  <c r="AA30" i="1"/>
  <c r="AE30" i="1"/>
  <c r="AG30" i="1"/>
  <c r="AB30" i="1"/>
  <c r="AE19" i="21"/>
  <c r="AB19" i="21"/>
  <c r="AC19" i="21"/>
  <c r="AD19" i="21"/>
  <c r="AF19" i="21"/>
  <c r="AA19" i="21"/>
  <c r="AG19" i="21"/>
  <c r="Y19" i="21"/>
  <c r="Y14" i="21"/>
  <c r="AB14" i="21"/>
  <c r="AF14" i="21"/>
  <c r="AG14" i="21"/>
  <c r="AC14" i="21"/>
  <c r="AA14" i="21"/>
  <c r="AD14" i="21"/>
  <c r="AE14" i="21"/>
  <c r="AA13" i="21"/>
  <c r="AD13" i="21"/>
  <c r="AE13" i="21"/>
  <c r="AC13" i="21"/>
  <c r="AF13" i="21"/>
  <c r="AG13" i="21"/>
  <c r="AB13" i="21"/>
  <c r="Y13" i="21"/>
  <c r="AF45" i="1"/>
  <c r="AB45" i="1"/>
  <c r="AA45" i="1"/>
  <c r="AE45" i="1"/>
  <c r="AC45" i="1"/>
  <c r="AG45" i="1"/>
  <c r="AD45" i="1"/>
  <c r="Y45" i="1"/>
  <c r="AD22" i="21"/>
  <c r="AF22" i="21"/>
  <c r="AE22" i="21"/>
  <c r="AA22" i="21"/>
  <c r="AC22" i="21"/>
  <c r="AB22" i="21"/>
  <c r="AG22" i="21"/>
  <c r="Y22" i="21"/>
  <c r="Y19" i="1"/>
  <c r="AC19" i="1"/>
  <c r="AA19" i="1"/>
  <c r="AB19" i="1"/>
  <c r="AD19" i="1"/>
  <c r="AE19" i="1"/>
  <c r="AF19" i="1"/>
  <c r="AG19" i="1"/>
  <c r="Y9" i="23"/>
  <c r="AD9" i="23"/>
  <c r="AB9" i="23"/>
  <c r="AC9" i="23"/>
  <c r="AF9" i="23"/>
  <c r="AA9" i="23"/>
  <c r="AG9" i="23"/>
  <c r="AE9" i="23"/>
  <c r="Y30" i="23"/>
  <c r="AD30" i="23"/>
  <c r="AB30" i="23"/>
  <c r="AC30" i="23"/>
  <c r="AF30" i="23"/>
  <c r="AG30" i="23"/>
  <c r="AE30" i="23"/>
  <c r="AA30" i="23"/>
  <c r="AE43" i="1"/>
  <c r="AC43" i="1"/>
  <c r="AB43" i="1"/>
  <c r="AG43" i="1"/>
  <c r="AF43" i="1"/>
  <c r="AA43" i="1"/>
  <c r="AD43" i="1"/>
  <c r="Y43" i="1"/>
  <c r="Y33" i="21"/>
  <c r="AB33" i="21"/>
  <c r="AE33" i="21"/>
  <c r="AC33" i="21"/>
  <c r="AG33" i="21"/>
  <c r="AA33" i="21"/>
  <c r="AF33" i="21"/>
  <c r="AD33" i="21"/>
  <c r="Y15" i="1"/>
  <c r="AG15" i="1"/>
  <c r="AA15" i="1"/>
  <c r="AF15" i="1"/>
  <c r="AB15" i="1"/>
  <c r="AD15" i="1"/>
  <c r="AC15" i="1"/>
  <c r="AE15" i="1"/>
  <c r="AC19" i="22"/>
  <c r="AE19" i="22"/>
  <c r="AG19" i="22"/>
  <c r="AD19" i="22"/>
  <c r="AA19" i="22"/>
  <c r="AB19" i="22"/>
  <c r="AF19" i="22"/>
  <c r="Y19" i="22"/>
  <c r="Y11" i="23"/>
  <c r="AE11" i="23"/>
  <c r="AD11" i="23"/>
  <c r="AA11" i="23"/>
  <c r="AB11" i="23"/>
  <c r="AF11" i="23"/>
  <c r="AC11" i="23"/>
  <c r="AG11" i="23"/>
  <c r="AA27" i="23"/>
  <c r="AB27" i="23"/>
  <c r="AC27" i="23"/>
  <c r="AG27" i="23"/>
  <c r="AD27" i="23"/>
  <c r="AF27" i="23"/>
  <c r="AE27" i="23"/>
  <c r="Y27" i="23"/>
  <c r="AG8" i="1"/>
  <c r="AB8" i="1"/>
  <c r="AF8" i="1"/>
  <c r="AD8" i="1"/>
  <c r="AC8" i="1"/>
  <c r="AA8" i="1"/>
  <c r="AE8" i="1"/>
  <c r="Y8" i="1"/>
  <c r="AC42" i="1"/>
  <c r="AG42" i="1"/>
  <c r="AD42" i="1"/>
  <c r="AF42" i="1"/>
  <c r="AA42" i="1"/>
  <c r="AB42" i="1"/>
  <c r="AE42" i="1"/>
  <c r="Y42" i="1"/>
  <c r="Y20" i="21"/>
  <c r="AA20" i="21"/>
  <c r="AB20" i="21"/>
  <c r="AC20" i="21"/>
  <c r="AG20" i="21"/>
  <c r="AD20" i="21"/>
  <c r="AE20" i="21"/>
  <c r="AF20" i="21"/>
  <c r="Y18" i="22"/>
  <c r="AA18" i="22"/>
  <c r="AB18" i="22"/>
  <c r="AC18" i="22"/>
  <c r="AG18" i="22"/>
  <c r="AE18" i="22"/>
  <c r="AD18" i="22"/>
  <c r="AF18" i="22"/>
  <c r="AC23" i="1"/>
  <c r="AF23" i="1"/>
  <c r="AG23" i="1"/>
  <c r="AD23" i="1"/>
  <c r="AB23" i="1"/>
  <c r="AE23" i="1"/>
  <c r="AA23" i="1"/>
  <c r="Y23" i="1"/>
  <c r="Y32" i="1"/>
  <c r="AC32" i="1"/>
  <c r="AA32" i="1"/>
  <c r="AD32" i="1"/>
  <c r="AE32" i="1"/>
  <c r="AG32" i="1"/>
  <c r="AF32" i="1"/>
  <c r="AB32" i="1"/>
  <c r="AA14" i="22"/>
  <c r="AF14" i="22"/>
  <c r="AG14" i="22"/>
  <c r="AE14" i="22"/>
  <c r="AD14" i="22"/>
  <c r="AC14" i="22"/>
  <c r="AB14" i="22"/>
  <c r="Y14" i="22"/>
  <c r="AB10" i="23"/>
  <c r="AD10" i="23"/>
  <c r="AF10" i="23"/>
  <c r="AA10" i="23"/>
  <c r="AE10" i="23"/>
  <c r="AC10" i="23"/>
  <c r="AG10" i="23"/>
  <c r="Y10" i="23"/>
  <c r="Y23" i="23"/>
  <c r="AD23" i="23"/>
  <c r="AE23" i="23"/>
  <c r="AG23" i="23"/>
  <c r="AB23" i="23"/>
  <c r="AC23" i="23"/>
  <c r="AF23" i="23"/>
  <c r="AA23" i="23"/>
  <c r="AA33" i="23"/>
  <c r="AF33" i="23"/>
  <c r="AD33" i="23"/>
  <c r="AB33" i="23"/>
  <c r="AG33" i="23"/>
  <c r="AC33" i="23"/>
  <c r="AE33" i="23"/>
  <c r="Y33" i="23"/>
  <c r="AD11" i="1"/>
  <c r="AB11" i="1"/>
  <c r="AE11" i="1"/>
  <c r="AG11" i="1"/>
  <c r="AA11" i="1"/>
  <c r="AC11" i="1"/>
  <c r="AF11" i="1"/>
  <c r="Y11" i="1"/>
  <c r="Y27" i="22"/>
  <c r="AG27" i="22"/>
  <c r="AE27" i="22"/>
  <c r="AF27" i="22"/>
  <c r="AB27" i="22"/>
  <c r="AD27" i="22"/>
  <c r="AA27" i="22"/>
  <c r="AC27" i="22"/>
  <c r="Y21" i="1"/>
  <c r="AD21" i="1"/>
  <c r="AB21" i="1"/>
  <c r="AG21" i="1"/>
  <c r="AF21" i="1"/>
  <c r="AC21" i="1"/>
  <c r="AE21" i="1"/>
  <c r="AA21" i="1"/>
  <c r="Y16" i="22"/>
  <c r="AF16" i="22"/>
  <c r="AE16" i="22"/>
  <c r="AD16" i="22"/>
  <c r="AA16" i="22"/>
  <c r="AB16" i="22"/>
  <c r="AC16" i="22"/>
  <c r="AG16" i="22"/>
  <c r="Y32" i="21"/>
  <c r="AB32" i="21"/>
  <c r="AE32" i="21"/>
  <c r="AA32" i="21"/>
  <c r="AF32" i="21"/>
  <c r="AG32" i="21"/>
  <c r="AD32" i="21"/>
  <c r="AC32" i="21"/>
  <c r="Y26" i="1"/>
  <c r="AG26" i="1"/>
  <c r="AD26" i="1"/>
  <c r="AA26" i="1"/>
  <c r="AF26" i="1"/>
  <c r="AC26" i="1"/>
  <c r="AE26" i="1"/>
  <c r="AB26" i="1"/>
  <c r="Y40" i="1"/>
  <c r="AA40" i="1"/>
  <c r="AB40" i="1"/>
  <c r="AF40" i="1"/>
  <c r="AE40" i="1"/>
  <c r="AG40" i="1"/>
  <c r="AC40" i="1"/>
  <c r="AD40" i="1"/>
  <c r="Y15" i="21"/>
  <c r="AA15" i="21"/>
  <c r="AE15" i="21"/>
  <c r="AF15" i="21"/>
  <c r="AC15" i="21"/>
  <c r="AG15" i="21"/>
  <c r="AB15" i="21"/>
  <c r="AD15" i="21"/>
  <c r="AB26" i="23"/>
  <c r="AC26" i="23"/>
  <c r="AA26" i="23"/>
  <c r="AF26" i="23"/>
  <c r="AE26" i="23"/>
  <c r="AD26" i="23"/>
  <c r="AG26" i="23"/>
  <c r="Y26" i="23"/>
  <c r="Y44" i="1"/>
  <c r="AC44" i="1"/>
  <c r="AE44" i="1"/>
  <c r="AA44" i="1"/>
  <c r="AF44" i="1"/>
  <c r="AB44" i="1"/>
  <c r="AD44" i="1"/>
  <c r="AG44" i="1"/>
  <c r="Y6" i="1"/>
  <c r="AG6" i="1"/>
  <c r="AA6" i="1"/>
  <c r="AE6" i="1"/>
  <c r="AB6" i="1"/>
  <c r="AF6" i="1"/>
  <c r="AD6" i="1"/>
  <c r="AC6" i="1"/>
  <c r="Y34" i="1"/>
  <c r="AC34" i="1"/>
  <c r="AE34" i="1"/>
  <c r="AG34" i="1"/>
  <c r="AF34" i="1"/>
  <c r="AD34" i="1"/>
  <c r="AA34" i="1"/>
  <c r="AB34" i="1"/>
  <c r="AB6" i="23"/>
  <c r="AF6" i="23"/>
  <c r="AA6" i="23"/>
  <c r="AD6" i="23"/>
  <c r="AG6" i="23"/>
  <c r="AE6" i="23"/>
  <c r="AC6" i="23"/>
  <c r="Y29" i="23"/>
  <c r="AG29" i="23"/>
  <c r="AB29" i="23"/>
  <c r="AE29" i="23"/>
  <c r="AC29" i="23"/>
  <c r="AD29" i="23"/>
  <c r="AF29" i="23"/>
  <c r="AA29" i="23"/>
  <c r="AE20" i="23"/>
  <c r="AC20" i="23"/>
  <c r="AF20" i="23"/>
  <c r="AA20" i="23"/>
  <c r="AG20" i="23"/>
  <c r="AB20" i="23"/>
  <c r="AD20" i="23"/>
  <c r="Y20" i="23"/>
  <c r="Y9" i="22"/>
  <c r="AE9" i="22"/>
  <c r="AC9" i="22"/>
  <c r="AG9" i="22"/>
  <c r="AB9" i="22"/>
  <c r="AF9" i="22"/>
  <c r="AD9" i="22"/>
  <c r="AA9" i="22"/>
  <c r="AC10" i="22"/>
  <c r="AF10" i="22"/>
  <c r="AG10" i="22"/>
  <c r="AA10" i="22"/>
  <c r="AB10" i="22"/>
  <c r="AD10" i="22"/>
  <c r="AE10" i="22"/>
  <c r="Y10" i="22"/>
  <c r="Y31" i="23"/>
  <c r="AA31" i="23"/>
  <c r="AF31" i="23"/>
  <c r="AE31" i="23"/>
  <c r="AG31" i="23"/>
  <c r="AD31" i="23"/>
  <c r="AB31" i="23"/>
  <c r="AC31" i="23"/>
  <c r="Y31" i="21"/>
  <c r="AF31" i="21"/>
  <c r="AC31" i="21"/>
  <c r="AA31" i="21"/>
  <c r="AD31" i="21"/>
  <c r="AE31" i="21"/>
  <c r="AB31" i="21"/>
  <c r="AG31" i="21"/>
  <c r="Y15" i="23"/>
  <c r="AB15" i="23"/>
  <c r="AC15" i="23"/>
  <c r="AF15" i="23"/>
  <c r="AA15" i="23"/>
  <c r="AG15" i="23"/>
  <c r="AE15" i="23"/>
  <c r="AD15" i="23"/>
  <c r="Y27" i="1"/>
  <c r="AG27" i="1"/>
  <c r="AA27" i="1"/>
  <c r="AC27" i="1"/>
  <c r="AF27" i="1"/>
  <c r="AE27" i="1"/>
  <c r="AB27" i="1"/>
  <c r="AD27" i="1"/>
  <c r="AB7" i="23"/>
  <c r="AD7" i="23"/>
  <c r="AG7" i="23"/>
  <c r="AC7" i="23"/>
  <c r="AA7" i="23"/>
  <c r="AE7" i="23"/>
  <c r="AF7" i="23"/>
  <c r="Y7" i="23"/>
  <c r="AB32" i="23"/>
  <c r="AE32" i="23"/>
  <c r="AG32" i="23"/>
  <c r="AF32" i="23"/>
  <c r="AA32" i="23"/>
  <c r="AC32" i="23"/>
  <c r="AD32" i="23"/>
  <c r="Y32" i="23"/>
  <c r="Z41" i="23"/>
  <c r="Z40" i="23"/>
  <c r="Z30" i="1"/>
  <c r="Z6" i="21"/>
  <c r="Z7" i="1"/>
  <c r="Z24" i="21"/>
  <c r="Z44" i="1"/>
  <c r="Z12" i="21"/>
  <c r="Z34" i="1"/>
  <c r="Z41" i="1"/>
  <c r="Z7" i="23"/>
  <c r="Z34" i="21"/>
  <c r="Z21" i="23"/>
  <c r="Z17" i="23"/>
  <c r="Z27" i="22"/>
  <c r="Z35" i="21"/>
  <c r="Z13" i="22"/>
  <c r="Z39" i="23"/>
  <c r="Z13" i="21"/>
  <c r="Z20" i="21"/>
  <c r="Z38" i="1"/>
  <c r="Z31" i="1"/>
  <c r="Z27" i="1"/>
  <c r="Z14" i="23"/>
  <c r="Z30" i="23"/>
  <c r="Z22" i="23"/>
  <c r="Z39" i="21"/>
  <c r="Z36" i="23"/>
  <c r="Z16" i="23"/>
  <c r="Z43" i="1"/>
  <c r="Z26" i="23"/>
  <c r="Z24" i="1"/>
  <c r="Z34" i="23"/>
  <c r="Z21" i="1"/>
  <c r="Z8" i="23"/>
  <c r="Z26" i="1"/>
  <c r="Z29" i="23"/>
  <c r="Z21" i="22"/>
  <c r="Z22" i="1"/>
  <c r="Z11" i="21"/>
  <c r="Z6" i="1"/>
  <c r="Z35" i="23"/>
  <c r="Z17" i="22"/>
  <c r="Z40" i="21"/>
  <c r="Z15" i="22"/>
  <c r="Z33" i="1"/>
  <c r="Z29" i="21"/>
  <c r="Z10" i="23"/>
  <c r="Z19" i="23"/>
  <c r="Z23" i="22"/>
  <c r="Z19" i="1"/>
  <c r="Z28" i="21"/>
  <c r="Z23" i="1"/>
  <c r="Z26" i="21"/>
  <c r="Z22" i="22"/>
  <c r="Z16" i="1"/>
  <c r="Z12" i="22"/>
  <c r="Z30" i="21"/>
  <c r="Z13" i="1"/>
  <c r="Z25" i="21"/>
  <c r="Z28" i="23"/>
  <c r="Z40" i="1"/>
  <c r="Z42" i="21"/>
  <c r="Z11" i="23"/>
  <c r="Z14" i="22"/>
  <c r="Z23" i="21"/>
  <c r="Z31" i="23"/>
  <c r="Z16" i="22"/>
  <c r="Z32" i="23"/>
  <c r="Z18" i="23"/>
  <c r="Z29" i="1"/>
  <c r="Z26" i="22"/>
  <c r="Z12" i="1"/>
  <c r="Z33" i="21"/>
  <c r="Z18" i="1"/>
  <c r="Z32" i="1"/>
  <c r="Z13" i="23"/>
  <c r="Z41" i="21"/>
  <c r="Z7" i="21"/>
  <c r="Z42" i="1"/>
  <c r="Z24" i="22"/>
  <c r="Z14" i="21"/>
  <c r="Z19" i="21"/>
  <c r="Z10" i="21"/>
  <c r="Z28" i="1"/>
  <c r="Z37" i="21"/>
  <c r="Z18" i="22"/>
  <c r="Z37" i="23"/>
  <c r="Z39" i="1"/>
  <c r="Z15" i="1"/>
  <c r="Z15" i="21"/>
  <c r="Z7" i="22"/>
  <c r="Z37" i="1"/>
  <c r="Z22" i="21"/>
  <c r="Z33" i="23"/>
  <c r="Z38" i="23"/>
  <c r="Z9" i="23"/>
  <c r="Z9" i="22"/>
  <c r="Z20" i="22"/>
  <c r="Z10" i="22"/>
  <c r="Z10" i="1"/>
  <c r="Z24" i="23"/>
  <c r="Z38" i="21"/>
  <c r="Z16" i="21"/>
  <c r="Z36" i="21"/>
  <c r="Z12" i="23"/>
  <c r="Z11" i="22"/>
  <c r="Z9" i="21"/>
  <c r="Z19" i="22"/>
  <c r="Z8" i="21"/>
  <c r="Z18" i="21"/>
  <c r="Z45" i="1"/>
  <c r="Z8" i="1"/>
  <c r="Z6" i="22"/>
  <c r="Z20" i="23"/>
  <c r="Z36" i="1"/>
  <c r="Z27" i="23"/>
  <c r="Z23" i="23"/>
  <c r="Z17" i="21"/>
  <c r="Z9" i="1"/>
  <c r="Z11" i="1"/>
  <c r="Z32" i="21"/>
  <c r="Z25" i="22"/>
  <c r="Z25" i="1"/>
  <c r="Z17" i="1"/>
  <c r="Z25" i="23"/>
  <c r="Z35" i="1"/>
  <c r="Z8" i="22"/>
  <c r="Z14" i="1"/>
  <c r="Z15" i="23"/>
  <c r="Z20" i="1"/>
  <c r="Z27" i="21"/>
  <c r="Z21" i="21"/>
  <c r="Z31" i="21"/>
  <c r="AJ31" i="21" l="1"/>
  <c r="AJ9" i="22"/>
  <c r="AJ26" i="23"/>
  <c r="AJ33" i="23"/>
  <c r="AJ14" i="22"/>
  <c r="AJ8" i="1"/>
  <c r="AJ19" i="22"/>
  <c r="AJ45" i="1"/>
  <c r="AJ19" i="21"/>
  <c r="AJ42" i="21"/>
  <c r="AJ27" i="1"/>
  <c r="AJ31" i="23"/>
  <c r="AJ29" i="23"/>
  <c r="AJ9" i="21"/>
  <c r="AJ41" i="1"/>
  <c r="AJ35" i="21"/>
  <c r="AJ20" i="1"/>
  <c r="AJ41" i="21"/>
  <c r="AJ17" i="23"/>
  <c r="AJ26" i="22"/>
  <c r="AJ38" i="1"/>
  <c r="AJ13" i="1"/>
  <c r="AJ19" i="23"/>
  <c r="AJ35" i="23"/>
  <c r="AJ13" i="22"/>
  <c r="AJ18" i="21"/>
  <c r="AJ24" i="21"/>
  <c r="AJ15" i="22"/>
  <c r="AJ6" i="21"/>
  <c r="AJ26" i="21"/>
  <c r="AJ7" i="22"/>
  <c r="AJ35" i="1"/>
  <c r="AJ33" i="1"/>
  <c r="AJ37" i="21"/>
  <c r="AJ17" i="1"/>
  <c r="AJ32" i="23"/>
  <c r="AJ20" i="23"/>
  <c r="AJ15" i="23"/>
  <c r="AJ11" i="1"/>
  <c r="AJ10" i="23"/>
  <c r="AJ23" i="1"/>
  <c r="AJ42" i="1"/>
  <c r="AJ27" i="23"/>
  <c r="AJ43" i="1"/>
  <c r="AJ22" i="21"/>
  <c r="AJ13" i="21"/>
  <c r="AJ13" i="23"/>
  <c r="AJ8" i="23"/>
  <c r="AJ14" i="1"/>
  <c r="AJ22" i="22"/>
  <c r="AJ16" i="21"/>
  <c r="AJ21" i="23"/>
  <c r="AJ25" i="21"/>
  <c r="AJ17" i="22"/>
  <c r="AJ18" i="1"/>
  <c r="AJ22" i="23"/>
  <c r="AJ8" i="22"/>
  <c r="AJ11" i="21"/>
  <c r="AJ38" i="23"/>
  <c r="AJ25" i="1"/>
  <c r="AJ28" i="1"/>
  <c r="AJ36" i="23"/>
  <c r="AJ21" i="21"/>
  <c r="AJ12" i="23"/>
  <c r="AJ24" i="1"/>
  <c r="AJ14" i="23"/>
  <c r="AJ39" i="1"/>
  <c r="AJ38" i="21"/>
  <c r="AJ7" i="21"/>
  <c r="AJ7" i="23"/>
  <c r="AJ10" i="22"/>
  <c r="AJ34" i="1"/>
  <c r="AJ6" i="1"/>
  <c r="AJ44" i="1"/>
  <c r="AJ15" i="21"/>
  <c r="AJ40" i="1"/>
  <c r="AJ26" i="1"/>
  <c r="AJ32" i="21"/>
  <c r="AJ16" i="22"/>
  <c r="AJ21" i="1"/>
  <c r="AJ27" i="22"/>
  <c r="AJ23" i="23"/>
  <c r="AJ32" i="1"/>
  <c r="AJ18" i="22"/>
  <c r="AJ20" i="21"/>
  <c r="AJ11" i="23"/>
  <c r="AJ15" i="1"/>
  <c r="AJ33" i="21"/>
  <c r="AJ30" i="23"/>
  <c r="AJ9" i="23"/>
  <c r="AJ19" i="1"/>
  <c r="AJ14" i="21"/>
  <c r="AJ30" i="1"/>
  <c r="AJ10" i="1"/>
  <c r="AJ29" i="21"/>
  <c r="AJ9" i="1"/>
  <c r="AJ25" i="23"/>
  <c r="AJ28" i="23"/>
  <c r="AJ21" i="22"/>
  <c r="AJ40" i="21"/>
  <c r="AJ6" i="22"/>
  <c r="AJ12" i="1"/>
  <c r="AJ18" i="23"/>
  <c r="AJ39" i="23"/>
  <c r="AJ12" i="21"/>
  <c r="AJ30" i="21"/>
  <c r="AJ31" i="1"/>
  <c r="AJ16" i="23"/>
  <c r="AJ37" i="1"/>
  <c r="AJ8" i="21"/>
  <c r="AJ16" i="1"/>
  <c r="AJ10" i="21"/>
  <c r="AJ11" i="22"/>
  <c r="AJ28" i="21"/>
  <c r="AJ27" i="21"/>
  <c r="AJ34" i="21"/>
  <c r="AJ37" i="23"/>
  <c r="AJ24" i="22"/>
  <c r="AJ23" i="21"/>
  <c r="AJ20" i="22"/>
  <c r="AJ36" i="21"/>
  <c r="AJ22" i="1"/>
  <c r="AJ7" i="1"/>
  <c r="AJ25" i="22"/>
  <c r="AJ12" i="22"/>
  <c r="AJ41" i="23"/>
  <c r="AJ34" i="23"/>
  <c r="AJ29" i="1"/>
  <c r="AJ17" i="21"/>
  <c r="AJ40" i="23"/>
  <c r="AJ36" i="1"/>
  <c r="AJ24" i="23"/>
  <c r="AJ23" i="22"/>
  <c r="AJ39" i="21"/>
</calcChain>
</file>

<file path=xl/comments1.xml><?xml version="1.0" encoding="utf-8"?>
<comments xmlns="http://schemas.openxmlformats.org/spreadsheetml/2006/main">
  <authors>
    <author>Andrea Prampolini</author>
  </authors>
  <commentList>
    <comment ref="N8" authorId="0">
      <text>
        <r>
          <rPr>
            <b/>
            <sz val="8"/>
            <color indexed="81"/>
            <rFont val="Tahoma"/>
            <family val="2"/>
          </rPr>
          <t>standard (default)
adjusted</t>
        </r>
      </text>
    </comment>
    <comment ref="N10" authorId="0">
      <text>
        <r>
          <rPr>
            <b/>
            <sz val="8"/>
            <color indexed="81"/>
            <rFont val="Tahoma"/>
            <family val="2"/>
          </rPr>
          <t>off (default)
on</t>
        </r>
      </text>
    </comment>
    <comment ref="N11" authorId="0">
      <text>
        <r>
          <rPr>
            <b/>
            <sz val="8"/>
            <color indexed="81"/>
            <rFont val="Tahoma"/>
            <family val="2"/>
          </rPr>
          <t>end (default)
start
stub</t>
        </r>
      </text>
    </comment>
    <comment ref="N13" authorId="0">
      <text>
        <r>
          <rPr>
            <b/>
            <sz val="8"/>
            <color indexed="81"/>
            <rFont val="Tahoma"/>
            <family val="2"/>
          </rPr>
          <t>linear (default)
quadra</t>
        </r>
      </text>
    </comment>
    <comment ref="N14" authorId="0">
      <text>
        <r>
          <rPr>
            <b/>
            <sz val="8"/>
            <color indexed="81"/>
            <rFont val="Tahoma"/>
            <family val="2"/>
          </rPr>
          <t>r (default)
rt
d</t>
        </r>
      </text>
    </comment>
    <comment ref="N15" authorId="0">
      <text>
        <r>
          <rPr>
            <b/>
            <sz val="8"/>
            <color indexed="81"/>
            <rFont val="Tahoma"/>
            <family val="2"/>
          </rPr>
          <t>cont (default)
annual
simple</t>
        </r>
      </text>
    </comment>
    <comment ref="N16" authorId="0">
      <text>
        <r>
          <rPr>
            <b/>
            <sz val="8"/>
            <color indexed="81"/>
            <rFont val="Tahoma"/>
            <family val="2"/>
          </rPr>
          <t>1 = 30E /360
2 = 360/360
3 = 30E + 360
4 = act/360
5 = act/365
6 = 365/365
7 = act/act</t>
        </r>
      </text>
    </comment>
  </commentList>
</comments>
</file>

<file path=xl/sharedStrings.xml><?xml version="1.0" encoding="utf-8"?>
<sst xmlns="http://schemas.openxmlformats.org/spreadsheetml/2006/main" count="1297" uniqueCount="524">
  <si>
    <t>Clientela Retail</t>
  </si>
  <si>
    <t>Bonds</t>
  </si>
  <si>
    <t>Quota IMI</t>
  </si>
  <si>
    <t>Posiz.ne di Risk</t>
  </si>
  <si>
    <t>Posiz.ne MX</t>
  </si>
  <si>
    <t xml:space="preserve">ToT. </t>
  </si>
  <si>
    <t>Clientela Istituz.le</t>
  </si>
  <si>
    <t>Domanda comples.</t>
  </si>
  <si>
    <t>coupon</t>
  </si>
  <si>
    <t>maturity_date</t>
  </si>
  <si>
    <t>interest_accrual_date</t>
  </si>
  <si>
    <t>first_coupon_abs_date</t>
  </si>
  <si>
    <t>first_settlement_date</t>
  </si>
  <si>
    <t>issue_price</t>
  </si>
  <si>
    <t>market_id</t>
  </si>
  <si>
    <t>ric_reuter</t>
  </si>
  <si>
    <t>outstanding_amount</t>
  </si>
  <si>
    <t>govt_benchmark_flag</t>
  </si>
  <si>
    <t>Bid</t>
  </si>
  <si>
    <t>Ask</t>
  </si>
  <si>
    <t>Mid</t>
  </si>
  <si>
    <t>manual</t>
  </si>
  <si>
    <t>used</t>
  </si>
  <si>
    <t>BID</t>
  </si>
  <si>
    <t>ASK</t>
  </si>
  <si>
    <t>PRIM ACT 1</t>
  </si>
  <si>
    <t>SECOND ACTIVY 1</t>
  </si>
  <si>
    <t>today</t>
  </si>
  <si>
    <t>Value date</t>
  </si>
  <si>
    <t>book</t>
  </si>
  <si>
    <t>y</t>
  </si>
  <si>
    <t>d</t>
  </si>
  <si>
    <t>D</t>
  </si>
  <si>
    <t>c</t>
  </si>
  <si>
    <t>C</t>
  </si>
  <si>
    <t>a</t>
  </si>
  <si>
    <t>p</t>
  </si>
  <si>
    <t>Value Date</t>
  </si>
  <si>
    <t>ISIN</t>
  </si>
  <si>
    <t>Description</t>
  </si>
  <si>
    <t>B</t>
  </si>
  <si>
    <t>Used</t>
  </si>
  <si>
    <t>Yield</t>
  </si>
  <si>
    <t>Maturity</t>
  </si>
  <si>
    <t>outst</t>
  </si>
  <si>
    <t>btpctz</t>
  </si>
  <si>
    <t>cct</t>
  </si>
  <si>
    <t>rendistato</t>
  </si>
  <si>
    <t>ger</t>
  </si>
  <si>
    <t>oat</t>
  </si>
  <si>
    <t>esp</t>
  </si>
  <si>
    <t>ned</t>
  </si>
  <si>
    <t>bel</t>
  </si>
  <si>
    <t>bot</t>
  </si>
  <si>
    <t>bot6m</t>
  </si>
  <si>
    <t>bot3m</t>
  </si>
  <si>
    <t>bot12m</t>
  </si>
  <si>
    <t>list of book</t>
  </si>
  <si>
    <t>gre</t>
  </si>
  <si>
    <t>sheur</t>
  </si>
  <si>
    <t>mdeur</t>
  </si>
  <si>
    <t>lgeur</t>
  </si>
  <si>
    <t>bb_number</t>
  </si>
  <si>
    <t>Parameters</t>
  </si>
  <si>
    <t>EUR</t>
  </si>
  <si>
    <t>ICAP</t>
  </si>
  <si>
    <t>mkt</t>
  </si>
  <si>
    <t>n_depo</t>
  </si>
  <si>
    <t>n_futu</t>
  </si>
  <si>
    <t>end_date</t>
  </si>
  <si>
    <t>standard</t>
  </si>
  <si>
    <t>on</t>
  </si>
  <si>
    <t>n_swap</t>
  </si>
  <si>
    <t>sn</t>
  </si>
  <si>
    <t>block_cons</t>
  </si>
  <si>
    <t>w</t>
  </si>
  <si>
    <t>1W</t>
  </si>
  <si>
    <t>cons_on</t>
  </si>
  <si>
    <t>stub</t>
  </si>
  <si>
    <t>m</t>
  </si>
  <si>
    <t>1M</t>
  </si>
  <si>
    <t>ord</t>
  </si>
  <si>
    <t>2M</t>
  </si>
  <si>
    <t>type_interp</t>
  </si>
  <si>
    <t>linear</t>
  </si>
  <si>
    <t>3M</t>
  </si>
  <si>
    <t>interp_on</t>
  </si>
  <si>
    <t>6M</t>
  </si>
  <si>
    <t>comp</t>
  </si>
  <si>
    <t>cont</t>
  </si>
  <si>
    <t>9M</t>
  </si>
  <si>
    <t>day_count</t>
  </si>
  <si>
    <t>Daycount</t>
  </si>
  <si>
    <t>Freq</t>
  </si>
  <si>
    <t>Yield/Bond</t>
  </si>
  <si>
    <t>Lin.</t>
  </si>
  <si>
    <t>Gross</t>
  </si>
  <si>
    <t>EONIA</t>
  </si>
  <si>
    <t>SW</t>
  </si>
  <si>
    <t>currency</t>
  </si>
  <si>
    <t>e</t>
  </si>
  <si>
    <t>botctzbtp-2y</t>
  </si>
  <si>
    <t>interest Accrual DT</t>
  </si>
  <si>
    <t>1ST Accrual DT</t>
  </si>
  <si>
    <t>1ST Coupon DT</t>
  </si>
  <si>
    <t>y Ask</t>
  </si>
  <si>
    <t>y Bid</t>
  </si>
  <si>
    <t>Spread</t>
  </si>
  <si>
    <t>Convent.</t>
  </si>
  <si>
    <t>Money M.</t>
  </si>
  <si>
    <t>cpn</t>
  </si>
  <si>
    <t>CCY</t>
  </si>
  <si>
    <t>Cnv.Sprd.</t>
  </si>
  <si>
    <t>PDG</t>
  </si>
  <si>
    <t>ric interni</t>
  </si>
  <si>
    <t>DTSIMI1</t>
  </si>
  <si>
    <t>tn</t>
  </si>
  <si>
    <t>IDN_SELECTFEED</t>
  </si>
  <si>
    <t>Dp</t>
  </si>
  <si>
    <t>CASH</t>
  </si>
  <si>
    <t>O/N</t>
  </si>
  <si>
    <t>XSN</t>
  </si>
  <si>
    <t>Ccy</t>
  </si>
  <si>
    <t>T/N</t>
  </si>
  <si>
    <t>EUREON</t>
  </si>
  <si>
    <t>=ICAP</t>
  </si>
  <si>
    <t>S/N</t>
  </si>
  <si>
    <t>Fut</t>
  </si>
  <si>
    <t>EUR_CURVE_FUT3M_</t>
  </si>
  <si>
    <t>OIS</t>
  </si>
  <si>
    <t>EUR_CURVE_3M_</t>
  </si>
  <si>
    <t>2W</t>
  </si>
  <si>
    <t>ric esterni</t>
  </si>
  <si>
    <t>3W</t>
  </si>
  <si>
    <t>IDN</t>
  </si>
  <si>
    <t>4M</t>
  </si>
  <si>
    <t>Swap</t>
  </si>
  <si>
    <t>AB6R</t>
  </si>
  <si>
    <t>5M</t>
  </si>
  <si>
    <t>Contributor</t>
  </si>
  <si>
    <t>r</t>
  </si>
  <si>
    <t>7M</t>
  </si>
  <si>
    <t>8M</t>
  </si>
  <si>
    <t>swap_fl_freq</t>
  </si>
  <si>
    <t>swap_first_cpn</t>
  </si>
  <si>
    <t>10M</t>
  </si>
  <si>
    <t>stub_rate</t>
  </si>
  <si>
    <t>11M</t>
  </si>
  <si>
    <t>1Y</t>
  </si>
  <si>
    <t>13M</t>
  </si>
  <si>
    <t>14M</t>
  </si>
  <si>
    <t>i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</si>
  <si>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</si>
  <si>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</si>
  <si>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</si>
  <si>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</si>
  <si>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</si>
  <si>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</si>
  <si>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</si>
  <si>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</si>
  <si>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</si>
  <si>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</si>
  <si>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</si>
  <si>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</si>
  <si>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</si>
  <si>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</si>
  <si>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</si>
  <si>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</si>
  <si>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</si>
  <si>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</si>
  <si>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</si>
  <si>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</si>
  <si>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Sw</t>
  </si>
  <si>
    <t>EUR R6M NO FIX</t>
  </si>
  <si>
    <t>13Y</t>
  </si>
  <si>
    <t>Source</t>
  </si>
  <si>
    <t>14Y</t>
  </si>
  <si>
    <t>base Ric</t>
  </si>
  <si>
    <t>EURAB6R</t>
  </si>
  <si>
    <t>Y=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</si>
  <si>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</si>
  <si>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</si>
  <si>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</si>
  <si>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</si>
  <si>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</si>
  <si>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</si>
  <si>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</si>
  <si>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</si>
  <si>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</si>
  <si>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</si>
  <si>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</si>
  <si>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</si>
  <si>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</si>
  <si>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</si>
  <si>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</si>
  <si>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</si>
  <si>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40Y</t>
  </si>
  <si>
    <t>50Y</t>
  </si>
  <si>
    <t>60Y</t>
  </si>
  <si>
    <t>OISINT</t>
  </si>
  <si>
    <t>(a)</t>
  </si>
  <si>
    <t>(b)</t>
  </si>
  <si>
    <t>(a) -(b)</t>
  </si>
  <si>
    <t>y Mid</t>
  </si>
  <si>
    <t>Price</t>
  </si>
  <si>
    <t>Mid p</t>
  </si>
  <si>
    <t>User y</t>
  </si>
  <si>
    <t>User p</t>
  </si>
  <si>
    <t>BTPE 4.75 FEB13</t>
  </si>
  <si>
    <t>BTPE 4.25 APR13</t>
  </si>
  <si>
    <t>CTZ E 30APT13</t>
  </si>
  <si>
    <t>BTPE 2.25 NOV13</t>
  </si>
  <si>
    <t>BTPE 4.25 AUG14</t>
  </si>
  <si>
    <t>Descr</t>
  </si>
  <si>
    <t>size</t>
  </si>
  <si>
    <t>dNPVdY</t>
  </si>
  <si>
    <t>FRANCIA</t>
  </si>
  <si>
    <t>GERMANIA</t>
  </si>
  <si>
    <t>NETH</t>
  </si>
  <si>
    <t>ITALY</t>
  </si>
  <si>
    <t>BTPE 3 APR14</t>
  </si>
  <si>
    <t>Flat</t>
  </si>
  <si>
    <t>BELG</t>
  </si>
  <si>
    <t>8.5 mila bp long</t>
  </si>
  <si>
    <t>SPREAD</t>
  </si>
  <si>
    <t>1.5 mila bp long</t>
  </si>
  <si>
    <t>Q.ty</t>
  </si>
  <si>
    <t>Prz</t>
  </si>
  <si>
    <t>Prz. Med</t>
  </si>
  <si>
    <t>CTZ E 30SEP13</t>
  </si>
  <si>
    <t>BTPE 4.25 07/14</t>
  </si>
  <si>
    <t>BTPE 3.75 DEC13</t>
  </si>
  <si>
    <t>book del gg</t>
  </si>
  <si>
    <t>book as past day</t>
  </si>
  <si>
    <t>GER -2Y</t>
  </si>
  <si>
    <t>ger -2y</t>
  </si>
  <si>
    <t>fra -2y</t>
  </si>
  <si>
    <t>esp -2y</t>
  </si>
  <si>
    <t>ticker</t>
  </si>
  <si>
    <t>BOT E 14JAN13 A</t>
  </si>
  <si>
    <t>BTPE 4.25 FEB15</t>
  </si>
  <si>
    <t>BTPE 6 15NOV14</t>
  </si>
  <si>
    <t>CTZ E 31JAN14</t>
  </si>
  <si>
    <t>BOT E 27DEC12 F</t>
  </si>
  <si>
    <t>CTZ E 31DEC12</t>
  </si>
  <si>
    <t>BTPE 4.25 AUG13</t>
  </si>
  <si>
    <t>BTPE 3.5 JUN14</t>
  </si>
  <si>
    <t>BTPE 3.75 AUG15</t>
  </si>
  <si>
    <t>BOT E 14FEB13 A</t>
  </si>
  <si>
    <t>CCT E 01 JUL 13</t>
  </si>
  <si>
    <t>BTPE 2.5 MAR15</t>
  </si>
  <si>
    <t>BOT 3M</t>
  </si>
  <si>
    <t>intesa</t>
  </si>
  <si>
    <t>tot</t>
  </si>
  <si>
    <t>mx</t>
  </si>
  <si>
    <t>retail</t>
  </si>
  <si>
    <t xml:space="preserve">intesa </t>
  </si>
  <si>
    <t>altri</t>
  </si>
  <si>
    <t>CTZ 30-MAY-14</t>
  </si>
  <si>
    <t>BOT 12-APR-13 A</t>
  </si>
  <si>
    <t>BTPE 3.00 JUN15</t>
  </si>
  <si>
    <t>BTPE 3.00 NOV15</t>
  </si>
  <si>
    <t>BTPE 3.00 APR15</t>
  </si>
  <si>
    <t>BOT 14-MAY-13 A</t>
  </si>
  <si>
    <t>BOT 12LUG13 A</t>
  </si>
  <si>
    <t>BTP 4.50 JUL15</t>
  </si>
  <si>
    <t>mp</t>
  </si>
  <si>
    <t>griglia</t>
  </si>
  <si>
    <t>BOT 28-FEB-13 S</t>
  </si>
  <si>
    <t>BOT 14-AUG-13 A</t>
  </si>
  <si>
    <t>BOT 13-SEP-13 A</t>
  </si>
  <si>
    <t>OATE 8.50 DEC12</t>
  </si>
  <si>
    <t>BOT 31DEC12 S</t>
  </si>
  <si>
    <t>DBRE 4.5% 01/13</t>
  </si>
  <si>
    <t>BTN 3.75 JAN13</t>
  </si>
  <si>
    <t>BONE 6.15 JAN13</t>
  </si>
  <si>
    <t>BOT E 14MAR13 A</t>
  </si>
  <si>
    <t>BKOE 1.5 MAR13</t>
  </si>
  <si>
    <t>BGB 4% 03/28/13</t>
  </si>
  <si>
    <t>OBL 3.5 APR13</t>
  </si>
  <si>
    <t>SPGB 2.3 04/13</t>
  </si>
  <si>
    <t>BTPE 2.00 JUN13</t>
  </si>
  <si>
    <t>BKOE 1.75 JUN13</t>
  </si>
  <si>
    <t>BOT 14JUN13 A</t>
  </si>
  <si>
    <t>DBRE 3.75 JUL13</t>
  </si>
  <si>
    <t>NETHE 4.25JUL13</t>
  </si>
  <si>
    <t>BKOE 0.75 SEP13</t>
  </si>
  <si>
    <t>OBL 4% 10/13</t>
  </si>
  <si>
    <t>RAGB 3.8 OCT13</t>
  </si>
  <si>
    <t>SPGB 2.50 OT/13</t>
  </si>
  <si>
    <t>DBRE 4.25 JAN14</t>
  </si>
  <si>
    <t>BTN 2.50 JAN14</t>
  </si>
  <si>
    <t>NETHER 1 01/14</t>
  </si>
  <si>
    <t>RAGB 4.125 JA14</t>
  </si>
  <si>
    <t>SPGB 4.25 JAN14</t>
  </si>
  <si>
    <t>BKO 0.25 MAR14</t>
  </si>
  <si>
    <t>BGBE 4 MAR14</t>
  </si>
  <si>
    <t>OBL 2.25 APR14</t>
  </si>
  <si>
    <t>SPGB 3.4 04/14</t>
  </si>
  <si>
    <t>PGBE 4.375% 14</t>
  </si>
  <si>
    <t>DBRE 4.25 JUL14</t>
  </si>
  <si>
    <t>NETHER 3.75 14</t>
  </si>
  <si>
    <t>RAGB 4.3 JUL14</t>
  </si>
  <si>
    <t>BONE 4.75%JUL14</t>
  </si>
  <si>
    <t>BGB 4.25 09/14</t>
  </si>
  <si>
    <t>OBL 2.5 10/14</t>
  </si>
  <si>
    <t>RAGB 3.4 10/14</t>
  </si>
  <si>
    <t>OATE 4 10/25/14</t>
  </si>
  <si>
    <t>SPGB 3.3 10/14</t>
  </si>
  <si>
    <t>DBRE 3.75 JAN15</t>
  </si>
  <si>
    <t>BTN 2.50 JAN15</t>
  </si>
  <si>
    <t>BONE 4.4 JAN15</t>
  </si>
  <si>
    <t>OBL 2.25 APR15</t>
  </si>
  <si>
    <t>OATE 3.5 APR15</t>
  </si>
  <si>
    <t>SPGB 3.00 04/15</t>
  </si>
  <si>
    <t>DBRE 3.25 JUL15</t>
  </si>
  <si>
    <t>NETHE 3.25JUL15</t>
  </si>
  <si>
    <t>SPG 4.00 JUL15</t>
  </si>
  <si>
    <t>CCT E 01 SEP 15</t>
  </si>
  <si>
    <t>BGBE 3.75 SEP15</t>
  </si>
  <si>
    <t>BONE 3.15 JAN16</t>
  </si>
  <si>
    <t>BTN 2.25 FEB16</t>
  </si>
  <si>
    <t>OBL 2.75 4/16</t>
  </si>
  <si>
    <t>IRISH 4.6 04/16</t>
  </si>
  <si>
    <t>SPGB 3.25 04/16</t>
  </si>
  <si>
    <t>CCT E 01 JUL 16</t>
  </si>
  <si>
    <t>NETHER 4 07/16</t>
  </si>
  <si>
    <t>BTPE 3.75 AUG16</t>
  </si>
  <si>
    <t>BTPE 4.75 SEP16</t>
  </si>
  <si>
    <t>RAGB 4 SEP16</t>
  </si>
  <si>
    <t>BTPE 4.00 FEB17</t>
  </si>
  <si>
    <t>CCT E 01MAR 17</t>
  </si>
  <si>
    <t>BTPE 4.75 MAY17</t>
  </si>
  <si>
    <t>BTP 4.75 JUN17</t>
  </si>
  <si>
    <t>BTPE 5.25 AUG17</t>
  </si>
  <si>
    <t>RAGB 4.3 09/17</t>
  </si>
  <si>
    <t>CCT EU 15OCT 17</t>
  </si>
  <si>
    <t>CCT EU 15APR18</t>
  </si>
  <si>
    <t>BTPE 4.25 MAR20</t>
  </si>
  <si>
    <t>BTPE 4.75 SEP21</t>
  </si>
  <si>
    <t>BTPE 5 03/01/22</t>
  </si>
  <si>
    <t>BTPE 5.50 SEP22</t>
  </si>
  <si>
    <t>CTZ 30-SEP-14</t>
  </si>
  <si>
    <t>BOT 14-GEN-13 T</t>
  </si>
  <si>
    <t>BTP 3.50 NOV17</t>
  </si>
  <si>
    <t>BGBE 4.25 09/21</t>
  </si>
  <si>
    <t>BTS</t>
  </si>
  <si>
    <t>BOT E 20DEC12 F</t>
  </si>
  <si>
    <t>CTZ E 31/12/12</t>
  </si>
  <si>
    <t>BTNS 3.75 01/13</t>
  </si>
  <si>
    <t>NETHER 1.75 13</t>
  </si>
  <si>
    <t>BOT E 31GEN13 S</t>
  </si>
  <si>
    <t>HEL E FNR FEB13</t>
  </si>
  <si>
    <t>BOT 28-MAR-13 S</t>
  </si>
  <si>
    <t>IRISH 5 04/13</t>
  </si>
  <si>
    <t>OATE 4.00 APR13</t>
  </si>
  <si>
    <t>BOT 30-APR-13 S</t>
  </si>
  <si>
    <t>HEL E 4.6 MAY13</t>
  </si>
  <si>
    <t>HEL E 7.5 MAY13</t>
  </si>
  <si>
    <t>BOT 31-MAY-13 S</t>
  </si>
  <si>
    <t>BTN 4.50 JUL13</t>
  </si>
  <si>
    <t>BONE 4.2 JUL13</t>
  </si>
  <si>
    <t>HEL E 4 AUG13</t>
  </si>
  <si>
    <t>PGBE 5.45 SEP13</t>
  </si>
  <si>
    <t>BTN 2.00 SEP13</t>
  </si>
  <si>
    <t>BTNS 2 09/13</t>
  </si>
  <si>
    <t>BGBE 4.25 SEP13</t>
  </si>
  <si>
    <t>BOT 14-OTT-13 A</t>
  </si>
  <si>
    <t>OATE 4.00 OCT13</t>
  </si>
  <si>
    <t>BOT 14-NOV-13 A</t>
  </si>
  <si>
    <t>BKOE 0.25 DEC13</t>
  </si>
  <si>
    <t>BOT 13-DEC-13 A</t>
  </si>
  <si>
    <t>HEL E 6.5 JAN14</t>
  </si>
  <si>
    <t>BTNS 2.5 01/14</t>
  </si>
  <si>
    <t>CCT E 01 MAR 14</t>
  </si>
  <si>
    <t>OATE 4 APR14</t>
  </si>
  <si>
    <t>HEL E 4.5 MAY14</t>
  </si>
  <si>
    <t>BTN 3.00 JUL14</t>
  </si>
  <si>
    <t>GGB 5.5 AUG14</t>
  </si>
  <si>
    <t>BKO 12-SEP-14</t>
  </si>
  <si>
    <t>EEC 3.125 NOV14</t>
  </si>
  <si>
    <t>CCT E 01 DEC 14</t>
  </si>
  <si>
    <t>NETHER 2.75 15</t>
  </si>
  <si>
    <t>OBL 2.5 02/15</t>
  </si>
  <si>
    <t>EUREX 3Y FBTS</t>
  </si>
  <si>
    <t xml:space="preserve">  JUN 13       </t>
  </si>
  <si>
    <t xml:space="preserve">  SEP 13       </t>
  </si>
  <si>
    <t>BTN 2.00 JUL15</t>
  </si>
  <si>
    <t>RAGB 3.5% 07/15</t>
  </si>
  <si>
    <t>HEL E 3.7 JUL15</t>
  </si>
  <si>
    <t>GGB 6.1 AUG15</t>
  </si>
  <si>
    <t>OBL 1.75 10/15</t>
  </si>
  <si>
    <t>PGBE 3.35 OCT15</t>
  </si>
  <si>
    <t>OATE 3.00 OCT15</t>
  </si>
  <si>
    <t>BTP 2.75 DEC15</t>
  </si>
  <si>
    <t>CCT EU 15DEC 15</t>
  </si>
  <si>
    <t>DBRE 3.5 JAN16</t>
  </si>
  <si>
    <t>OBL 2.00 FEB16</t>
  </si>
  <si>
    <t>BGB 2.75 03/16</t>
  </si>
  <si>
    <t>BTPE 3.75 APR16</t>
  </si>
  <si>
    <t>OATE 3.25 APR16</t>
  </si>
  <si>
    <t>DBRE 6.00 JUN16</t>
  </si>
  <si>
    <t>DBRE 4.00 JUL16</t>
  </si>
  <si>
    <t>HEL E 3.6 JUL16</t>
  </si>
  <si>
    <t>BTN 2.50 JUL16</t>
  </si>
  <si>
    <t>ISPIM 4.375 16</t>
  </si>
  <si>
    <t>BGBE 3.25 SEP16</t>
  </si>
  <si>
    <t>HEL E FRN APR17</t>
  </si>
  <si>
    <t>CCT EU 15JUN17</t>
  </si>
  <si>
    <t>BTPE 4.5 FEB18</t>
  </si>
  <si>
    <t>BTPE 4.5 AUG18</t>
  </si>
  <si>
    <t>BTPE 4.25 FEB19</t>
  </si>
  <si>
    <t>BTPE 4.5 MAR19</t>
  </si>
  <si>
    <t>DBRE 3.5 JUL19</t>
  </si>
  <si>
    <t>HEL E 6.0 JUL19</t>
  </si>
  <si>
    <t>BTPE 4.25 SEP19</t>
  </si>
  <si>
    <t>BTPEI 2.35 SP19</t>
  </si>
  <si>
    <t>OATE 3.75 OCT19</t>
  </si>
  <si>
    <t>BTPE 4.50 FEB20</t>
  </si>
  <si>
    <t>BTPE 4.00 SEP20</t>
  </si>
  <si>
    <t>DBRE 2.25 SEP20</t>
  </si>
  <si>
    <t>OATE 2.5 OCT20</t>
  </si>
  <si>
    <t>BTPE 3.75 03/21</t>
  </si>
  <si>
    <t>BTPE 3.75 AUG21</t>
  </si>
  <si>
    <t>DBRE 2.25 SEP21</t>
  </si>
  <si>
    <t>BTPEI 2.1 SP21</t>
  </si>
  <si>
    <t>FRTR 3.25 10/21</t>
  </si>
  <si>
    <t>EUREX 10Y FGBL</t>
  </si>
  <si>
    <t>BTP 5.50 NOV22</t>
  </si>
  <si>
    <t>EUREX 10Y FBTP</t>
  </si>
  <si>
    <t>IK</t>
  </si>
  <si>
    <t>BT</t>
  </si>
  <si>
    <t>BOT 12M</t>
  </si>
  <si>
    <t>Sensitivity book</t>
  </si>
  <si>
    <t xml:space="preserve"> Posiz. Bond asta</t>
  </si>
  <si>
    <t>Risk bond</t>
  </si>
  <si>
    <t xml:space="preserve">BOT </t>
  </si>
  <si>
    <t xml:space="preserve">  DEC 13                           </t>
  </si>
  <si>
    <t>BOT 14NOV13 A</t>
  </si>
  <si>
    <t>BOT 13DEC13 A</t>
  </si>
  <si>
    <t>BTP 3.75 15DEC13</t>
  </si>
  <si>
    <t>BOT 19DEC13 F</t>
  </si>
  <si>
    <t>BOT 31DEC13 S</t>
  </si>
  <si>
    <t>CCT 1MAR14</t>
  </si>
  <si>
    <t>BTP 3.00 1APR14</t>
  </si>
  <si>
    <t>BOT 14MAY14 A</t>
  </si>
  <si>
    <t>CTZ 30MAY14</t>
  </si>
  <si>
    <t>BTP 3.50 1JUN14</t>
  </si>
  <si>
    <t>BOT 14JUN14 A</t>
  </si>
  <si>
    <t>BOT 14JUL14 A</t>
  </si>
  <si>
    <t>BTP 4.25 1AUG14</t>
  </si>
  <si>
    <t>BOT 12SEP14 A</t>
  </si>
  <si>
    <t>BOT 14OCT14 A</t>
  </si>
  <si>
    <t>BTP 6.00 15NOV14</t>
  </si>
  <si>
    <t>CCT 1DEC14</t>
  </si>
  <si>
    <t>ICTZ ZC 31DEC14</t>
  </si>
  <si>
    <t>BTP 4.25 1FEB15</t>
  </si>
  <si>
    <t>BTP 3.00 15APR15</t>
  </si>
  <si>
    <t>BTP 3.00 15JUN15</t>
  </si>
  <si>
    <t>CTZ 30JUN15</t>
  </si>
  <si>
    <t>BTP 4.50 15JUL15</t>
  </si>
  <si>
    <t>BTP 3.75 1AUG15</t>
  </si>
  <si>
    <t>BTP 3.75 15APR16</t>
  </si>
  <si>
    <t>BTP 2.25 15MAY16</t>
  </si>
  <si>
    <t>BTP 3.75 1AUG16</t>
  </si>
  <si>
    <t>BTP 4.75 15SEP16</t>
  </si>
  <si>
    <t>BTP 2.75 15NOV16</t>
  </si>
  <si>
    <t>BTP 3.50 1NOV17</t>
  </si>
  <si>
    <t>BTP 5.00 1MAR22</t>
  </si>
  <si>
    <t>IT0004867971</t>
  </si>
  <si>
    <t>IT0004874092</t>
  </si>
  <si>
    <t>IT0004448863</t>
  </si>
  <si>
    <t>IT0004921620</t>
  </si>
  <si>
    <t>IT0004932072</t>
  </si>
  <si>
    <t>IT0004224041</t>
  </si>
  <si>
    <t>IT0004707995</t>
  </si>
  <si>
    <t>IT0004920077</t>
  </si>
  <si>
    <t>IT0004820251</t>
  </si>
  <si>
    <t>IT0004505076</t>
  </si>
  <si>
    <t>IT0004932064</t>
  </si>
  <si>
    <t>IT0004940091</t>
  </si>
  <si>
    <t>IT0003618383</t>
  </si>
  <si>
    <t>IT0004958168</t>
  </si>
  <si>
    <t>IT0004965080</t>
  </si>
  <si>
    <t>IT0004780380</t>
  </si>
  <si>
    <t>IT0004321813</t>
  </si>
  <si>
    <t>IT0004890890</t>
  </si>
  <si>
    <t>IT0003719918</t>
  </si>
  <si>
    <t>IT0004568272</t>
  </si>
  <si>
    <t>IT0004615917</t>
  </si>
  <si>
    <t>IT0004938186</t>
  </si>
  <si>
    <t>IT0004840788</t>
  </si>
  <si>
    <t>IT0003844534</t>
  </si>
  <si>
    <t>IT0004880990</t>
  </si>
  <si>
    <t>IT0004712748</t>
  </si>
  <si>
    <t>IT0004917792</t>
  </si>
  <si>
    <t>IT0004019581</t>
  </si>
  <si>
    <t>IT0004761950</t>
  </si>
  <si>
    <t>IT0004960826</t>
  </si>
  <si>
    <t>IT0004867070</t>
  </si>
  <si>
    <t>IT0004759673</t>
  </si>
  <si>
    <t>FBTPZ3</t>
  </si>
  <si>
    <t>BOT 14AUG14 A</t>
  </si>
  <si>
    <t>BTPS 2.750 1DEC15</t>
  </si>
  <si>
    <t>BTP 5.25 1AUG17</t>
  </si>
  <si>
    <t>BTP 4.50 1FEB18</t>
  </si>
  <si>
    <t>IT0004954712</t>
  </si>
  <si>
    <t>IT0003242747</t>
  </si>
  <si>
    <t>IT0004273493</t>
  </si>
  <si>
    <t>BOT 14APR14 A</t>
  </si>
  <si>
    <t>CTZ 30SEP14</t>
  </si>
  <si>
    <t>BOT 14NOV14 A</t>
  </si>
  <si>
    <t>BTP 3.00 1NOV15</t>
  </si>
  <si>
    <t>BTP 4.00 1FEB17</t>
  </si>
  <si>
    <t>BTP 4.25 1SEP19</t>
  </si>
  <si>
    <t>IT0004909369</t>
  </si>
  <si>
    <t>IT0004853807</t>
  </si>
  <si>
    <t>IT0004969462</t>
  </si>
  <si>
    <t>IT0004656275</t>
  </si>
  <si>
    <t>IT0004164775</t>
  </si>
  <si>
    <t>IT0004489610</t>
  </si>
  <si>
    <t>BOT 14FEB14 A</t>
  </si>
  <si>
    <t>IT0004892649</t>
  </si>
  <si>
    <t>BOT 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</si>
</sst>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2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[$-409]d/mmm/yy;@"/>
    <numFmt numFmtId="165" formatCode="#,###,,"/>
    <numFmt numFmtId="166" formatCode="0.000%"/>
    <numFmt numFmtId="167" formatCode="0.000"/>
    <numFmt numFmtId="168" formatCode="0.0000"/>
    <numFmt numFmtId="169" formatCode="_(* #,##0.000_);_(* \(#,##0.000\);_(* &quot;-&quot;??_);_(@_)"/>
    <numFmt numFmtId="170" formatCode="0.0000000000"/>
    <numFmt numFmtId="171" formatCode="0.0000000000000"/>
    <numFmt numFmtId="172" formatCode="0.00000000"/>
    <numFmt numFmtId="173" formatCode="dd\ mmm\ yyyy"/>
    <numFmt numFmtId="174" formatCode="hh:mm:ss;@"/>
    <numFmt numFmtId="175" formatCode="0.0"/>
    <numFmt numFmtId="176" formatCode="_(* #,##0.0000_);_(* \(#,##0.0000\);_(* &quot;-&quot;??_);_(@_)"/>
    <numFmt numFmtId="177" formatCode="#,##0.0000"/>
    <numFmt numFmtId="178" formatCode="0.000000"/>
    <numFmt numFmtId="179" formatCode="0.00000"/>
    <numFmt numFmtId="180" formatCode="_(* #,##0.00000_);_(* \(#,##0.00000\);_(* &quot;-&quot;??_);_(@_)"/>
    <numFmt numFmtId="181" formatCode="0.000_ %_);\(0.000_ %\);0.000_ %_);@_)"/>
    <numFmt numFmtId="182" formatCode="#,##0.000"/>
  </numFmts>
  <fonts count="5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12"/>
      <name val="Arial"/>
      <family val="2"/>
    </font>
    <font>
      <sz val="10"/>
      <color indexed="16"/>
      <name val="Arial"/>
      <family val="2"/>
    </font>
    <font>
      <sz val="10"/>
      <name val="MS Sans Serif"/>
      <family val="2"/>
    </font>
    <font>
      <b/>
      <sz val="11"/>
      <name val="Arial"/>
      <family val="2"/>
    </font>
    <font>
      <b/>
      <i/>
      <sz val="10"/>
      <name val="Arial"/>
      <family val="2"/>
    </font>
    <font>
      <sz val="10"/>
      <color indexed="10"/>
      <name val="Arial"/>
      <family val="2"/>
    </font>
    <font>
      <i/>
      <sz val="11"/>
      <name val="Arial"/>
      <family val="2"/>
    </font>
    <font>
      <sz val="10"/>
      <color indexed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0"/>
      <color indexed="14"/>
      <name val="Arial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0"/>
      <color indexed="12"/>
      <name val="MS Sans Serif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1"/>
      <color indexed="10"/>
      <name val="Arial"/>
      <family val="2"/>
    </font>
    <font>
      <b/>
      <sz val="10"/>
      <color indexed="10"/>
      <name val="Arial"/>
      <family val="2"/>
    </font>
    <font>
      <sz val="10"/>
      <color rgb="FF000000"/>
      <name val="Arial"/>
      <family val="2"/>
    </font>
    <font>
      <b/>
      <sz val="11"/>
      <color rgb="FFFF000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sz val="11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indexed="54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14"/>
      </patternFill>
    </fill>
    <fill>
      <patternFill patternType="solid">
        <fgColor indexed="41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46"/>
      </patternFill>
    </fill>
    <fill>
      <patternFill patternType="solid">
        <fgColor indexed="53"/>
      </patternFill>
    </fill>
    <fill>
      <patternFill patternType="solid">
        <fgColor indexed="33"/>
      </patternFill>
    </fill>
    <fill>
      <patternFill patternType="solid">
        <fgColor indexed="45"/>
      </patternFill>
    </fill>
    <fill>
      <patternFill patternType="solid">
        <fgColor indexed="27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</fills>
  <borders count="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1"/>
      </bottom>
      <diagonal/>
    </border>
    <border>
      <left/>
      <right/>
      <top/>
      <bottom style="double">
        <color indexed="52"/>
      </bottom>
      <diagonal/>
    </border>
    <border>
      <left style="thin">
        <color indexed="45"/>
      </left>
      <right style="thin">
        <color indexed="45"/>
      </right>
      <top style="thin">
        <color indexed="45"/>
      </top>
      <bottom style="thin">
        <color indexed="4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90">
    <xf numFmtId="0" fontId="0" fillId="0" borderId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3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2" borderId="0" applyNumberFormat="0" applyBorder="0" applyAlignment="0" applyProtection="0"/>
    <xf numFmtId="0" fontId="19" fillId="6" borderId="0" applyNumberFormat="0" applyBorder="0" applyAlignment="0" applyProtection="0"/>
    <xf numFmtId="0" fontId="19" fillId="3" borderId="0" applyNumberFormat="0" applyBorder="0" applyAlignment="0" applyProtection="0"/>
    <xf numFmtId="0" fontId="20" fillId="6" borderId="0" applyNumberFormat="0" applyBorder="0" applyAlignment="0" applyProtection="0"/>
    <xf numFmtId="0" fontId="20" fillId="7" borderId="0" applyNumberFormat="0" applyBorder="0" applyAlignment="0" applyProtection="0"/>
    <xf numFmtId="0" fontId="20" fillId="8" borderId="0" applyNumberFormat="0" applyBorder="0" applyAlignment="0" applyProtection="0"/>
    <xf numFmtId="0" fontId="20" fillId="2" borderId="0" applyNumberFormat="0" applyBorder="0" applyAlignment="0" applyProtection="0"/>
    <xf numFmtId="0" fontId="20" fillId="6" borderId="0" applyNumberFormat="0" applyBorder="0" applyAlignment="0" applyProtection="0"/>
    <xf numFmtId="0" fontId="20" fillId="3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3" borderId="0" applyNumberFormat="0" applyBorder="0" applyAlignment="0" applyProtection="0"/>
    <xf numFmtId="0" fontId="21" fillId="14" borderId="0" applyNumberFormat="0" applyBorder="0" applyAlignment="0" applyProtection="0"/>
    <xf numFmtId="0" fontId="22" fillId="5" borderId="1" applyNumberFormat="0" applyAlignment="0" applyProtection="0"/>
    <xf numFmtId="0" fontId="23" fillId="15" borderId="2" applyNumberFormat="0" applyAlignment="0" applyProtection="0"/>
    <xf numFmtId="43" fontId="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16" borderId="0" applyNumberFormat="0" applyBorder="0" applyAlignment="0" applyProtection="0"/>
    <xf numFmtId="0" fontId="26" fillId="0" borderId="3" applyNumberFormat="0" applyFill="0" applyAlignment="0" applyProtection="0"/>
    <xf numFmtId="0" fontId="27" fillId="0" borderId="4" applyNumberFormat="0" applyFill="0" applyAlignment="0" applyProtection="0"/>
    <xf numFmtId="0" fontId="28" fillId="0" borderId="5" applyNumberFormat="0" applyFill="0" applyAlignment="0" applyProtection="0"/>
    <xf numFmtId="0" fontId="28" fillId="0" borderId="0" applyNumberFormat="0" applyFill="0" applyBorder="0" applyAlignment="0" applyProtection="0"/>
    <xf numFmtId="0" fontId="29" fillId="3" borderId="1" applyNumberFormat="0" applyAlignment="0" applyProtection="0"/>
    <xf numFmtId="0" fontId="30" fillId="17" borderId="0"/>
    <xf numFmtId="0" fontId="31" fillId="0" borderId="6" applyNumberFormat="0" applyFill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0" fontId="32" fillId="8" borderId="0" applyNumberFormat="0" applyBorder="0" applyAlignment="0" applyProtection="0"/>
    <xf numFmtId="0" fontId="12" fillId="0" borderId="0"/>
    <xf numFmtId="0" fontId="7" fillId="4" borderId="7" applyNumberFormat="0" applyFont="0" applyAlignment="0" applyProtection="0"/>
    <xf numFmtId="0" fontId="33" fillId="5" borderId="8" applyNumberFormat="0" applyAlignment="0" applyProtection="0"/>
    <xf numFmtId="9" fontId="1" fillId="0" borderId="0" applyFont="0" applyFill="0" applyBorder="0" applyAlignment="0" applyProtection="0"/>
    <xf numFmtId="0" fontId="34" fillId="18" borderId="0" applyAlignment="0"/>
    <xf numFmtId="0" fontId="35" fillId="0" borderId="0" applyNumberFormat="0" applyFill="0" applyBorder="0" applyAlignment="0" applyProtection="0"/>
    <xf numFmtId="0" fontId="36" fillId="0" borderId="9" applyNumberFormat="0" applyFill="0" applyAlignment="0" applyProtection="0"/>
    <xf numFmtId="6" fontId="12" fillId="0" borderId="0" applyFont="0" applyFill="0" applyBorder="0" applyAlignment="0" applyProtection="0"/>
    <xf numFmtId="8" fontId="12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19" fillId="32" borderId="0" applyNumberFormat="0" applyBorder="0" applyAlignment="0" applyProtection="0"/>
    <xf numFmtId="0" fontId="19" fillId="15" borderId="0" applyNumberFormat="0" applyBorder="0" applyAlignment="0" applyProtection="0"/>
    <xf numFmtId="0" fontId="19" fillId="33" borderId="0" applyNumberFormat="0" applyBorder="0" applyAlignment="0" applyProtection="0"/>
    <xf numFmtId="0" fontId="19" fillId="12" borderId="0" applyNumberFormat="0" applyBorder="0" applyAlignment="0" applyProtection="0"/>
    <xf numFmtId="0" fontId="19" fillId="16" borderId="0" applyNumberFormat="0" applyBorder="0" applyAlignment="0" applyProtection="0"/>
    <xf numFmtId="0" fontId="19" fillId="3" borderId="0" applyNumberFormat="0" applyBorder="0" applyAlignment="0" applyProtection="0"/>
    <xf numFmtId="0" fontId="19" fillId="34" borderId="0" applyNumberFormat="0" applyBorder="0" applyAlignment="0" applyProtection="0"/>
    <xf numFmtId="0" fontId="19" fillId="7" borderId="0" applyNumberFormat="0" applyBorder="0" applyAlignment="0" applyProtection="0"/>
    <xf numFmtId="0" fontId="19" fillId="35" borderId="0" applyNumberFormat="0" applyBorder="0" applyAlignment="0" applyProtection="0"/>
    <xf numFmtId="0" fontId="19" fillId="12" borderId="0" applyNumberFormat="0" applyBorder="0" applyAlignment="0" applyProtection="0"/>
    <xf numFmtId="0" fontId="19" fillId="34" borderId="0" applyNumberFormat="0" applyBorder="0" applyAlignment="0" applyProtection="0"/>
    <xf numFmtId="0" fontId="19" fillId="36" borderId="0" applyNumberFormat="0" applyBorder="0" applyAlignment="0" applyProtection="0"/>
    <xf numFmtId="0" fontId="20" fillId="37" borderId="0" applyNumberFormat="0" applyBorder="0" applyAlignment="0" applyProtection="0"/>
    <xf numFmtId="0" fontId="20" fillId="7" borderId="0" applyNumberFormat="0" applyBorder="0" applyAlignment="0" applyProtection="0"/>
    <xf numFmtId="0" fontId="20" fillId="35" borderId="0" applyNumberFormat="0" applyBorder="0" applyAlignment="0" applyProtection="0"/>
    <xf numFmtId="0" fontId="20" fillId="38" borderId="0" applyNumberFormat="0" applyBorder="0" applyAlignment="0" applyProtection="0"/>
    <xf numFmtId="0" fontId="20" fillId="9" borderId="0" applyNumberFormat="0" applyBorder="0" applyAlignment="0" applyProtection="0"/>
    <xf numFmtId="0" fontId="20" fillId="39" borderId="0" applyNumberFormat="0" applyBorder="0" applyAlignment="0" applyProtection="0"/>
    <xf numFmtId="0" fontId="22" fillId="40" borderId="1" applyNumberFormat="0" applyAlignment="0" applyProtection="0"/>
    <xf numFmtId="0" fontId="31" fillId="0" borderId="6" applyNumberFormat="0" applyFill="0" applyAlignment="0" applyProtection="0"/>
    <xf numFmtId="0" fontId="23" fillId="41" borderId="2" applyNumberFormat="0" applyAlignment="0" applyProtection="0"/>
    <xf numFmtId="0" fontId="20" fillId="42" borderId="0" applyNumberFormat="0" applyBorder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38" borderId="0" applyNumberFormat="0" applyBorder="0" applyAlignment="0" applyProtection="0"/>
    <xf numFmtId="0" fontId="20" fillId="9" borderId="0" applyNumberFormat="0" applyBorder="0" applyAlignment="0" applyProtection="0"/>
    <xf numFmtId="0" fontId="20" fillId="13" borderId="0" applyNumberFormat="0" applyBorder="0" applyAlignment="0" applyProtection="0"/>
    <xf numFmtId="0" fontId="32" fillId="8" borderId="0" applyNumberFormat="0" applyBorder="0" applyAlignment="0" applyProtection="0"/>
    <xf numFmtId="0" fontId="1" fillId="4" borderId="41" applyNumberFormat="0" applyFont="0" applyAlignment="0" applyProtection="0"/>
    <xf numFmtId="0" fontId="37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42" applyNumberFormat="0" applyFill="0" applyAlignment="0" applyProtection="0"/>
    <xf numFmtId="0" fontId="52" fillId="0" borderId="43" applyNumberFormat="0" applyFill="0" applyAlignment="0" applyProtection="0"/>
    <xf numFmtId="0" fontId="53" fillId="0" borderId="44" applyNumberFormat="0" applyFill="0" applyAlignment="0" applyProtection="0"/>
    <xf numFmtId="0" fontId="53" fillId="0" borderId="0" applyNumberFormat="0" applyFill="0" applyBorder="0" applyAlignment="0" applyProtection="0"/>
    <xf numFmtId="0" fontId="36" fillId="0" borderId="45" applyNumberFormat="0" applyFill="0" applyAlignment="0" applyProtection="0"/>
    <xf numFmtId="0" fontId="21" fillId="15" borderId="0" applyNumberFormat="0" applyBorder="0" applyAlignment="0" applyProtection="0"/>
    <xf numFmtId="0" fontId="25" fillId="33" borderId="0" applyNumberFormat="0" applyBorder="0" applyAlignment="0" applyProtection="0"/>
  </cellStyleXfs>
  <cellXfs count="193">
    <xf numFmtId="0" fontId="0" fillId="0" borderId="0" xfId="0"/>
    <xf numFmtId="0" fontId="6" fillId="0" borderId="0" xfId="0" applyFont="1"/>
    <xf numFmtId="0" fontId="6" fillId="0" borderId="10" xfId="0" applyFont="1" applyBorder="1"/>
    <xf numFmtId="0" fontId="7" fillId="0" borderId="0" xfId="0" applyFont="1"/>
    <xf numFmtId="0" fontId="7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/>
    <xf numFmtId="0" fontId="8" fillId="0" borderId="11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7" fillId="19" borderId="12" xfId="0" applyFont="1" applyFill="1" applyBorder="1" applyAlignment="1">
      <alignment horizontal="center"/>
    </xf>
    <xf numFmtId="0" fontId="7" fillId="19" borderId="13" xfId="0" applyFont="1" applyFill="1" applyBorder="1" applyAlignment="1">
      <alignment horizontal="center"/>
    </xf>
    <xf numFmtId="0" fontId="7" fillId="19" borderId="14" xfId="0" applyFont="1" applyFill="1" applyBorder="1" applyAlignment="1">
      <alignment horizontal="center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19" borderId="15" xfId="0" applyFont="1" applyFill="1" applyBorder="1" applyAlignment="1">
      <alignment horizontal="center"/>
    </xf>
    <xf numFmtId="0" fontId="7" fillId="19" borderId="11" xfId="0" applyFont="1" applyFill="1" applyBorder="1" applyAlignment="1">
      <alignment horizontal="center"/>
    </xf>
    <xf numFmtId="0" fontId="7" fillId="19" borderId="16" xfId="0" applyFont="1" applyFill="1" applyBorder="1" applyAlignment="1">
      <alignment horizontal="center"/>
    </xf>
    <xf numFmtId="0" fontId="8" fillId="0" borderId="11" xfId="0" applyFont="1" applyBorder="1"/>
    <xf numFmtId="0" fontId="7" fillId="0" borderId="11" xfId="0" applyFont="1" applyBorder="1"/>
    <xf numFmtId="164" fontId="7" fillId="0" borderId="10" xfId="0" applyNumberFormat="1" applyFont="1" applyBorder="1" applyAlignment="1">
      <alignment horizontal="center"/>
    </xf>
    <xf numFmtId="0" fontId="7" fillId="0" borderId="10" xfId="0" applyNumberFormat="1" applyFont="1" applyBorder="1" applyAlignment="1">
      <alignment horizontal="center"/>
    </xf>
    <xf numFmtId="165" fontId="7" fillId="0" borderId="10" xfId="0" applyNumberFormat="1" applyFont="1" applyBorder="1" applyAlignment="1">
      <alignment horizontal="center"/>
    </xf>
    <xf numFmtId="166" fontId="7" fillId="0" borderId="10" xfId="44" applyNumberFormat="1" applyFont="1" applyBorder="1" applyAlignment="1">
      <alignment horizontal="center"/>
    </xf>
    <xf numFmtId="169" fontId="7" fillId="0" borderId="10" xfId="28" applyNumberFormat="1" applyFont="1" applyBorder="1" applyAlignment="1">
      <alignment horizontal="center"/>
    </xf>
    <xf numFmtId="166" fontId="9" fillId="0" borderId="10" xfId="44" applyNumberFormat="1" applyFont="1" applyBorder="1" applyAlignment="1">
      <alignment horizontal="center"/>
    </xf>
    <xf numFmtId="166" fontId="10" fillId="0" borderId="10" xfId="44" applyNumberFormat="1" applyFont="1" applyBorder="1" applyAlignment="1">
      <alignment horizontal="center"/>
    </xf>
    <xf numFmtId="169" fontId="10" fillId="0" borderId="10" xfId="28" applyNumberFormat="1" applyFont="1" applyBorder="1" applyAlignment="1">
      <alignment horizontal="center"/>
    </xf>
    <xf numFmtId="169" fontId="11" fillId="0" borderId="10" xfId="28" applyNumberFormat="1" applyFont="1" applyBorder="1" applyAlignment="1">
      <alignment horizontal="center"/>
    </xf>
    <xf numFmtId="166" fontId="11" fillId="0" borderId="10" xfId="44" applyNumberFormat="1" applyFont="1" applyBorder="1" applyAlignment="1">
      <alignment horizontal="center"/>
    </xf>
    <xf numFmtId="14" fontId="0" fillId="20" borderId="17" xfId="0" applyNumberFormat="1" applyFill="1" applyBorder="1"/>
    <xf numFmtId="166" fontId="3" fillId="21" borderId="18" xfId="0" applyNumberFormat="1" applyFont="1" applyFill="1" applyBorder="1" applyAlignment="1">
      <alignment horizontal="center"/>
    </xf>
    <xf numFmtId="168" fontId="0" fillId="0" borderId="0" xfId="0" applyNumberFormat="1"/>
    <xf numFmtId="0" fontId="0" fillId="22" borderId="19" xfId="0" applyFill="1" applyBorder="1" applyAlignment="1">
      <alignment horizontal="center"/>
    </xf>
    <xf numFmtId="0" fontId="0" fillId="22" borderId="20" xfId="0" applyFill="1" applyBorder="1" applyAlignment="1">
      <alignment horizontal="center"/>
    </xf>
    <xf numFmtId="168" fontId="0" fillId="22" borderId="20" xfId="0" applyNumberFormat="1" applyFill="1" applyBorder="1"/>
    <xf numFmtId="168" fontId="0" fillId="23" borderId="20" xfId="0" applyNumberFormat="1" applyFill="1" applyBorder="1"/>
    <xf numFmtId="168" fontId="0" fillId="23" borderId="21" xfId="0" applyNumberFormat="1" applyFill="1" applyBorder="1" applyAlignment="1">
      <alignment horizontal="center"/>
    </xf>
    <xf numFmtId="171" fontId="0" fillId="20" borderId="22" xfId="0" applyNumberFormat="1" applyFill="1" applyBorder="1"/>
    <xf numFmtId="14" fontId="4" fillId="24" borderId="19" xfId="0" applyNumberFormat="1" applyFont="1" applyFill="1" applyBorder="1"/>
    <xf numFmtId="15" fontId="4" fillId="25" borderId="21" xfId="0" applyNumberFormat="1" applyFont="1" applyFill="1" applyBorder="1" applyAlignment="1">
      <alignment horizontal="center"/>
    </xf>
    <xf numFmtId="0" fontId="0" fillId="22" borderId="23" xfId="0" applyFill="1" applyBorder="1" applyAlignment="1">
      <alignment horizontal="center"/>
    </xf>
    <xf numFmtId="0" fontId="0" fillId="22" borderId="24" xfId="0" applyFill="1" applyBorder="1" applyAlignment="1">
      <alignment horizontal="center"/>
    </xf>
    <xf numFmtId="168" fontId="0" fillId="22" borderId="24" xfId="0" applyNumberFormat="1" applyFill="1" applyBorder="1"/>
    <xf numFmtId="168" fontId="0" fillId="23" borderId="24" xfId="0" applyNumberFormat="1" applyFill="1" applyBorder="1"/>
    <xf numFmtId="168" fontId="0" fillId="23" borderId="25" xfId="0" applyNumberFormat="1" applyFill="1" applyBorder="1" applyAlignment="1">
      <alignment horizontal="center"/>
    </xf>
    <xf numFmtId="14" fontId="0" fillId="20" borderId="26" xfId="0" applyNumberFormat="1" applyFill="1" applyBorder="1"/>
    <xf numFmtId="171" fontId="0" fillId="20" borderId="27" xfId="0" applyNumberFormat="1" applyFill="1" applyBorder="1"/>
    <xf numFmtId="14" fontId="4" fillId="24" borderId="26" xfId="0" applyNumberFormat="1" applyFont="1" applyFill="1" applyBorder="1"/>
    <xf numFmtId="15" fontId="4" fillId="25" borderId="27" xfId="0" applyNumberFormat="1" applyFont="1" applyFill="1" applyBorder="1" applyAlignment="1">
      <alignment horizontal="center"/>
    </xf>
    <xf numFmtId="14" fontId="0" fillId="0" borderId="0" xfId="0" applyNumberFormat="1"/>
    <xf numFmtId="14" fontId="0" fillId="20" borderId="23" xfId="0" applyNumberFormat="1" applyFill="1" applyBorder="1"/>
    <xf numFmtId="171" fontId="0" fillId="20" borderId="25" xfId="0" applyNumberFormat="1" applyFill="1" applyBorder="1"/>
    <xf numFmtId="0" fontId="4" fillId="24" borderId="23" xfId="0" applyFont="1" applyFill="1" applyBorder="1"/>
    <xf numFmtId="0" fontId="4" fillId="25" borderId="25" xfId="0" applyFont="1" applyFill="1" applyBorder="1" applyAlignment="1">
      <alignment horizontal="center"/>
    </xf>
    <xf numFmtId="0" fontId="0" fillId="0" borderId="0" xfId="0" quotePrefix="1"/>
    <xf numFmtId="0" fontId="4" fillId="26" borderId="23" xfId="0" applyFont="1" applyFill="1" applyBorder="1"/>
    <xf numFmtId="0" fontId="4" fillId="19" borderId="23" xfId="0" applyFont="1" applyFill="1" applyBorder="1"/>
    <xf numFmtId="174" fontId="0" fillId="0" borderId="0" xfId="0" applyNumberFormat="1"/>
    <xf numFmtId="168" fontId="4" fillId="25" borderId="25" xfId="0" applyNumberFormat="1" applyFont="1" applyFill="1" applyBorder="1" applyAlignment="1">
      <alignment horizontal="center"/>
    </xf>
    <xf numFmtId="0" fontId="4" fillId="19" borderId="28" xfId="0" applyFont="1" applyFill="1" applyBorder="1"/>
    <xf numFmtId="168" fontId="4" fillId="25" borderId="29" xfId="0" applyNumberFormat="1" applyFont="1" applyFill="1" applyBorder="1" applyAlignment="1">
      <alignment horizontal="center"/>
    </xf>
    <xf numFmtId="0" fontId="0" fillId="0" borderId="0" xfId="0" applyFill="1" applyBorder="1"/>
    <xf numFmtId="14" fontId="0" fillId="0" borderId="0" xfId="0" applyNumberFormat="1" applyFill="1" applyBorder="1" applyAlignment="1">
      <alignment horizontal="center"/>
    </xf>
    <xf numFmtId="173" fontId="0" fillId="0" borderId="0" xfId="0" applyNumberFormat="1"/>
    <xf numFmtId="17" fontId="0" fillId="0" borderId="0" xfId="0" applyNumberFormat="1"/>
    <xf numFmtId="0" fontId="0" fillId="0" borderId="0" xfId="0" applyFill="1" applyBorder="1" applyAlignment="1">
      <alignment horizontal="center"/>
    </xf>
    <xf numFmtId="167" fontId="9" fillId="0" borderId="0" xfId="0" applyNumberFormat="1" applyFont="1"/>
    <xf numFmtId="172" fontId="7" fillId="0" borderId="0" xfId="44" applyNumberFormat="1" applyFont="1" applyFill="1" applyBorder="1" applyAlignment="1">
      <alignment horizontal="center"/>
    </xf>
    <xf numFmtId="167" fontId="0" fillId="0" borderId="0" xfId="0" applyNumberForma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0" fillId="22" borderId="30" xfId="0" applyNumberFormat="1" applyFill="1" applyBorder="1" applyAlignment="1">
      <alignment horizontal="center"/>
    </xf>
    <xf numFmtId="0" fontId="0" fillId="22" borderId="31" xfId="0" applyFill="1" applyBorder="1" applyAlignment="1">
      <alignment horizontal="center"/>
    </xf>
    <xf numFmtId="168" fontId="0" fillId="22" borderId="31" xfId="0" applyNumberFormat="1" applyFill="1" applyBorder="1"/>
    <xf numFmtId="168" fontId="0" fillId="23" borderId="31" xfId="0" applyNumberFormat="1" applyFill="1" applyBorder="1"/>
    <xf numFmtId="168" fontId="0" fillId="23" borderId="29" xfId="0" applyNumberFormat="1" applyFill="1" applyBorder="1" applyAlignment="1">
      <alignment horizontal="center"/>
    </xf>
    <xf numFmtId="1" fontId="0" fillId="26" borderId="23" xfId="0" applyNumberFormat="1" applyFill="1" applyBorder="1" applyAlignment="1">
      <alignment horizontal="center"/>
    </xf>
    <xf numFmtId="168" fontId="0" fillId="27" borderId="25" xfId="0" applyNumberFormat="1" applyFill="1" applyBorder="1" applyAlignment="1">
      <alignment horizontal="center"/>
    </xf>
    <xf numFmtId="14" fontId="0" fillId="20" borderId="30" xfId="0" applyNumberFormat="1" applyFill="1" applyBorder="1"/>
    <xf numFmtId="171" fontId="0" fillId="20" borderId="29" xfId="0" applyNumberFormat="1" applyFill="1" applyBorder="1"/>
    <xf numFmtId="171" fontId="0" fillId="0" borderId="0" xfId="0" applyNumberFormat="1"/>
    <xf numFmtId="1" fontId="0" fillId="26" borderId="30" xfId="0" applyNumberFormat="1" applyFill="1" applyBorder="1" applyAlignment="1">
      <alignment horizontal="center"/>
    </xf>
    <xf numFmtId="168" fontId="0" fillId="27" borderId="29" xfId="0" applyNumberFormat="1" applyFill="1" applyBorder="1" applyAlignment="1">
      <alignment horizontal="center"/>
    </xf>
    <xf numFmtId="166" fontId="7" fillId="0" borderId="10" xfId="28" applyNumberFormat="1" applyFont="1" applyBorder="1" applyAlignment="1">
      <alignment horizontal="center"/>
    </xf>
    <xf numFmtId="169" fontId="0" fillId="0" borderId="0" xfId="0" applyNumberFormat="1"/>
    <xf numFmtId="166" fontId="13" fillId="0" borderId="10" xfId="44" applyNumberFormat="1" applyFont="1" applyBorder="1" applyAlignment="1">
      <alignment horizontal="center"/>
    </xf>
    <xf numFmtId="0" fontId="13" fillId="0" borderId="10" xfId="0" applyNumberFormat="1" applyFont="1" applyBorder="1" applyAlignment="1">
      <alignment horizontal="center"/>
    </xf>
    <xf numFmtId="164" fontId="13" fillId="0" borderId="10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/>
    <xf numFmtId="0" fontId="14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4" fontId="8" fillId="0" borderId="0" xfId="0" applyNumberFormat="1" applyFont="1"/>
    <xf numFmtId="4" fontId="0" fillId="0" borderId="0" xfId="0" applyNumberFormat="1" applyAlignment="1">
      <alignment horizontal="center"/>
    </xf>
    <xf numFmtId="4" fontId="8" fillId="28" borderId="0" xfId="0" applyNumberFormat="1" applyFont="1" applyFill="1"/>
    <xf numFmtId="0" fontId="0" fillId="0" borderId="0" xfId="0" applyFill="1"/>
    <xf numFmtId="4" fontId="8" fillId="0" borderId="0" xfId="0" applyNumberFormat="1" applyFont="1" applyFill="1"/>
    <xf numFmtId="4" fontId="0" fillId="0" borderId="0" xfId="0" applyNumberFormat="1" applyFill="1"/>
    <xf numFmtId="4" fontId="7" fillId="0" borderId="0" xfId="0" applyNumberFormat="1" applyFont="1" applyAlignment="1">
      <alignment horizontal="center"/>
    </xf>
    <xf numFmtId="175" fontId="0" fillId="0" borderId="0" xfId="0" applyNumberFormat="1"/>
    <xf numFmtId="2" fontId="0" fillId="0" borderId="0" xfId="0" applyNumberFormat="1" applyBorder="1"/>
    <xf numFmtId="2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38" fillId="0" borderId="0" xfId="0" applyFont="1" applyBorder="1" applyAlignment="1">
      <alignment horizontal="center"/>
    </xf>
    <xf numFmtId="167" fontId="38" fillId="0" borderId="0" xfId="0" applyNumberFormat="1" applyFont="1" applyBorder="1" applyAlignment="1">
      <alignment horizontal="center"/>
    </xf>
    <xf numFmtId="0" fontId="0" fillId="0" borderId="12" xfId="0" applyBorder="1"/>
    <xf numFmtId="0" fontId="0" fillId="0" borderId="14" xfId="0" applyBorder="1"/>
    <xf numFmtId="0" fontId="0" fillId="0" borderId="32" xfId="0" applyBorder="1"/>
    <xf numFmtId="0" fontId="0" fillId="0" borderId="33" xfId="0" applyBorder="1"/>
    <xf numFmtId="167" fontId="2" fillId="0" borderId="33" xfId="0" applyNumberFormat="1" applyFon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0" xfId="0" applyFont="1" applyBorder="1"/>
    <xf numFmtId="167" fontId="0" fillId="0" borderId="0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175" fontId="0" fillId="0" borderId="0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0" fontId="39" fillId="0" borderId="34" xfId="0" applyFont="1" applyBorder="1" applyAlignment="1">
      <alignment horizontal="center"/>
    </xf>
    <xf numFmtId="2" fontId="39" fillId="0" borderId="35" xfId="0" applyNumberFormat="1" applyFont="1" applyBorder="1" applyAlignment="1">
      <alignment horizontal="center"/>
    </xf>
    <xf numFmtId="0" fontId="39" fillId="0" borderId="35" xfId="0" applyFont="1" applyBorder="1" applyAlignment="1">
      <alignment horizontal="center"/>
    </xf>
    <xf numFmtId="2" fontId="39" fillId="0" borderId="36" xfId="0" applyNumberFormat="1" applyFont="1" applyBorder="1" applyAlignment="1">
      <alignment horizontal="center"/>
    </xf>
    <xf numFmtId="0" fontId="0" fillId="0" borderId="13" xfId="0" applyBorder="1"/>
    <xf numFmtId="175" fontId="0" fillId="0" borderId="15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0" borderId="11" xfId="0" applyBorder="1"/>
    <xf numFmtId="0" fontId="0" fillId="0" borderId="16" xfId="0" applyBorder="1"/>
    <xf numFmtId="167" fontId="13" fillId="29" borderId="33" xfId="0" applyNumberFormat="1" applyFont="1" applyFill="1" applyBorder="1" applyAlignment="1">
      <alignment horizontal="center"/>
    </xf>
    <xf numFmtId="0" fontId="0" fillId="24" borderId="32" xfId="0" applyFill="1" applyBorder="1"/>
    <xf numFmtId="0" fontId="0" fillId="24" borderId="0" xfId="0" applyFill="1" applyBorder="1"/>
    <xf numFmtId="175" fontId="0" fillId="0" borderId="0" xfId="0" applyNumberFormat="1" applyFill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67" fontId="38" fillId="0" borderId="0" xfId="0" applyNumberFormat="1" applyFont="1" applyFill="1" applyBorder="1" applyAlignment="1">
      <alignment horizontal="center"/>
    </xf>
    <xf numFmtId="177" fontId="16" fillId="0" borderId="0" xfId="0" applyNumberFormat="1" applyFont="1" applyAlignment="1">
      <alignment horizontal="center"/>
    </xf>
    <xf numFmtId="177" fontId="0" fillId="0" borderId="0" xfId="0" applyNumberFormat="1"/>
    <xf numFmtId="178" fontId="0" fillId="0" borderId="0" xfId="0" applyNumberFormat="1"/>
    <xf numFmtId="180" fontId="7" fillId="0" borderId="10" xfId="28" applyNumberFormat="1" applyFont="1" applyBorder="1" applyAlignment="1">
      <alignment horizontal="center"/>
    </xf>
    <xf numFmtId="0" fontId="8" fillId="30" borderId="32" xfId="0" applyFont="1" applyFill="1" applyBorder="1" applyAlignment="1">
      <alignment horizontal="center"/>
    </xf>
    <xf numFmtId="175" fontId="0" fillId="0" borderId="0" xfId="0" applyNumberFormat="1" applyAlignment="1">
      <alignment horizontal="center"/>
    </xf>
    <xf numFmtId="1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76" fontId="7" fillId="0" borderId="10" xfId="28" applyNumberFormat="1" applyFont="1" applyBorder="1" applyAlignment="1">
      <alignment horizontal="center"/>
    </xf>
    <xf numFmtId="0" fontId="0" fillId="0" borderId="0" xfId="0" applyFill="1" applyAlignment="1">
      <alignment horizontal="center"/>
    </xf>
    <xf numFmtId="166" fontId="8" fillId="0" borderId="10" xfId="44" applyNumberFormat="1" applyFont="1" applyBorder="1" applyAlignment="1">
      <alignment horizontal="center"/>
    </xf>
    <xf numFmtId="0" fontId="8" fillId="28" borderId="32" xfId="0" applyFont="1" applyFill="1" applyBorder="1" applyAlignment="1">
      <alignment horizontal="center"/>
    </xf>
    <xf numFmtId="179" fontId="13" fillId="29" borderId="33" xfId="0" applyNumberFormat="1" applyFont="1" applyFill="1" applyBorder="1" applyAlignment="1">
      <alignment horizontal="center"/>
    </xf>
    <xf numFmtId="4" fontId="16" fillId="0" borderId="0" xfId="0" applyNumberFormat="1" applyFont="1" applyAlignment="1">
      <alignment horizontal="right"/>
    </xf>
    <xf numFmtId="4" fontId="0" fillId="0" borderId="0" xfId="0" applyNumberFormat="1" applyAlignment="1">
      <alignment horizontal="right"/>
    </xf>
    <xf numFmtId="0" fontId="13" fillId="0" borderId="10" xfId="0" applyNumberFormat="1" applyFont="1" applyFill="1" applyBorder="1" applyAlignment="1">
      <alignment horizontal="center"/>
    </xf>
    <xf numFmtId="0" fontId="7" fillId="0" borderId="10" xfId="0" applyNumberFormat="1" applyFont="1" applyFill="1" applyBorder="1" applyAlignment="1">
      <alignment horizontal="center"/>
    </xf>
    <xf numFmtId="164" fontId="13" fillId="0" borderId="10" xfId="0" applyNumberFormat="1" applyFont="1" applyFill="1" applyBorder="1" applyAlignment="1">
      <alignment horizontal="center"/>
    </xf>
    <xf numFmtId="181" fontId="0" fillId="0" borderId="0" xfId="0" applyNumberFormat="1"/>
    <xf numFmtId="0" fontId="18" fillId="0" borderId="10" xfId="0" applyNumberFormat="1" applyFont="1" applyBorder="1" applyAlignment="1">
      <alignment horizontal="center"/>
    </xf>
    <xf numFmtId="0" fontId="40" fillId="0" borderId="10" xfId="0" applyNumberFormat="1" applyFont="1" applyBorder="1" applyAlignment="1">
      <alignment horizontal="center"/>
    </xf>
    <xf numFmtId="164" fontId="18" fillId="0" borderId="10" xfId="0" applyNumberFormat="1" applyFont="1" applyBorder="1" applyAlignment="1">
      <alignment horizontal="center"/>
    </xf>
    <xf numFmtId="0" fontId="41" fillId="0" borderId="10" xfId="0" applyNumberFormat="1" applyFont="1" applyBorder="1" applyAlignment="1">
      <alignment horizontal="center"/>
    </xf>
    <xf numFmtId="0" fontId="41" fillId="0" borderId="10" xfId="0" applyNumberFormat="1" applyFont="1" applyFill="1" applyBorder="1" applyAlignment="1">
      <alignment horizontal="center"/>
    </xf>
    <xf numFmtId="166" fontId="17" fillId="0" borderId="10" xfId="44" applyNumberFormat="1" applyFont="1" applyBorder="1" applyAlignment="1">
      <alignment horizontal="center"/>
    </xf>
    <xf numFmtId="166" fontId="42" fillId="0" borderId="10" xfId="44" applyNumberFormat="1" applyFont="1" applyBorder="1" applyAlignment="1">
      <alignment horizontal="center"/>
    </xf>
    <xf numFmtId="175" fontId="15" fillId="0" borderId="0" xfId="0" applyNumberFormat="1" applyFont="1" applyAlignment="1">
      <alignment horizontal="center"/>
    </xf>
    <xf numFmtId="0" fontId="42" fillId="0" borderId="10" xfId="0" applyNumberFormat="1" applyFont="1" applyBorder="1" applyAlignment="1">
      <alignment horizontal="center"/>
    </xf>
    <xf numFmtId="0" fontId="17" fillId="0" borderId="10" xfId="0" applyNumberFormat="1" applyFont="1" applyBorder="1" applyAlignment="1">
      <alignment horizontal="center"/>
    </xf>
    <xf numFmtId="164" fontId="42" fillId="0" borderId="10" xfId="0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166" fontId="43" fillId="0" borderId="10" xfId="44" applyNumberFormat="1" applyFont="1" applyBorder="1" applyAlignment="1">
      <alignment horizontal="center"/>
    </xf>
    <xf numFmtId="168" fontId="0" fillId="0" borderId="0" xfId="0" applyNumberFormat="1" applyAlignment="1">
      <alignment horizontal="center"/>
    </xf>
    <xf numFmtId="4" fontId="0" fillId="0" borderId="0" xfId="0" applyNumberFormat="1" applyAlignment="1"/>
    <xf numFmtId="0" fontId="0" fillId="0" borderId="0" xfId="0" applyAlignment="1"/>
    <xf numFmtId="0" fontId="0" fillId="0" borderId="0" xfId="0" applyFill="1" applyAlignment="1"/>
    <xf numFmtId="0" fontId="1" fillId="0" borderId="10" xfId="0" applyNumberFormat="1" applyFont="1" applyBorder="1" applyAlignment="1">
      <alignment horizontal="center"/>
    </xf>
    <xf numFmtId="0" fontId="45" fillId="0" borderId="10" xfId="0" applyNumberFormat="1" applyFont="1" applyBorder="1" applyAlignment="1">
      <alignment horizontal="center"/>
    </xf>
    <xf numFmtId="0" fontId="46" fillId="0" borderId="10" xfId="0" applyNumberFormat="1" applyFont="1" applyBorder="1" applyAlignment="1">
      <alignment horizontal="center"/>
    </xf>
    <xf numFmtId="164" fontId="45" fillId="0" borderId="10" xfId="0" applyNumberFormat="1" applyFont="1" applyBorder="1" applyAlignment="1">
      <alignment horizontal="center"/>
    </xf>
    <xf numFmtId="166" fontId="47" fillId="0" borderId="10" xfId="44" applyNumberFormat="1" applyFont="1" applyBorder="1" applyAlignment="1">
      <alignment horizontal="center"/>
    </xf>
    <xf numFmtId="166" fontId="45" fillId="0" borderId="10" xfId="44" applyNumberFormat="1" applyFont="1" applyBorder="1" applyAlignment="1">
      <alignment horizontal="center"/>
    </xf>
    <xf numFmtId="0" fontId="9" fillId="31" borderId="39" xfId="0" applyFont="1" applyFill="1" applyBorder="1" applyAlignment="1">
      <alignment horizontal="center"/>
    </xf>
    <xf numFmtId="0" fontId="0" fillId="31" borderId="37" xfId="0" applyFill="1" applyBorder="1" applyAlignment="1">
      <alignment horizontal="center"/>
    </xf>
    <xf numFmtId="0" fontId="9" fillId="31" borderId="40" xfId="0" applyFont="1" applyFill="1" applyBorder="1" applyAlignment="1">
      <alignment horizontal="center"/>
    </xf>
    <xf numFmtId="0" fontId="8" fillId="31" borderId="38" xfId="0" applyFont="1" applyFill="1" applyBorder="1" applyAlignment="1">
      <alignment horizontal="center"/>
    </xf>
    <xf numFmtId="0" fontId="48" fillId="31" borderId="40" xfId="0" applyFont="1" applyFill="1" applyBorder="1" applyAlignment="1">
      <alignment horizontal="center"/>
    </xf>
    <xf numFmtId="175" fontId="47" fillId="31" borderId="38" xfId="0" applyNumberFormat="1" applyFont="1" applyFill="1" applyBorder="1" applyAlignment="1">
      <alignment horizontal="center"/>
    </xf>
    <xf numFmtId="177" fontId="0" fillId="0" borderId="0" xfId="0" applyNumberFormat="1" applyAlignment="1">
      <alignment horizontal="center"/>
    </xf>
    <xf numFmtId="4" fontId="1" fillId="0" borderId="0" xfId="0" applyNumberFormat="1" applyFont="1" applyAlignment="1">
      <alignment horizontal="center"/>
    </xf>
    <xf numFmtId="0" fontId="49" fillId="0" borderId="0" xfId="0" applyFont="1"/>
    <xf numFmtId="0" fontId="0" fillId="31" borderId="39" xfId="0" applyFill="1" applyBorder="1" applyAlignment="1">
      <alignment horizontal="center" vertical="center"/>
    </xf>
    <xf numFmtId="0" fontId="0" fillId="31" borderId="40" xfId="0" applyFill="1" applyBorder="1" applyAlignment="1">
      <alignment horizontal="center" vertical="center"/>
    </xf>
    <xf numFmtId="1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82" fontId="0" fillId="0" borderId="0" xfId="0" applyNumberFormat="1" applyAlignment="1">
      <alignment horizontal="center"/>
    </xf>
    <xf numFmtId="170" fontId="8" fillId="0" borderId="0" xfId="0" applyNumberFormat="1" applyFont="1" applyFill="1" applyBorder="1" applyAlignment="1">
      <alignment horizontal="center"/>
    </xf>
    <xf numFmtId="166" fontId="3" fillId="21" borderId="34" xfId="0" applyNumberFormat="1" applyFont="1" applyFill="1" applyBorder="1" applyAlignment="1">
      <alignment horizontal="center"/>
    </xf>
    <xf numFmtId="166" fontId="3" fillId="21" borderId="36" xfId="0" applyNumberFormat="1" applyFont="1" applyFill="1" applyBorder="1" applyAlignment="1">
      <alignment horizontal="center"/>
    </xf>
    <xf numFmtId="0" fontId="18" fillId="19" borderId="13" xfId="0" applyFont="1" applyFill="1" applyBorder="1" applyAlignment="1">
      <alignment horizontal="center"/>
    </xf>
  </cellXfs>
  <cellStyles count="90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20% - Colore 1" xfId="51"/>
    <cellStyle name="20% - Colore 2" xfId="52"/>
    <cellStyle name="20% - Colore 3" xfId="53"/>
    <cellStyle name="20% - Colore 4" xfId="54"/>
    <cellStyle name="20% - Colore 5" xfId="55"/>
    <cellStyle name="20% - Colore 6" xfId="56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40% - Colore 1" xfId="57"/>
    <cellStyle name="40% - Colore 2" xfId="58"/>
    <cellStyle name="40% - Colore 3" xfId="59"/>
    <cellStyle name="40% - Colore 4" xfId="60"/>
    <cellStyle name="40% - Colore 5" xfId="61"/>
    <cellStyle name="40% - Colore 6" xfId="62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60% - Colore 1" xfId="63"/>
    <cellStyle name="60% - Colore 2" xfId="64"/>
    <cellStyle name="60% - Colore 3" xfId="65"/>
    <cellStyle name="60% - Colore 4" xfId="66"/>
    <cellStyle name="60% - Colore 5" xfId="67"/>
    <cellStyle name="60% - Colore 6" xfId="68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olo" xfId="69"/>
    <cellStyle name="Calculation" xfId="26" builtinId="22" customBuiltin="1"/>
    <cellStyle name="Cella collegata" xfId="70"/>
    <cellStyle name="Cella da controllare" xfId="71"/>
    <cellStyle name="Check Cell" xfId="27" builtinId="23" customBuiltin="1"/>
    <cellStyle name="Colore 1" xfId="72"/>
    <cellStyle name="Colore 2" xfId="73"/>
    <cellStyle name="Colore 3" xfId="74"/>
    <cellStyle name="Colore 4" xfId="75"/>
    <cellStyle name="Colore 5" xfId="76"/>
    <cellStyle name="Colore 6" xfId="77"/>
    <cellStyle name="Comma" xfId="28" builtinId="3"/>
    <cellStyle name="Explanatory Text" xfId="29" builtinId="53" customBuiltin="1"/>
    <cellStyle name="Good" xfId="30" builtinId="26" customBuiltin="1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Input" xfId="35" builtinId="20" customBuiltin="1"/>
    <cellStyle name="Jaspreet" xfId="36"/>
    <cellStyle name="Linked Cell" xfId="37" builtinId="24" customBuiltin="1"/>
    <cellStyle name="Migliaia (0)_BENCH2" xfId="38"/>
    <cellStyle name="Migliaia_BENCH2" xfId="39"/>
    <cellStyle name="Neutral" xfId="40" builtinId="28" customBuiltin="1"/>
    <cellStyle name="Neutrale" xfId="78"/>
    <cellStyle name="Normal" xfId="0" builtinId="0"/>
    <cellStyle name="Normale_BENCH2" xfId="41"/>
    <cellStyle name="Nota" xfId="79"/>
    <cellStyle name="Note" xfId="42" builtinId="10" customBuiltin="1"/>
    <cellStyle name="Output" xfId="43" builtinId="21" customBuiltin="1"/>
    <cellStyle name="Percent" xfId="44" builtinId="5"/>
    <cellStyle name="Standard_Eur1" xfId="45"/>
    <cellStyle name="Testo avviso" xfId="80"/>
    <cellStyle name="Testo descrittivo" xfId="81"/>
    <cellStyle name="Title" xfId="46" builtinId="15" customBuiltin="1"/>
    <cellStyle name="Titolo" xfId="82"/>
    <cellStyle name="Titolo 1" xfId="83"/>
    <cellStyle name="Titolo 2" xfId="84"/>
    <cellStyle name="Titolo 3" xfId="85"/>
    <cellStyle name="Titolo 4" xfId="86"/>
    <cellStyle name="Total" xfId="47" builtinId="25" customBuiltin="1"/>
    <cellStyle name="Totale" xfId="87"/>
    <cellStyle name="Valore non valido" xfId="88"/>
    <cellStyle name="Valore valido" xfId="89"/>
    <cellStyle name="Valuta (0)_BENCH2" xfId="48"/>
    <cellStyle name="Valuta_BENCH2" xfId="49"/>
    <cellStyle name="Warning Text" xfId="50" builtinId="11" customBuiltin="1"/>
  </cellStyles>
  <dxfs count="35"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</font>
      <fill>
        <patternFill>
          <bgColor indexed="42"/>
        </patternFill>
      </fill>
    </dxf>
    <dxf>
      <font>
        <condense val="0"/>
        <extend val="0"/>
      </font>
      <fill>
        <patternFill>
          <bgColor indexed="47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</font>
      <fill>
        <patternFill>
          <bgColor indexed="42"/>
        </patternFill>
      </fill>
    </dxf>
    <dxf>
      <font>
        <condense val="0"/>
        <extend val="0"/>
      </font>
      <fill>
        <patternFill>
          <bgColor indexed="47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ill>
        <patternFill>
          <bgColor theme="9" tint="0.5999633777886288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</font>
      <fill>
        <patternFill>
          <bgColor indexed="42"/>
        </patternFill>
      </fill>
    </dxf>
    <dxf>
      <font>
        <condense val="0"/>
        <extend val="0"/>
      </font>
      <fill>
        <patternFill>
          <bgColor indexed="47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ill>
        <patternFill>
          <bgColor theme="9" tint="0.5999633777886288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</font>
      <fill>
        <patternFill>
          <bgColor indexed="42"/>
        </patternFill>
      </fill>
    </dxf>
    <dxf>
      <font>
        <condense val="0"/>
        <extend val="0"/>
      </font>
      <fill>
        <patternFill>
          <bgColor indexed="47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</font>
      <fill>
        <patternFill>
          <bgColor indexed="42"/>
        </patternFill>
      </fill>
    </dxf>
    <dxf>
      <font>
        <condense val="0"/>
        <extend val="0"/>
      </font>
      <fill>
        <patternFill>
          <bgColor indexed="47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</font>
      <fill>
        <patternFill>
          <bgColor indexed="42"/>
        </patternFill>
      </fill>
    </dxf>
    <dxf>
      <font>
        <condense val="0"/>
        <extend val="0"/>
      </font>
      <fill>
        <patternFill>
          <bgColor indexed="47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</font>
      <fill>
        <patternFill>
          <bgColor indexed="42"/>
        </patternFill>
      </fill>
    </dxf>
    <dxf>
      <font>
        <condense val="0"/>
        <extend val="0"/>
      </font>
      <fill>
        <patternFill>
          <bgColor indexed="47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EAEAEA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85B8EB"/>
      <rgbColor rgb="00ADE0FF"/>
      <rgbColor rgb="00FFFF99"/>
      <rgbColor rgb="0099CCFF"/>
      <rgbColor rgb="00B2B2B2"/>
      <rgbColor rgb="00666699"/>
      <rgbColor rgb="00FFCC99"/>
      <rgbColor rgb="000066FF"/>
      <rgbColor rgb="0033CCCC"/>
      <rgbColor rgb="0099CC00"/>
      <rgbColor rgb="00FFCC00"/>
      <rgbColor rgb="00FF9900"/>
      <rgbColor rgb="00FF6600"/>
      <rgbColor rgb="00B1B1CB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0.13200000000000001</v>
        <stp/>
        <stp>_x000E_EUREON18M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0" s="12"/>
      </tp>
      <tp>
        <v>0.182</v>
        <stp/>
        <stp>_x000E_EUREON18M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0" s="12"/>
      </tp>
      <tp>
        <v>99.879000000000005</v>
        <stp/>
        <stp xml:space="preserve">	DE113739=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4" s="23"/>
      </tp>
      <tp>
        <v>106.649</v>
        <stp/>
        <stp xml:space="preserve">	DE113529=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9" s="23"/>
      </tp>
      <tp>
        <v>99.974999999999994</v>
        <stp/>
        <stp xml:space="preserve">	DE111979=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3" s="23"/>
      </tp>
      <tp>
        <v>99.903999999999996</v>
        <stp/>
        <stp xml:space="preserve">	DE111989=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3" s="23"/>
      </tp>
      <tp>
        <v>99.933999999999997</v>
        <stp/>
        <stp xml:space="preserve">	DE113738=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9" s="23"/>
      </tp>
      <tp>
        <v>104.66</v>
        <stp/>
        <stp xml:space="preserve">	DE113528=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5" s="23"/>
      </tp>
      <tp>
        <v>99.980999999999995</v>
        <stp/>
        <stp xml:space="preserve">	DE111988=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9" s="23"/>
      </tp>
      <tp>
        <v>102.77</v>
        <stp/>
        <stp xml:space="preserve">	DE114158=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7" s="23"/>
      </tp>
      <tp>
        <v>1.7909999999999999</v>
        <stp/>
        <stp>_x000E_EUREON11Y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41" s="12"/>
      </tp>
      <tp>
        <v>1.9730000000000001</v>
        <stp/>
        <stp>_x000E_EUREON12Y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42" s="12"/>
      </tp>
      <tp>
        <v>0.14399999999999999</v>
        <stp/>
        <stp>_x000E_EUREON21M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12"/>
      </tp>
      <tp>
        <v>0.127</v>
        <stp/>
        <stp>_x000E_EUREON11M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19" s="12"/>
      </tp>
      <tp>
        <v>100.07</v>
        <stp/>
        <stp xml:space="preserve">	DE113743=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6" s="23"/>
      </tp>
      <tp>
        <v>99.953000000000003</v>
        <stp/>
        <stp xml:space="preserve">	DE111983=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8" s="23"/>
      </tp>
      <tp>
        <v>99.873999999999995</v>
        <stp/>
        <stp xml:space="preserve">	DE111993=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7" s="23"/>
      </tp>
      <tp>
        <v>1.6619999999999999</v>
        <stp/>
        <stp>_x000E_EUREON10Y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40" s="12"/>
      </tp>
      <tp>
        <v>0.128</v>
        <stp/>
        <stp>_x000E_EUREON10M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18" s="12"/>
      </tp>
      <tp>
        <v>99.727000000000004</v>
        <stp/>
        <stp xml:space="preserve">	DE113742=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4" s="23"/>
      </tp>
      <tp>
        <v>99.965999999999994</v>
        <stp/>
        <stp xml:space="preserve">	DE111992=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5" s="23"/>
      </tp>
      <tp>
        <v>0.17799999999999999</v>
        <stp/>
        <stp>_x000E_EUREON10M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18" s="12"/>
      </tp>
      <tp>
        <v>1.732</v>
        <stp/>
        <stp>_x000E_EUREON10Y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40" s="12"/>
      </tp>
      <tp>
        <v>99.959000000000003</v>
        <stp/>
        <stp xml:space="preserve">	DE111981=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6" s="23"/>
      </tp>
      <tp>
        <v>99.89</v>
        <stp/>
        <stp xml:space="preserve">	DE111991=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5" s="23"/>
      </tp>
      <tp>
        <v>0.19400000000000001</v>
        <stp/>
        <stp>_x000E_EUREON21M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12"/>
      </tp>
      <tp>
        <v>0.17699999999999999</v>
        <stp/>
        <stp>_x000E_EUREON11M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19" s="12"/>
      </tp>
      <tp>
        <v>1.903</v>
        <stp/>
        <stp>_x000E_EUREON12Y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42" s="12"/>
      </tp>
      <tp>
        <v>1.861</v>
        <stp/>
        <stp>_x000E_EUREON11Y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41" s="12"/>
      </tp>
      <tp>
        <v>99.84</v>
        <stp/>
        <stp xml:space="preserve">	DE113740=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9" s="23"/>
      </tp>
      <tp>
        <v>99.98</v>
        <stp/>
        <stp xml:space="preserve">	DE111990=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1" s="23"/>
      </tp>
      <tp>
        <v>0.126</v>
        <stp/>
        <stp>_x000E_EUREON15M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9" s="12"/>
      </tp>
      <tp>
        <v>100.004</v>
        <stp/>
        <stp xml:space="preserve">	DE113737=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2" s="23"/>
      </tp>
      <tp>
        <v>99.977000000000004</v>
        <stp/>
        <stp xml:space="preserve">	DE111977=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0" s="23"/>
      </tp>
      <tp>
        <v>99.92</v>
        <stp/>
        <stp xml:space="preserve">	DE111987=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2" s="23"/>
      </tp>
      <tp>
        <v>102.69</v>
        <stp/>
        <stp xml:space="preserve">	DE114157=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3" s="23"/>
      </tp>
      <tp>
        <v>103.7</v>
        <stp/>
        <stp xml:space="preserve">	DE113526=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0" s="23"/>
      </tp>
      <tp>
        <v>99.997</v>
        <stp/>
        <stp xml:space="preserve">	DE111986=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7" s="23"/>
      </tp>
      <tp>
        <v>102.74</v>
        <stp/>
        <stp xml:space="preserve">	DE114156=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1" s="23"/>
      </tp>
      <tp>
        <v>102.16</v>
        <stp/>
        <stp xml:space="preserve">	DE113525=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1" s="23"/>
      </tp>
      <tp>
        <v>99.986999999999995</v>
        <stp/>
        <stp xml:space="preserve">	DE111975=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8" s="23"/>
      </tp>
      <tp>
        <v>99.936999999999998</v>
        <stp/>
        <stp xml:space="preserve">	DE111985=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0" s="23"/>
      </tp>
      <tp>
        <v>99.852999999999994</v>
        <stp/>
        <stp xml:space="preserve">	DE111995=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8" s="23"/>
      </tp>
      <tp>
        <v>101.86499999999999</v>
        <stp/>
        <stp xml:space="preserve">	DE114155=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6" s="23"/>
      </tp>
      <tp>
        <v>0.17599999999999999</v>
        <stp/>
        <stp>_x000E_EUREON15M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9" s="12"/>
      </tp>
      <tp>
        <v>99.56</v>
        <stp/>
        <stp xml:space="preserve">	DE113744=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8" s="23"/>
      </tp>
      <tp>
        <v>100.11499999999999</v>
        <stp/>
        <stp xml:space="preserve">	DE113524=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6" s="23"/>
      </tp>
      <tp>
        <v>99.95</v>
        <stp/>
        <stp xml:space="preserve">	DE111994=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7" s="23"/>
      </tp>
      <tp>
        <v>100.619</v>
        <stp/>
        <stp xml:space="preserve">	DE114154=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4" s="23"/>
      </tp>
      <tp>
        <v>0.29799999999999999</v>
        <stp/>
        <stp>_x000B_EURIBOR3MD=
PRIM ACT 1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" s="12"/>
      </tp>
    </main>
    <main first="pldatasource.rtgetrtdserver">
      <tp>
        <v>99.998999999999995</v>
        <stp/>
        <stp xml:space="preserve">
FR191213B=_x000F_SECOND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6" s="21"/>
      </tp>
      <tp>
        <v>0.22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5" s="12"/>
      </tp>
      <tp>
        <v>0.22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4" s="12"/>
      </tp>
      <tp>
        <v>0.2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3" s="12"/>
      </tp>
      <tp>
        <v>99.992999999999995</v>
        <stp/>
        <stp xml:space="preserve">
FR090114B=_x000F_SECOND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9" s="21"/>
        <tr r="R10" s="21"/>
      </tp>
      <tp t="s">
        <v>#N/A The record could not be found</v>
        <stp/>
        <stp xml:space="preserve">
FR090714B=_x000F_SECOND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8" s="21"/>
      </tp>
      <tp>
        <v>99.861999999999995</v>
        <stp/>
        <stp xml:space="preserve">
FR180914B=_x000F_SECOND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1" s="21"/>
      </tp>
      <tp>
        <v>99.921999999999997</v>
        <stp/>
        <stp xml:space="preserve">
FR280514B=_x000F_SECOND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6" s="21"/>
      </tp>
      <tp>
        <v>99.981999999999999</v>
        <stp/>
        <stp xml:space="preserve">
FR270214B=_x000F_SECOND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7" s="21"/>
      </tp>
      <tp>
        <v>99.959000000000003</v>
        <stp/>
        <stp xml:space="preserve">
FR170414B=_x000F_SECOND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2" s="21"/>
      </tp>
      <tp>
        <v>99.975999999999999</v>
        <stp/>
        <stp xml:space="preserve">
FR060314B=_x000F_SECOND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8" s="21"/>
      </tp>
      <tp>
        <v>99.983999999999995</v>
        <stp/>
        <stp xml:space="preserve">
FR060214B=_x000F_SECOND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4" s="21"/>
      </tp>
      <tp>
        <v>99.989000000000004</v>
        <stp/>
        <stp xml:space="preserve">
FR160114B=_x000F_SECOND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1" s="21"/>
      </tp>
      <tp>
        <v>99.906999999999996</v>
        <stp/>
        <stp xml:space="preserve">
FR260614B=_x000F_SECOND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7" s="21"/>
      </tp>
      <tp>
        <v>99.858000000000004</v>
        <stp/>
        <stp xml:space="preserve">
FR161014B=_x000F_SECOND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3" s="21"/>
      </tp>
      <tp>
        <v>99.929000000000002</v>
        <stp/>
        <stp xml:space="preserve">
FR150514B=_x000F_SECOND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5" s="21"/>
      </tp>
      <tp>
        <v>99.894999999999996</v>
        <stp/>
        <stp xml:space="preserve">
FR240714B=_x000F_SECOND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9" s="21"/>
      </tp>
      <tp>
        <v>0.22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5" s="12"/>
      </tp>
      <tp>
        <v>0.22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4" s="12"/>
      </tp>
      <tp>
        <v>0.2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3" s="12"/>
      </tp>
      <tp>
        <v>99.96</v>
        <stp/>
        <stp xml:space="preserve">
FR130314B=_x000F_SECOND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9" s="21"/>
      </tp>
      <tp>
        <v>99.98</v>
        <stp/>
        <stp xml:space="preserve">
FR130214B=_x000F_SECOND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5" s="21"/>
      </tp>
      <tp>
        <v>99.986999999999995</v>
        <stp/>
        <stp xml:space="preserve">
FR230114B=_x000F_SECOND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2" s="21"/>
      </tp>
      <tp>
        <v>99.966999999999999</v>
        <stp/>
        <stp xml:space="preserve">
FR030414B=_x000F_SECOND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1" s="21"/>
      </tp>
      <tp>
        <v>99.844999999999999</v>
        <stp/>
        <stp xml:space="preserve">
FR131114B=_x000F_SECOND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5" s="21"/>
      </tp>
      <tp t="s">
        <v>#N/A The record could not be found</v>
        <stp/>
        <stp xml:space="preserve">
FR120914B=_x000F_SECOND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2" s="21"/>
      </tp>
      <tp>
        <v>99.992999999999995</v>
        <stp/>
        <stp xml:space="preserve">
FR020114B=_x000F_SECOND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8" s="21"/>
      </tp>
      <tp>
        <v>99.893000000000001</v>
        <stp/>
        <stp xml:space="preserve">
FR210814B=_x000F_SECOND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0" s="21"/>
      </tp>
      <tp t="s">
        <v>#N/A The record could not be found</v>
        <stp/>
        <stp xml:space="preserve">
FR100115B=_x000F_SECOND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7" s="21"/>
      </tp>
      <tp t="s">
        <v>#N/A The record could not be found</v>
        <stp/>
        <stp xml:space="preserve">
FR100715B=_x000F_SECOND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9" s="21"/>
      </tp>
      <tp>
        <v>0</v>
        <stp/>
        <stp xml:space="preserve">
FR111214B=_x000F_SECOND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6" s="21"/>
      </tp>
      <tp>
        <v>99.965999999999994</v>
        <stp/>
        <stp xml:space="preserve">
FR200314B=_x000F_SECOND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0" s="21"/>
      </tp>
      <tp>
        <v>99.977999999999994</v>
        <stp/>
        <stp xml:space="preserve">
FR200214B=_x000F_SECOND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6" s="21"/>
      </tp>
      <tp>
        <v>99.988</v>
        <stp/>
        <stp xml:space="preserve">
FR300114B=_x000F_SECOND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3" s="21"/>
      </tp>
      <tp>
        <v>99.941999999999993</v>
        <stp/>
        <stp xml:space="preserve">
FR300414B=_x000F_SECOND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4" s="21"/>
      </tp>
      <tp>
        <v>99.997</v>
        <stp/>
        <stp xml:space="preserve">
FR271213B=_x000F_SECOND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7" s="21"/>
      </tp>
    </main>
    <main first="pldatasource.rdatartdserver">
      <tp t="s">
        <v>Unable to collect data for all requested fields.</v>
        <stp/>
        <stp>{D8980D71-F886-4650-9793-FE1DD865734C}</stp>
        <tr r="H10" s="13"/>
      </tp>
      <tp t="s">
        <v>Unable to collect data for all requested fields.</v>
        <stp/>
        <stp>{991C6D20-E11A-40AC-9F36-1516700BE832}</stp>
        <tr r="I16" s="13"/>
      </tp>
      <tp t="s">
        <v>Invalid Instrument Name.</v>
        <stp/>
        <stp>{1FE57CA7-C31D-4338-BA53-CA09D27B7F56}</stp>
        <tr r="H84" s="13"/>
      </tp>
      <tp t="s">
        <v>Invalid Instrument Name.</v>
        <stp/>
        <stp>{7D9460F4-8E0E-4D20-86F4-9D1C2191B307}</stp>
        <tr r="H31" s="13"/>
      </tp>
      <tp t="s">
        <v>Unable to collect data for all requested fields.</v>
        <stp/>
        <stp>{22DD6AC4-FE41-477C-91A0-A6DFFBCFFECA}</stp>
        <tr r="H59" s="13"/>
      </tp>
      <tp t="s">
        <v>Unable to collect data for all requested fields.</v>
        <stp/>
        <stp>{1EF27740-8850-4A63-8023-0799ED465DBE}</stp>
        <tr r="H34" s="13"/>
      </tp>
      <tp t="s">
        <v/>
        <stp/>
        <stp>{6797D3BA-0AC8-4CC8-BA18-214A75F40BFF}</stp>
        <tr r="H53" s="13"/>
      </tp>
      <tp t="s">
        <v>Unable to collect data for all requested fields.</v>
        <stp/>
        <stp>{5A8C261D-EA0A-4592-A84D-D060A9533A9A}</stp>
        <tr r="I18" s="13"/>
      </tp>
      <tp t="s">
        <v>Invalid Instrument Name.</v>
        <stp/>
        <stp>{E523F3ED-ED05-434F-B95E-733D016B58E2}</stp>
        <tr r="I77" s="13"/>
      </tp>
    </main>
    <main first="pldatasource.rtgetrtdserver">
      <tp>
        <v>99.827200000000005</v>
        <stp/>
        <stp>_x000B_IT495817=TT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5" s="1"/>
      </tp>
      <tp>
        <v>102.107</v>
        <stp/>
        <stp>_x000B_IT361838=TT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7" s="1"/>
      </tp>
      <tp>
        <v>100.625</v>
        <stp/>
        <stp>_x000B_IT470799=TT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6" s="1"/>
      </tp>
      <tp>
        <v>99.993769999999998</v>
        <stp/>
        <stp>_x000B_IT493207=TT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8" s="1"/>
      </tp>
      <tp>
        <v>99.741680000000002</v>
        <stp/>
        <stp>_x000B_IT492007=TT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9" s="1"/>
      </tp>
      <tp>
        <v>99.969179999999994</v>
        <stp/>
        <stp>_x000B_IT488596=TT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9" s="1"/>
      </tp>
    </main>
    <main first="pldatasource.rdatartdserver">
      <tp t="s">
        <v>Invalid Instrument Name.</v>
        <stp/>
        <stp>{CF7077C9-ED84-4C19-80DA-8424C5F75536}</stp>
        <tr r="H15" s="13"/>
      </tp>
      <tp t="s">
        <v>Unable to collect data for all requested fields.</v>
        <stp/>
        <stp>{44EDBA2C-265F-41B9-8A3F-E144D4DEB0A3}</stp>
        <tr r="H15" s="13"/>
      </tp>
      <tp t="s">
        <v>Unable to collect data for all requested fields.</v>
        <stp/>
        <stp>{80F2A7BB-AEF9-4AFF-A976-9618F6E4355C}</stp>
        <tr r="H37" s="13"/>
      </tp>
      <tp t="s">
        <v>Unable to collect data for all requested fields.</v>
        <stp/>
        <stp>{0BDB1294-7059-40E1-A598-73D4EB154C6E}</stp>
        <tr r="I56" s="13"/>
      </tp>
      <tp t="s">
        <v>Invalid Instrument Name.</v>
        <stp/>
        <stp>{167CA68C-87B5-441E-B00A-52DA7E2E5D9F}</stp>
        <tr r="H21" s="13"/>
      </tp>
      <tp t="s">
        <v>Invalid Instrument Name.</v>
        <stp/>
        <stp>{497C210C-CDE8-4A68-B93A-0A5252415652}</stp>
        <tr r="I76" s="13"/>
      </tp>
      <tp t="s">
        <v>Unable to collect data for all requested fields.</v>
        <stp/>
        <stp>{4553DA27-3929-42F3-981D-987EFFB1AC8E}</stp>
        <tr r="H22" s="13"/>
      </tp>
      <tp t="s">
        <v>Invalid Instrument Name.</v>
        <stp/>
        <stp>{FC2DB710-CA9F-4CA5-A7D0-1164E7F2F65B}</stp>
        <tr r="H71" s="13"/>
      </tp>
      <tp t="s">
        <v>Invalid Instrument Name.</v>
        <stp/>
        <stp>{19276E5C-1636-443D-BBC1-63A364572BC2}</stp>
        <tr r="H70" s="13"/>
      </tp>
    </main>
    <main first="pldatasource.rtgetrtdserver">
      <tp>
        <v>99.467160000000007</v>
        <stp/>
        <stp>_x000B_IT495816=TT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9" s="1"/>
      </tp>
      <tp>
        <v>99.296719999999993</v>
        <stp/>
        <stp>_x000B_IT496946=TT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2" s="1"/>
      </tp>
      <tp>
        <v>99.799469999999999</v>
        <stp/>
        <stp>_x000B_IT490936=TT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7" s="1"/>
      </tp>
      <tp>
        <v>101.861</v>
        <stp/>
        <stp>_x000B_IT480507=TT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7" s="1"/>
      </tp>
      <tp>
        <v>99.682119999999998</v>
        <stp/>
        <stp>_x000B_IT493206=TT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3" s="1"/>
      </tp>
      <tp t="s">
        <v>#N/A The record could not be found</v>
        <stp/>
        <stp>_x000B_IT498126=TT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4" s="1"/>
      </tp>
      <tp>
        <v>104.607</v>
        <stp/>
        <stp>_x000B_IT478038=TT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3" s="1"/>
      </tp>
    </main>
    <main first="pldatasource.rdatartdserver">
      <tp t="s">
        <v>Unable to collect data for all requested fields.</v>
        <stp/>
        <stp>{5E028140-DA4C-47DD-9285-CD1ED6F36B02}</stp>
        <tr r="H29" s="13"/>
      </tp>
      <tp t="s">
        <v>Invalid Instrument Name.</v>
        <stp/>
        <stp>{FC45E247-1515-4046-8598-63BC7FAF1E9E}</stp>
        <tr r="I55" s="13"/>
      </tp>
      <tp t="s">
        <v>Invalid Instrument Name.</v>
        <stp/>
        <stp>{89D7379C-A4A3-405C-B029-8AA0CC030860}</stp>
        <tr r="H23" s="13"/>
      </tp>
      <tp t="s">
        <v>Unable to collect data for all requested fields.</v>
        <stp/>
        <stp>{4110E11F-8CCE-4F43-B120-8731FE32A7DD}</stp>
        <tr r="H27" s="13"/>
      </tp>
      <tp t="s">
        <v>Unable to collect data for all requested fields.</v>
        <stp/>
        <stp>{A279036F-3FEB-4A34-A09A-37E8A7FFAB25}</stp>
        <tr r="I89" s="13"/>
      </tp>
      <tp t="s">
        <v>The record could not be found</v>
        <stp/>
        <stp>{70BB410C-CB68-457F-B771-6B6449D02FD6}</stp>
        <tr r="I45" s="13"/>
      </tp>
      <tp t="s">
        <v>Unable to collect data for all requested fields.</v>
        <stp/>
        <stp>{D2D8D6CB-09F0-4A7E-A57E-BE803B4D70CE}</stp>
        <tr r="I11" s="13"/>
      </tp>
      <tp t="s">
        <v>Invalid Instrument Name.</v>
        <stp/>
        <stp>{4BE65E4B-5F41-4443-B753-F2106449AC59}</stp>
        <tr r="I58" s="13"/>
      </tp>
      <tp t="s">
        <v>Unable to collect data for all requested fields.</v>
        <stp/>
        <stp>{2DBAF192-EB02-482B-BC99-30CE9618D2FC}</stp>
        <tr r="H76" s="13"/>
      </tp>
    </main>
    <main first="pldatasource.rtgetrtdserver">
      <tp>
        <v>99.707930000000005</v>
        <stp/>
        <stp>_x000B_IT496945=TT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0" s="1"/>
      </tp>
      <tp>
        <v>99.907690000000002</v>
        <stp/>
        <stp>_x000B_IT489264=TT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2" s="1"/>
      </tp>
      <tp>
        <v>99.209980000000002</v>
        <stp/>
        <stp>_x000B_IT498125=TT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4" s="1"/>
      </tp>
    </main>
    <main first="pldatasource.rdatartdserver">
      <tp t="s">
        <v>Unable to collect data for all requested fields.</v>
        <stp/>
        <stp>{3FCCAEE8-0243-46A9-BD24-4EF78D77A7EC}</stp>
        <tr r="I9" s="13"/>
      </tp>
      <tp t="s">
        <v>Invalid Instrument Name.</v>
        <stp/>
        <stp>{38F77C52-4B0F-47D2-9163-CC1E302D495A}</stp>
        <tr r="H82" s="13"/>
      </tp>
      <tp t="s">
        <v>Invalid Instrument Name.</v>
        <stp/>
        <stp>{D0D28784-5CC8-4469-A82F-E64D418181A2}</stp>
        <tr r="H72" s="13"/>
      </tp>
      <tp t="s">
        <v>Unable to collect data for all requested fields.</v>
        <stp/>
        <stp>{0B80F274-D89B-4A78-8330-871443258F06}</stp>
        <tr r="H87" s="13"/>
      </tp>
      <tp t="s">
        <v>Invalid Instrument Name.</v>
        <stp/>
        <stp>{C251F902-4482-44E6-AD76-08B1CAF5D76A}</stp>
        <tr r="I89" s="13"/>
      </tp>
      <tp t="s">
        <v>Invalid Instrument Name.</v>
        <stp/>
        <stp>{EA667CEF-503D-46AB-8A40-205C7607F3C2}</stp>
        <tr r="H32" s="13"/>
      </tp>
      <tp t="s">
        <v>Invalid Instrument Name.</v>
        <stp/>
        <stp>{4F5C9A5F-2179-4232-AD6B-80609BC18F3D}</stp>
        <tr r="I80" s="13"/>
      </tp>
      <tp t="s">
        <v>Invalid Instrument Name.</v>
        <stp/>
        <stp>{5627884C-DB02-4CF7-A2DB-9FCE4EA16E14}</stp>
        <tr r="H34" s="13"/>
      </tp>
      <tp t="s">
        <v>Invalid Instrument Name.</v>
        <stp/>
        <stp>{DDBF0FB5-5D96-46F2-AC8C-A796A0394384}</stp>
        <tr r="I64" s="13"/>
      </tp>
      <tp t="s">
        <v>Invalid Instrument Name.</v>
        <stp/>
        <stp>{E0B220F0-948C-4C38-8670-5B3BD6B319D7}</stp>
        <tr r="H89" s="13"/>
      </tp>
      <tp t="s">
        <v>Unable to collect data for all requested fields.</v>
        <stp/>
        <stp>{EA597CDC-1F8F-489F-9066-0E65F001BF2E}</stp>
        <tr r="I8" s="13"/>
      </tp>
      <tp t="s">
        <v>Unable to collect data for all requested fields.</v>
        <stp/>
        <stp>{7B827398-3A14-4086-9CC4-877ABAC7FA5F}</stp>
        <tr r="I40" s="13"/>
      </tp>
      <tp t="s">
        <v>Unable to collect data for all requested fields.</v>
        <stp/>
        <stp>{37F44C0C-2EC1-42ED-9858-BB581B3E668A}</stp>
        <tr r="I77" s="13"/>
      </tp>
    </main>
    <main first="pldatasource.rtgetrtdserver">
      <tp>
        <v>99.694000000000003</v>
        <stp/>
        <stp>_x000B_IT482025=TT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1" s="1"/>
      </tp>
    </main>
    <main first="pldatasource.rdatartdserver">
      <tp t="s">
        <v>Invalid Instrument Name.</v>
        <stp/>
        <stp>{DF463710-2FBA-4BCD-8D91-02B56111FA4D}</stp>
        <tr r="I16" s="13"/>
      </tp>
      <tp t="s">
        <v>Invalid Instrument Name.</v>
        <stp/>
        <stp>{7C40794E-E505-4816-8D1C-55B20E2ABC3B}</stp>
        <tr r="I78" s="13"/>
      </tp>
      <tp t="s">
        <v>Invalid Instrument Name.</v>
        <stp/>
        <stp>{DF48CE5C-43A4-4857-AE65-B05D3C35B04D}</stp>
        <tr r="I79" s="13"/>
      </tp>
      <tp t="s">
        <v>Invalid Instrument Name.</v>
        <stp/>
        <stp>{338EABF3-02BF-435A-AD46-3D44CFC04185}</stp>
        <tr r="I73" s="13"/>
      </tp>
      <tp t="s">
        <v>Unable to collect data for all requested fields.</v>
        <stp/>
        <stp>{30ACF3DF-F695-4327-AB4B-13406C6047F9}</stp>
        <tr r="I17" s="13"/>
      </tp>
      <tp t="s">
        <v>Unable to collect data for all requested fields.</v>
        <stp/>
        <stp>{C17E2406-EBB1-45CA-87F1-0AF0DADDC8C8}</stp>
        <tr r="H63" s="13"/>
      </tp>
      <tp t="s">
        <v>Unable to collect data for all requested fields.</v>
        <stp/>
        <stp>{46A8652C-05F6-4BE1-B286-C7DD4B54043A}</stp>
        <tr r="H28" s="13"/>
      </tp>
      <tp t="s">
        <v>Invalid Instrument Name.</v>
        <stp/>
        <stp>{092AC369-16AE-4111-AE8E-8CC27463710F}</stp>
        <tr r="H56" s="13"/>
      </tp>
      <tp t="s">
        <v>Invalid Instrument Name.</v>
        <stp/>
        <stp>{0C67316D-B24B-4E9B-999C-C34CE7A43E6D}</stp>
        <tr r="H80" s="13"/>
      </tp>
      <tp t="s">
        <v>Invalid Instrument Name.</v>
        <stp/>
        <stp>{D5A551CF-95F9-4D0D-9E3E-834B7F5762A6}</stp>
        <tr r="H37" s="13"/>
      </tp>
      <tp t="s">
        <v>Unable to collect data for all requested fields.</v>
        <stp/>
        <stp>{78B36310-C9F5-4522-86F3-0C7C208426D4}</stp>
        <tr r="I62" s="13"/>
      </tp>
      <tp t="s">
        <v>Invalid Instrument Name.</v>
        <stp/>
        <stp>{9D304CF7-708C-47DC-9800-5A2797443EA7}</stp>
        <tr r="H33" s="13"/>
      </tp>
      <tp t="s">
        <v>Invalid Instrument Name.</v>
        <stp/>
        <stp>{73292381-78D7-406E-8C62-C672B92CB872}</stp>
        <tr r="I63" s="13"/>
      </tp>
      <tp t="s">
        <v>Invalid Instrument Name.</v>
        <stp/>
        <stp>{21868872-3C0A-4582-A118-91DC92F3BDD2}</stp>
        <tr r="I12" s="13"/>
      </tp>
      <tp t="s">
        <v>Invalid Instrument Name.</v>
        <stp/>
        <stp>{E1B5E0ED-2280-4684-B4A7-1B36D3FF88E0}</stp>
        <tr r="I39" s="13"/>
      </tp>
      <tp t="s">
        <v>Unable to collect data for all requested fields.</v>
        <stp/>
        <stp>{48167C42-0CA8-4E0E-93A4-CACAB2BDB8AA}</stp>
        <tr r="I42" s="13"/>
      </tp>
      <tp t="s">
        <v>Unable to collect data for all requested fields.</v>
        <stp/>
        <stp>{33D2E920-D3D3-42FD-B504-5D45004A22C9}</stp>
        <tr r="I44" s="13"/>
      </tp>
      <tp t="s">
        <v>Unable to collect data for all requested fields.</v>
        <stp/>
        <stp>{12496BDA-EB1C-476A-9684-717EDF13DC2E}</stp>
        <tr r="H77" s="13"/>
      </tp>
      <tp t="s">
        <v>Invalid Instrument Name.</v>
        <stp/>
        <stp>{950CD128-DA2C-420A-B3DD-A33CD5B3A3D8}</stp>
        <tr r="I40" s="13"/>
      </tp>
      <tp t="s">
        <v>Unable to collect data for all requested fields.</v>
        <stp/>
        <stp>{581D8067-8135-4D12-BB05-4C8F301D4D85}</stp>
        <tr r="I19" s="13"/>
      </tp>
      <tp t="s">
        <v>Unable to collect data for all requested fields.</v>
        <stp/>
        <stp>{94C4BAB1-47A7-4789-9ECA-E4C36ABC3EE7}</stp>
        <tr r="H40" s="13"/>
      </tp>
      <tp t="s">
        <v>Unable to collect data for all requested fields.</v>
        <stp/>
        <stp>{595C17E8-5087-4B17-8489-55D1FA996E76}</stp>
        <tr r="I58" s="13"/>
      </tp>
      <tp t="s">
        <v>Unable to collect data for all requested fields.</v>
        <stp/>
        <stp>{2E7245FD-E8BC-4596-9C1C-35D57287AFE9}</stp>
        <tr r="H60" s="13"/>
      </tp>
    </main>
    <main first="pldatasource.rtgetrtdserver">
      <tp>
        <v>99.884630000000001</v>
        <stp/>
        <stp>_x000B_IT495472=TT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3" s="1"/>
      </tp>
      <tp>
        <v>104.15</v>
        <stp/>
        <stp>_x000B_IT384453=TT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42" s="1"/>
      </tp>
      <tp>
        <v>99.999669999999995</v>
        <stp/>
        <stp>_x000B_IT492162=TT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6" s="1"/>
      </tp>
    </main>
    <main first="pldatasource.rdatartdserver">
      <tp t="s">
        <v>Invalid Instrument Name.</v>
        <stp/>
        <stp>{9B31CD79-0549-463A-9E0F-0C146FE0320C}</stp>
        <tr r="H64" s="13"/>
      </tp>
      <tp t="s">
        <v>Unable to collect data for all requested fields.</v>
        <stp/>
        <stp>{BA34D393-FB3B-4593-BCFA-960B742D4683}</stp>
        <tr r="I92" s="13"/>
      </tp>
      <tp t="s">
        <v/>
        <stp/>
        <stp>{4D7D5E81-0969-4992-9F4B-53B7F650F302}</stp>
        <tr r="I53" s="13"/>
      </tp>
      <tp t="s">
        <v>Unable to collect data for all requested fields.</v>
        <stp/>
        <stp>{FD1DB07C-E21D-4F5E-95D2-2B5B25FB4CF9}</stp>
        <tr r="H58" s="13"/>
      </tp>
      <tp t="s">
        <v>Unable to collect data for all requested fields.</v>
        <stp/>
        <stp>{8B5BC6CE-97FF-4A39-B724-7B6198E6F157}</stp>
        <tr r="H91" s="13"/>
      </tp>
      <tp t="s">
        <v>Invalid Instrument Name.</v>
        <stp/>
        <stp>{BD7A8E1E-970F-4C15-8EBA-D6B71425410D}</stp>
        <tr r="H18" s="13"/>
      </tp>
      <tp t="s">
        <v>Unable to collect data for all requested fields.</v>
        <stp/>
        <stp>{CDBB52E8-C2EE-47B0-A3E8-FA025D4F2897}</stp>
        <tr r="I55" s="13"/>
      </tp>
      <tp t="s">
        <v>Invalid Instrument Name.</v>
        <stp/>
        <stp>{FB4C89BF-5DFC-4043-BDB2-48E76376CBB6}</stp>
        <tr r="H78" s="13"/>
      </tp>
      <tp t="s">
        <v>Unable to collect data for all requested fields.</v>
        <stp/>
        <stp>{985985B1-6CF5-409A-908B-6FE0707A4A47}</stp>
        <tr r="I7" s="13"/>
      </tp>
    </main>
    <main first="pldatasource.rtgetrtdserver">
      <tp>
        <v>99.528890000000004</v>
        <stp/>
        <stp>_x000B_IT495471=TT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8" s="1"/>
      </tp>
      <tp>
        <v>99.381</v>
        <stp/>
        <stp>_x000B_IT485380=TT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0" s="1"/>
      </tp>
      <tp>
        <v>99.334999999999994</v>
        <stp/>
        <stp>_x000B_ESL0140822=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6" s="22"/>
      </tp>
    </main>
    <main first="pldatasource.rdatartdserver">
      <tp t="s">
        <v>Invalid Instrument Name.</v>
        <stp/>
        <stp>{895997F5-B376-4840-9E8A-2C6072E630BD}</stp>
        <tr r="H30" s="13"/>
      </tp>
      <tp t="s">
        <v>Unable to collect data for all requested fields.</v>
        <stp/>
        <stp>{BA594B0C-5501-47A1-B86B-023736CCF920}</stp>
        <tr r="I69" s="13"/>
      </tp>
      <tp t="s">
        <v>Unable to collect data for all requested fields.</v>
        <stp/>
        <stp>{B6664F1B-C23C-411F-802F-F8D886526124}</stp>
        <tr r="H11" s="13"/>
      </tp>
      <tp t="s">
        <v>Invalid Instrument Name.</v>
        <stp/>
        <stp>{7FA83356-99D7-4C5B-A1C5-68AF2A015683}</stp>
        <tr r="I6" s="13"/>
      </tp>
      <tp t="s">
        <v>Unable to collect data for all requested fields.</v>
        <stp/>
        <stp>{85647B41-51D2-427F-90F7-FA70525D1D76}</stp>
        <tr r="I75" s="13"/>
      </tp>
      <tp t="s">
        <v>Invalid Instrument Name.</v>
        <stp/>
        <stp>{B433284F-4185-4A85-98BA-8DCD6379EA2B}</stp>
        <tr r="I70" s="13"/>
      </tp>
      <tp t="s">
        <v>Unable to collect data for all requested fields.</v>
        <stp/>
        <stp>{18590240-C73A-4C43-BCEA-DF0776E00C39}</stp>
        <tr r="I68" s="13"/>
      </tp>
      <tp t="s">
        <v>Unable to collect data for all requested fields.</v>
        <stp/>
        <stp>{D6EDBE24-F8BE-4A8B-B34A-698D6E678E1D}</stp>
        <tr r="H90" s="13"/>
      </tp>
      <tp t="s">
        <v>Invalid Instrument Name.</v>
        <stp/>
        <stp>{A56173C4-8F4F-46EB-8D0C-F7BDC3EB24F9}</stp>
        <tr r="H75" s="13"/>
      </tp>
      <tp t="s">
        <v>Invalid Instrument Name.</v>
        <stp/>
        <stp>{F9F93456-481B-4A60-A8C5-FDE4AB996232}</stp>
        <tr r="H29" s="13"/>
      </tp>
      <tp t="s">
        <v>Unable to collect data for all requested fields.</v>
        <stp/>
        <stp>{98885D5B-84BA-420E-8288-7272BF102F62}</stp>
        <tr r="H18" s="13"/>
      </tp>
      <tp t="s">
        <v>Unable to collect data for all requested fields.</v>
        <stp/>
        <stp>{4531B9E8-72F7-4EB7-8156-0816A8A09F37}</stp>
        <tr r="H38" s="13"/>
      </tp>
    </main>
    <main first="pldatasource.rtgetrtdserver">
      <tp>
        <v>99.935180000000003</v>
        <stp/>
        <stp>_x000B_IT494010=TT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0" s="1"/>
      </tp>
      <tp>
        <v>97.472999999999999</v>
        <stp/>
        <stp>_x000B_IT497820=TT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45" s="1"/>
      </tp>
      <tp>
        <v>99.257999999999996</v>
        <stp/>
        <stp>_x000B_ESL0140919=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7" s="22"/>
      </tp>
    </main>
    <main first="pldatasource.rdatartdserver">
      <tp t="s">
        <v>Invalid Instrument Name.</v>
        <stp/>
        <stp>{3D3930F1-116C-4CE6-96A7-CD441EC16458}</stp>
        <tr r="H54" s="13"/>
      </tp>
      <tp t="s">
        <v>Invalid Instrument Name.</v>
        <stp/>
        <stp>{407719C2-376F-47FC-981D-9262B8A86CAA}</stp>
        <tr r="H14" s="13"/>
      </tp>
      <tp t="s">
        <v>Unable to collect data for all requested fields.</v>
        <stp/>
        <stp>{4818F950-6C7C-4D76-9AD1-A8BCEB0A8256}</stp>
        <tr r="I81" s="13"/>
      </tp>
      <tp t="s">
        <v>Invalid Instrument Name.</v>
        <stp/>
        <stp>{BEC5EF6F-696B-4B44-8A7C-F72F9904053C}</stp>
        <tr r="I15" s="13"/>
      </tp>
      <tp t="s">
        <v>Invalid Instrument Name.</v>
        <stp/>
        <stp>{184B9B62-84CC-4A4C-AA79-D7C4330188B9}</stp>
        <tr r="I13" s="13"/>
      </tp>
    </main>
    <main first="pldatasource.rtgetrtdserver">
      <tp>
        <v>103.715</v>
        <stp/>
        <stp>_x000B_IT371991=TT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6" s="1"/>
      </tp>
      <tp>
        <v>99.546999999999997</v>
        <stp/>
        <stp>_x000B_ESL0140620=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3" s="22"/>
      </tp>
    </main>
    <main first="pldatasource.rdatartdserver">
      <tp t="s">
        <v>Unable to collect data for all requested fields.</v>
        <stp/>
        <stp>{3A0391DA-C760-47EE-AAE0-69996D54A1AB}</stp>
        <tr r="I76" s="13"/>
      </tp>
      <tp t="s">
        <v>Unable to collect data for all requested fields.</v>
        <stp/>
        <stp>{8D12BB86-75BC-438B-AD6A-6E7E7DA99157}</stp>
        <tr r="I66" s="13"/>
      </tp>
      <tp t="s">
        <v>Unable to collect data for all requested fields.</v>
        <stp/>
        <stp>{B9B114D6-B213-4A2D-BEA9-25117D4F4166}</stp>
        <tr r="H35" s="13"/>
      </tp>
      <tp t="s">
        <v>Invalid Instrument Name.</v>
        <stp/>
        <stp>{8F93E5BB-C8D1-4FA0-BC5D-FF8613D7C1ED}</stp>
        <tr r="I25" s="13"/>
      </tp>
      <tp t="s">
        <v>Unable to collect data for all requested fields.</v>
        <stp/>
        <stp>{DAF57702-0A5A-4D46-AFE9-ADFD37317CE2}</stp>
        <tr r="I61" s="13"/>
      </tp>
      <tp t="s">
        <v>Unable to collect data for all requested fields.</v>
        <stp/>
        <stp>{28A14585-EE07-4C24-A7A6-C03F86D0D9C0}</stp>
        <tr r="H92" s="13"/>
      </tp>
      <tp t="s">
        <v>Unable to collect data for all requested fields.</v>
        <stp/>
        <stp>{B875686E-0232-4A1E-A9B1-DE97F62F7169}</stp>
        <tr r="I15" s="13"/>
      </tp>
      <tp t="s">
        <v>Unable to collect data for all requested fields.</v>
        <stp/>
        <stp>{E4E1D61D-25C3-498A-B9F9-D12A05B9F871}</stp>
        <tr r="I90" s="13"/>
      </tp>
      <tp t="s">
        <v>Unable to collect data for all requested fields.</v>
        <stp/>
        <stp>{A40EDF17-7D70-4703-A324-A2F4E88F4D0D}</stp>
        <tr r="H36" s="13"/>
      </tp>
      <tp t="s">
        <v>Invalid Instrument Name.</v>
        <stp/>
        <stp>{60DD05B5-B658-48D5-8B65-DC351C82041F}</stp>
        <tr r="I34" s="13"/>
      </tp>
    </main>
    <main first="pldatasource.rtgetrtdserver">
      <tp>
        <v>101.843</v>
        <stp/>
        <stp>_x000B_IT475040=TT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5" s="1"/>
      </tp>
      <tp>
        <v>99.447000000000003</v>
        <stp/>
        <stp>_x000B_ESL0140718=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4" s="22"/>
      </tp>
      <tp>
        <v>102.84</v>
        <stp/>
        <stp>_x000B_IT461591=TT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9" s="1"/>
      </tp>
    </main>
    <main first="pldatasource.rdatartdserver">
      <tp t="s">
        <v>Unable to collect data for all requested fields.</v>
        <stp/>
        <stp>{FE00E967-251E-4D0A-9528-5A5568C003B2}</stp>
        <tr r="I63" s="13"/>
      </tp>
      <tp t="s">
        <v>Unable to collect data for all requested fields.</v>
        <stp/>
        <stp>{C8F7BE0B-688F-4E33-BEF1-16B3D5AA60CD}</stp>
        <tr r="H23" s="13"/>
      </tp>
      <tp t="s">
        <v>Invalid Instrument Name.</v>
        <stp/>
        <stp>{A567CEDB-E635-42EE-88FF-B29690AC95EF}</stp>
        <tr r="H13" s="13"/>
      </tp>
      <tp t="s">
        <v>Unable to collect data for all requested fields.</v>
        <stp/>
        <stp>{5C9936CD-029A-43EB-9B95-19DEABDF37B9}</stp>
        <tr r="H69" s="13"/>
      </tp>
      <tp t="s">
        <v>Invalid Instrument Name.</v>
        <stp/>
        <stp>{77B45CF8-DC70-4727-8F5D-C05ED2133D85}</stp>
        <tr r="H83" s="13"/>
      </tp>
      <tp t="s">
        <v>Invalid Instrument Name.</v>
        <stp/>
        <stp>{DCDC7430-733D-4F94-9094-66AA54859268}</stp>
        <tr r="H92" s="13"/>
      </tp>
      <tp t="s">
        <v>Unable to collect data for all requested fields.</v>
        <stp/>
        <stp>{1FE557FD-54BB-44BA-A138-827F39D163CB}</stp>
        <tr r="I79" s="13"/>
      </tp>
      <tp t="s">
        <v>Unable to collect data for all requested fields.</v>
        <stp/>
        <stp>{507CB317-370B-4764-A8D9-28BEBC2F31D0}</stp>
        <tr r="I85" s="13"/>
      </tp>
    </main>
    <main first="pldatasource.rtgetrtdserver">
      <tp>
        <v>99.745999999999995</v>
        <stp/>
        <stp>_x000B_ESL0140416=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0" s="22"/>
      </tp>
    </main>
    <main first="pldatasource.rdatartdserver">
      <tp t="s">
        <v>Invalid Instrument Name.</v>
        <stp/>
        <stp>{0BFE7B76-1724-44F1-A2A9-1DD7D6F916AC}</stp>
        <tr r="I41" s="13"/>
      </tp>
      <tp t="s">
        <v>Invalid Instrument Name.</v>
        <stp/>
        <stp>{1FFB1AC5-A77E-4180-B56F-7D8BCBA6CA13}</stp>
        <tr r="I66" s="13"/>
      </tp>
      <tp t="s">
        <v>Unable to collect data for all requested fields.</v>
        <stp/>
        <stp>{3C63B997-D517-4230-9453-94CFDBC15858}</stp>
        <tr r="I34" s="13"/>
      </tp>
    </main>
    <main first="pldatasource.rtgetrtdserver">
      <tp>
        <v>101.28</v>
        <stp/>
        <stp>_x000D_FR0010061242=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3" s="21"/>
      </tp>
      <tp>
        <v>99.846999999999994</v>
        <stp/>
        <stp>_x000D_FR0011452721=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42" s="21"/>
      </tp>
    </main>
    <main first="pldatasource.rdatartdserver">
      <tp t="s">
        <v>Invalid Instrument Name.</v>
        <stp/>
        <stp>{EB664886-1A33-4B02-BC2F-6CA823BA2A7F}</stp>
        <tr r="I32" s="13"/>
      </tp>
      <tp t="s">
        <v>Invalid Instrument Name.</v>
        <stp/>
        <stp>{CE59D94E-1E4F-4DB5-975F-8B8D6238594F}</stp>
        <tr r="H81" s="13"/>
      </tp>
      <tp t="s">
        <v>Unable to collect data for all requested fields.</v>
        <stp/>
        <stp>{3CCDC63F-E60E-4ED0-AF0B-3A8EDBDAC8E6}</stp>
        <tr r="H42" s="13"/>
      </tp>
      <tp t="s">
        <v>Invalid Instrument Name.</v>
        <stp/>
        <stp>{A23E1DAF-9D52-4C9B-B738-1D357CBC77BB}</stp>
        <tr r="H6" s="13"/>
      </tp>
    </main>
    <main first="pldatasource.rtgetrtdserver">
      <tp>
        <v>99.674999999999997</v>
        <stp/>
        <stp>_x000B_ESL0140516=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2" s="22"/>
      </tp>
    </main>
    <main first="pldatasource.rdatartdserver">
      <tp t="s">
        <v>Unable to collect data for all requested fields.</v>
        <stp/>
        <stp>{AE997A3D-5C71-4ABA-B1BA-A4FCA4F2565E}</stp>
        <tr r="I37" s="13"/>
      </tp>
      <tp t="s">
        <v>Invalid Instrument Name.</v>
        <stp/>
        <stp>{007E6060-9EC9-426D-A74F-A681A0E9C2B0}</stp>
        <tr r="I60" s="13"/>
      </tp>
      <tp t="s">
        <v>Unable to collect data for all requested fields.</v>
        <stp/>
        <stp>{2B87758F-8DD6-4D5B-8038-8EA976543354}</stp>
        <tr r="I22" s="13"/>
      </tp>
    </main>
    <main first="pldatasource.rtgetrtdserver">
      <tp>
        <v>104.315</v>
        <stp/>
        <stp>_x000D_FR0010163543=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8" s="21"/>
      </tp>
    </main>
    <main first="pldatasource.rdatartdserver">
      <tp t="s">
        <v>Invalid Instrument Name.</v>
        <stp/>
        <stp>{EB8F2524-E99A-45F0-AA0C-CC9F8B0AE4C5}</stp>
        <tr r="H17" s="13"/>
      </tp>
      <tp t="s">
        <v>Unable to collect data for all requested fields.</v>
        <stp/>
        <stp>{0ADB73AF-F3DE-4521-AFA9-FAE71AF8FE65}</stp>
        <tr r="I86" s="13"/>
      </tp>
      <tp t="s">
        <v>Unable to collect data for all requested fields.</v>
        <stp/>
        <stp>{E1409801-CC6C-481A-A73F-3FA5D2B2AA8A}</stp>
        <tr r="H79" s="13"/>
      </tp>
      <tp t="s">
        <v>Unable to collect data for all requested fields.</v>
        <stp/>
        <stp>{410D75E4-B1A4-4CCF-84B8-A9B2B576913D}</stp>
        <tr r="H57" s="13"/>
      </tp>
      <tp t="s">
        <v>Unable to collect data for all requested fields.</v>
        <stp/>
        <stp>{1EA0E273-1A90-499E-8E57-D20556945631}</stp>
        <tr r="H17" s="13"/>
      </tp>
      <tp t="s">
        <v>Invalid Instrument Name.</v>
        <stp/>
        <stp>{24D07C23-2CDD-4692-8E5D-7E9DB73D02AB}</stp>
        <tr r="I88" s="13"/>
      </tp>
      <tp t="s">
        <v>Unable to collect data for all requested fields.</v>
        <stp/>
        <stp>{40DC6B88-FA0A-4F4A-972E-64B781BB78BF}</stp>
        <tr r="H6" s="13"/>
      </tp>
      <tp t="s">
        <v>Invalid Instrument Name.</v>
        <stp/>
        <stp>{CE83D71D-21CE-43E4-AA0C-083191DFF463}</stp>
        <tr r="H20" s="13"/>
      </tp>
    </main>
    <main first="pldatasource.rtgetrtdserver">
      <tp>
        <v>102.666</v>
        <stp/>
        <stp>_x000B_IT456827=TT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8" s="1"/>
      </tp>
      <tp>
        <v>99.084999999999994</v>
        <stp/>
        <stp>_x000B_ESL0141212=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1" s="22"/>
      </tp>
      <tp>
        <v>101.209</v>
        <stp/>
        <stp>_x000B_IT450507=TT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2" s="1"/>
      </tp>
      <tp>
        <v>99.891999999999996</v>
        <stp/>
        <stp>_x000B_ESL0140221=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8" s="22"/>
      </tp>
    </main>
    <main first="pldatasource.rdatartdserver">
      <tp t="s">
        <v>Unable to collect data for all requested fields.</v>
        <stp/>
        <stp>{61C45C37-8AA8-4571-B598-914B3723BD59}</stp>
        <tr r="I70" s="13"/>
      </tp>
      <tp t="s">
        <v>Invalid Instrument Name.</v>
        <stp/>
        <stp>{E7954762-ECA3-4FCA-9996-A1E49E5BBA07}</stp>
        <tr r="I42" s="13"/>
      </tp>
      <tp t="s">
        <v>Invalid Instrument Name.</v>
        <stp/>
        <stp>{54989FC0-3CAD-4734-A19C-3E5C1BEB950F}</stp>
        <tr r="I14" s="13"/>
      </tp>
      <tp t="s">
        <v/>
        <stp/>
        <stp>{9BDADE6D-3936-4AFA-8C9D-C4FD646AC7E3}</stp>
        <tr r="H5" s="13"/>
      </tp>
      <tp t="s">
        <v>Invalid Instrument Name.</v>
        <stp/>
        <stp>{299B71C5-1A52-4E4E-B4E2-B9E9B1EE3D3B}</stp>
        <tr r="I86" s="13"/>
      </tp>
      <tp t="s">
        <v>Unable to collect data for all requested fields.</v>
        <stp/>
        <stp>{634348CF-467A-447E-B0BB-07DEC7E18985}</stp>
        <tr r="I41" s="13"/>
      </tp>
      <tp t="s">
        <v>Unable to collect data for all requested fields.</v>
        <stp/>
        <stp>{85033BA4-5046-47DB-823A-C93CF4013699}</stp>
        <tr r="I59" s="13"/>
      </tp>
      <tp t="s">
        <v>Invalid Instrument Name.</v>
        <stp/>
        <stp>{9493D948-A9CB-4AF9-9E28-5073B831422E}</stp>
        <tr r="H26" s="13"/>
      </tp>
      <tp t="s">
        <v>Unable to collect data for all requested fields.</v>
        <stp/>
        <stp>{4312EEF9-783C-444F-8575-07B181B448A8}</stp>
        <tr r="H65" s="13"/>
      </tp>
      <tp t="s">
        <v>Unable to collect data for all requested fields.</v>
        <stp/>
        <stp>{68137010-8D8B-44F2-AB4F-4BD2C79BCDD8}</stp>
        <tr r="H71" s="13"/>
      </tp>
      <tp t="s">
        <v>Invalid Instrument Name.</v>
        <stp/>
        <stp>{AD6C1467-E18C-42F9-9D82-DE838AF57AFB}</stp>
        <tr r="I17" s="13"/>
      </tp>
    </main>
    <main first="pldatasource.rtgetrtdserver">
      <tp>
        <v>99.819000000000003</v>
        <stp/>
        <stp>_x000B_ESL0140314=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9" s="22"/>
      </tp>
      <tp>
        <v>99.921999999999997</v>
        <stp/>
        <stp>_x000B_IT479304=TT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1" s="1"/>
      </tp>
    </main>
    <main first="pldatasource.rdatartdserver">
      <tp t="s">
        <v>Unable to collect data for all requested fields.</v>
        <stp/>
        <stp>{8DA9F737-4BD3-4F9A-9659-CE5F9225B058}</stp>
        <tr r="H14" s="13"/>
      </tp>
      <tp t="s">
        <v>Invalid Instrument Name.</v>
        <stp/>
        <stp>{BB3D7586-04D5-46B2-B405-68389B2F070F}</stp>
        <tr r="I20" s="13"/>
      </tp>
      <tp t="s">
        <v>Invalid Instrument Name.</v>
        <stp/>
        <stp>{843237C9-7167-4B69-B66A-AC8F11F80BE7}</stp>
        <tr r="H58" s="13"/>
      </tp>
    </main>
    <main first="pldatasource.rtgetrtdserver">
      <tp>
        <v>103.16</v>
        <stp/>
        <stp>_x000D_FR0010112052=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4" s="21"/>
      </tp>
    </main>
    <main first="pldatasource.rdatartdserver">
      <tp t="s">
        <v>Invalid Instrument Name.</v>
        <stp/>
        <stp>{92EF89DE-C63C-4A96-9788-08CE65F17628}</stp>
        <tr r="H7" s="13"/>
      </tp>
      <tp t="s">
        <v>Invalid Instrument Name.</v>
        <stp/>
        <stp>{E66AB494-C3C0-43AE-AC43-C6280FA973DB}</stp>
        <tr r="I9" s="13"/>
      </tp>
      <tp t="s">
        <v>Unable to collect data for all requested fields.</v>
        <stp/>
        <stp>{D7B2F4C1-E9C4-409E-B9C0-59F396A05772}</stp>
        <tr r="H16" s="13"/>
      </tp>
    </main>
    <main first="pldatasource.rtgetrtdserver">
      <tp>
        <v>99.609560000000002</v>
        <stp/>
        <stp>_x000B_IT494009=TT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6" s="1"/>
      </tp>
      <tp>
        <v>105.21</v>
        <stp/>
        <stp>_x000B_IT484078=TT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41" s="1"/>
      </tp>
      <tp>
        <v>99.768010000000004</v>
        <stp/>
        <stp>_x000B_IT496509=TT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8" s="1"/>
      </tp>
      <tp>
        <v>99.998810000000006</v>
        <stp/>
        <stp>_x000B_IT496049=TT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7" s="1"/>
      </tp>
      <tp>
        <v>99.183000000000007</v>
        <stp/>
        <stp>_x000B_ESL0141017=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8" s="22"/>
      </tp>
    </main>
    <main first="pldatasource.rdatartdserver">
      <tp t="s">
        <v>Unable to collect data for all requested fields.</v>
        <stp/>
        <stp>{B19A14D6-FDB4-4BC1-9910-67139BAB6DAD}</stp>
        <tr r="I87" s="13"/>
      </tp>
      <tp t="s">
        <v>Invalid Instrument Name.</v>
        <stp/>
        <stp>{C07FA711-BAB0-4483-BC0A-6AC5DB93E7D0}</stp>
        <tr r="H73" s="13"/>
      </tp>
      <tp t="s">
        <v>Invalid Instrument Name.</v>
        <stp/>
        <stp>{29BE334B-49BC-4DD9-ADD2-1CC988096267}</stp>
        <tr r="H63" s="13"/>
      </tp>
      <tp t="s">
        <v>Unable to collect data for all requested fields.</v>
        <stp/>
        <stp>{54127745-4996-47FA-912B-4F1F16D0D336}</stp>
        <tr r="I30" s="13"/>
      </tp>
    </main>
    <main first="pldatasource.rtgetrtdserver">
      <tp>
        <v>104.96</v>
        <stp/>
        <stp>_x000D_FR0010216481=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40" s="21"/>
        <tr r="Q41" s="21"/>
      </tp>
    </main>
    <main first="pldatasource.rdatartdserver">
      <tp t="s">
        <v>Unable to collect data for all requested fields.</v>
        <stp/>
        <stp>{CFBAE684-55B8-4691-8180-A61B9B17C3FF}</stp>
        <tr r="H24" s="13"/>
      </tp>
      <tp t="s">
        <v>Invalid Instrument Name.</v>
        <stp/>
        <stp>{578AD3E6-E7CE-498C-B507-C0A93542211A}</stp>
        <tr r="H35" s="13"/>
      </tp>
      <tp t="s">
        <v>Unable to collect data for all requested fields.</v>
        <stp/>
        <stp>{FB5504FC-F852-4C73-ADF0-0BEFB236B843}</stp>
        <tr r="H89" s="13"/>
      </tp>
    </main>
    <main first="pldatasource.rtgetrtdserver">
      <tp>
        <v>103.38</v>
        <stp/>
        <stp>_x000B_IT465627=TT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43" s="1"/>
      </tp>
      <tp>
        <v>99.382180000000005</v>
        <stp/>
        <stp>_x000B_IT496508=TT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1" s="1"/>
      </tp>
      <tp>
        <v>98.313000000000002</v>
        <stp/>
        <stp>_x000B_IT493818=TT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40" s="1"/>
      </tp>
      <tp>
        <v>99.072000000000003</v>
        <stp/>
        <stp>_x000B_ESL0141121=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0" s="22"/>
      </tp>
      <tp>
        <v>99.933999999999997</v>
        <stp/>
        <stp>_x000B_ESL0140124=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6" s="22"/>
      </tp>
      <tp>
        <v>99.863219999999998</v>
        <stp/>
        <stp>_x000B_IT489909=TT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4" s="1"/>
      </tp>
      <tp>
        <v>99.132999999999996</v>
        <stp/>
        <stp>_x000B_IT489089=TT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5" s="1"/>
      </tp>
      <tp>
        <v>102.95</v>
        <stp/>
        <stp>_x000B_IT488099=TT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44" s="1"/>
      </tp>
    </main>
    <main first="pldatasource.rdatartdserver">
      <tp t="s">
        <v>Invalid Instrument Name.</v>
        <stp/>
        <stp>{3001CB11-0C7F-447C-805B-3A94BD92AB9A}</stp>
        <tr r="I83" s="13"/>
      </tp>
      <tp t="s">
        <v>Unable to collect data for all requested fields.</v>
        <stp/>
        <stp>{D05D2DFF-B781-463E-BDF7-AB371C87B2A0}</stp>
        <tr r="I12" s="13"/>
      </tp>
      <tp t="s">
        <v>Unable to collect data for all requested fields.</v>
        <stp/>
        <stp>{DE4C3241-B80F-422C-9FD7-F5AAC7BC6250}</stp>
        <tr r="I84" s="13"/>
      </tp>
      <tp t="s">
        <v>Invalid Instrument Name.</v>
        <stp/>
        <stp>{781046AE-CF1F-46E8-8FB0-00419586F939}</stp>
        <tr r="H66" s="13"/>
      </tp>
      <tp t="s">
        <v>Invalid Instrument Name.</v>
        <stp/>
        <stp>{024EED15-8FD3-4006-AFCB-4EEEBCECD981}</stp>
        <tr r="H86" s="13"/>
      </tp>
      <tp t="s">
        <v>Unable to collect data for all requested fields.</v>
        <stp/>
        <stp>{51E247EF-2DCF-4760-96CD-2836A91ED2DD}</stp>
        <tr r="H82" s="13"/>
      </tp>
      <tp t="s">
        <v>Invalid Instrument Name.</v>
        <stp/>
        <stp>{BCEBED28-4C33-4C6B-8384-72399A445EA8}</stp>
        <tr r="H69" s="13"/>
      </tp>
      <tp t="s">
        <v>Unable to collect data for all requested fields.</v>
        <stp/>
        <stp>{BB6CDF24-512E-44AE-A7C5-502335CDBF7F}</stp>
        <tr r="I36" s="13"/>
      </tp>
      <tp t="s">
        <v>Invalid Instrument Name.</v>
        <stp/>
        <stp>{3EC3ADF8-F5CC-4EE4-BE96-C6417A17DFE5}</stp>
        <tr r="I37" s="13"/>
      </tp>
      <tp t="s">
        <v>Invalid Instrument Name.</v>
        <stp/>
        <stp>{75F7CEAA-8E9D-4472-9B75-73386B55F870}</stp>
        <tr r="H27" s="13"/>
      </tp>
      <tp t="s">
        <v>Invalid Instrument Name.</v>
        <stp/>
        <stp>{FEEAB2BD-1BC4-43B4-912E-0249BDA53939}</stp>
        <tr r="H85" s="13"/>
      </tp>
      <tp t="s">
        <v>Unable to collect data for all requested fields.</v>
        <stp/>
        <stp>{DD336171-C475-4DD7-8987-F734B1631CD4}</stp>
        <tr r="I26" s="13"/>
      </tp>
      <tp t="s">
        <v>Invalid Instrument Name.</v>
        <stp/>
        <stp>{997450CD-2B65-406C-801E-2CF4FD0828C8}</stp>
        <tr r="H12" s="13"/>
      </tp>
      <tp t="s">
        <v>Unable to collect data for all requested fields.</v>
        <stp/>
        <stp>{E927B690-2732-4026-868C-7FF29587D2F7}</stp>
        <tr r="H20" s="13"/>
      </tp>
      <tp t="s">
        <v>Unable to collect data for all requested fields.</v>
        <stp/>
        <stp>{47D88C9D-EB70-4247-98E4-D0AD0740C492}</stp>
        <tr r="H62" s="13"/>
      </tp>
      <tp t="s">
        <v>Invalid Instrument Name.</v>
        <stp/>
        <stp>{3C3AF49B-A417-45EA-A8CE-0E8AF0019F41}</stp>
        <tr r="I54" s="13"/>
      </tp>
      <tp t="s">
        <v>Invalid Instrument Name.</v>
        <stp/>
        <stp>{2E302505-9D51-4815-8424-6B57E82CFB3E}</stp>
        <tr r="I62" s="13"/>
      </tp>
      <tp t="s">
        <v>Invalid Instrument Name.</v>
        <stp/>
        <stp>{8531DB74-C468-487C-830D-51D9CBEEE028}</stp>
        <tr r="H44" s="13"/>
      </tp>
      <tp t="s">
        <v>Unable to collect data for all requested fields.</v>
        <stp/>
        <stp>{317125FA-440E-419C-A845-8FFD0542B9E6}</stp>
        <tr r="I20" s="13"/>
      </tp>
      <tp t="s">
        <v>Invalid Instrument Name.</v>
        <stp/>
        <stp>{05CBA019-1D14-408B-A8F5-5545C0D7B777}</stp>
        <tr r="H9" s="13"/>
      </tp>
      <tp t="s">
        <v>Invalid Instrument Name.</v>
        <stp/>
        <stp>{80A8894B-02A6-4933-8AD3-41675C2B094F}</stp>
        <tr r="H68" s="13"/>
      </tp>
      <tp t="s">
        <v>Unable to collect data for all requested fields.</v>
        <stp/>
        <stp>{6614C75B-D71A-441E-9511-25472DDABC67}</stp>
        <tr r="I88" s="13"/>
      </tp>
      <tp t="s">
        <v>Invalid Instrument Name.</v>
        <stp/>
        <stp>{2338B732-8BE1-428F-BD56-2E39F45A526B}</stp>
        <tr r="H8" s="13"/>
      </tp>
      <tp t="s">
        <v>Invalid Instrument Name.</v>
        <stp/>
        <stp>{42564831-BCA0-4DA2-BABA-4B0742ED1855}</stp>
        <tr r="H43" s="13"/>
      </tp>
      <tp t="s">
        <v>Invalid Instrument Name.</v>
        <stp/>
        <stp>{31689205-3244-48C1-A410-CC7C4C2450E0}</stp>
        <tr r="H79" s="13"/>
      </tp>
      <tp t="s">
        <v>Unable to collect data for all requested fields.</v>
        <stp/>
        <stp>{9084E38C-B44D-423B-B2FF-C6039A340354}</stp>
        <tr r="I39" s="13"/>
      </tp>
      <tp t="s">
        <v>Invalid Instrument Name.</v>
        <stp/>
        <stp>{41991FCF-E13C-4CCA-B6DF-AE322F86BDB5}</stp>
        <tr r="I23" s="13"/>
      </tp>
      <tp t="s">
        <v>Invalid Instrument Name.</v>
        <stp/>
        <stp>{A34A5755-9C18-435A-87F3-C123E2E72CB6}</stp>
        <tr r="H77" s="13"/>
      </tp>
      <tp t="s">
        <v>Unable to collect data for all requested fields.</v>
        <stp/>
        <stp>{996BB751-851A-429B-BA3F-EA79614FB272}</stp>
        <tr r="H72" s="13"/>
      </tp>
      <tp t="s">
        <v>Unable to collect data for all requested fields.</v>
        <stp/>
        <stp>{263F1173-3FC2-477E-B414-A1149D47DB76}</stp>
        <tr r="I33" s="13"/>
      </tp>
      <tp t="s">
        <v>Invalid Instrument Name.</v>
        <stp/>
        <stp>{66424EA1-5664-48C0-BB13-1AF84A6527D5}</stp>
        <tr r="H61" s="13"/>
      </tp>
      <tp t="s">
        <v>Unable to collect data for all requested fields.</v>
        <stp/>
        <stp>{B34B7EA7-3694-4C3C-8698-31C747E0C09B}</stp>
        <tr r="I64" s="13"/>
      </tp>
      <tp t="s">
        <v>Invalid Instrument Name.</v>
        <stp/>
        <stp>{D5423D87-B1EE-4A67-9DA5-C39755098FED}</stp>
        <tr r="H10" s="13"/>
      </tp>
      <tp t="s">
        <v>Unable to collect data for all requested fields.</v>
        <stp/>
        <stp>{BB1C27F5-63BC-4ACB-A2C4-00EBB0348FB1}</stp>
        <tr r="H66" s="13"/>
      </tp>
      <tp t="s">
        <v>Invalid Instrument Name.</v>
        <stp/>
        <stp>{5FD1095D-E171-46D0-BF1F-DA138CD68B67}</stp>
        <tr r="H87" s="13"/>
      </tp>
      <tp t="s">
        <v>Unable to collect data for all requested fields.</v>
        <stp/>
        <stp>{82B05001-9FC0-468D-BB2E-F2400F4E004D}</stp>
        <tr r="H19" s="13"/>
      </tp>
      <tp t="s">
        <v>Invalid Instrument Name.</v>
        <stp/>
        <stp>{32733584-F18E-4509-8875-06DAEA9FF734}</stp>
        <tr r="I74" s="13"/>
      </tp>
      <tp t="s">
        <v>Unable to collect data for all requested fields.</v>
        <stp/>
        <stp>{041B2C37-A489-4724-A2F1-E47C6609B9EB}</stp>
        <tr r="H31" s="13"/>
      </tp>
      <tp t="s">
        <v>Invalid Instrument Name.</v>
        <stp/>
        <stp>{180D61AA-7941-4BF8-9DCE-422C289A20C7}</stp>
        <tr r="H24" s="13"/>
      </tp>
      <tp t="s">
        <v>Invalid Instrument Name.</v>
        <stp/>
        <stp>{1E2854A2-E700-4D9D-9D82-BC008A3FB00E}</stp>
        <tr r="I44" s="13"/>
      </tp>
      <tp t="s">
        <v>Invalid Instrument Name.</v>
        <stp/>
        <stp>{8CC7CCC4-32A4-4F7D-AA81-5EFA72C672CE}</stp>
        <tr r="I26" s="13"/>
      </tp>
      <tp t="s">
        <v>Unable to collect data for all requested fields.</v>
        <stp/>
        <stp>{A8DAB608-9226-4742-B635-EAB68EC6F903}</stp>
        <tr r="I72" s="13"/>
      </tp>
      <tp t="s">
        <v>Unable to collect data for all requested fields.</v>
        <stp/>
        <stp>{E5A5C302-CBC1-428E-A5A1-24A9121E510F}</stp>
        <tr r="H78" s="13"/>
      </tp>
      <tp t="s">
        <v/>
        <stp/>
        <stp>{F20341C3-4C62-452F-9BE3-0F134BDD474B}</stp>
        <tr r="I52" s="13"/>
      </tp>
      <tp t="s">
        <v>Invalid Instrument Name.</v>
        <stp/>
        <stp>{C70DD62F-C0C7-4902-B7CB-B506C3C743A1}</stp>
        <tr r="H59" s="13"/>
      </tp>
      <tp t="s">
        <v>Invalid Instrument Name.</v>
        <stp/>
        <stp>{AE495D46-2F64-4D7A-8BA3-3CC51C141DED}</stp>
        <tr r="I71" s="13"/>
      </tp>
      <tp t="s">
        <v>Invalid Instrument Name.</v>
        <stp/>
        <stp>{5BE71E9C-B88C-4AC5-9A3E-AD6442EC0E0B}</stp>
        <tr r="I38" s="13"/>
      </tp>
      <tp t="s">
        <v>Invalid Instrument Name.</v>
        <stp/>
        <stp>{70C0F67B-81F3-4D45-AE94-7F7333544D14}</stp>
        <tr r="I92" s="13"/>
      </tp>
      <tp t="s">
        <v>Unable to collect data for all requested fields.</v>
        <stp/>
        <stp>{B8790AA0-2DEF-4702-BD4A-D1115417B11B}</stp>
        <tr r="H32" s="13"/>
      </tp>
      <tp t="s">
        <v>Unable to collect data for all requested fields.</v>
        <stp/>
        <stp>{D9C7E819-2C56-47E0-894D-442B4C163B48}</stp>
        <tr r="H13" s="13"/>
      </tp>
      <tp t="s">
        <v>Invalid Instrument Name.</v>
        <stp/>
        <stp>{DCA1E363-5516-4FBA-B8A7-097039F059FA}</stp>
        <tr r="H36" s="13"/>
      </tp>
      <tp t="s">
        <v>Unable to collect data for all requested fields.</v>
        <stp/>
        <stp>{837412C1-0057-4E49-8EBC-78CF8BE996CE}</stp>
        <tr r="H8" s="13"/>
      </tp>
      <tp t="s">
        <v>Invalid Instrument Name.</v>
        <stp/>
        <stp>{327CBD21-1CA1-4BE2-9F8B-86147148B5C4}</stp>
        <tr r="I85" s="13"/>
      </tp>
      <tp t="s">
        <v>Invalid Instrument Name.</v>
        <stp/>
        <stp>{81B21EF4-9C20-4DC2-8C64-4C1A27C1F5B4}</stp>
        <tr r="H55" s="13"/>
      </tp>
      <tp t="s">
        <v>Unable to collect data for all requested fields.</v>
        <stp/>
        <stp>{C14F0672-142A-4170-9ADC-3EAD97D1BC24}</stp>
        <tr r="H39" s="13"/>
      </tp>
      <tp t="s">
        <v>Invalid Instrument Name.</v>
        <stp/>
        <stp>{7DE23A46-44D9-464C-8920-3F58E23F6E04}</stp>
        <tr r="H11" s="13"/>
      </tp>
      <tp t="s">
        <v>Unable to collect data for all requested fields.</v>
        <stp/>
        <stp>{E34381BF-7AAB-48E8-8871-DDE7497FD47C}</stp>
        <tr r="H33" s="13"/>
      </tp>
      <tp t="s">
        <v>Invalid Instrument Name.</v>
        <stp/>
        <stp>{155C9EAA-1C1B-4587-BD3C-E964E97A4F63}</stp>
        <tr r="I24" s="13"/>
      </tp>
      <tp t="s">
        <v>Invalid Instrument Name.</v>
        <stp/>
        <stp>{A2AFDEA0-6FC8-41BD-9AA1-0ACDF411F3F5}</stp>
        <tr r="I8" s="13"/>
      </tp>
      <tp t="s">
        <v>Unable to collect data for all requested fields.</v>
        <stp/>
        <stp>{71D3C0BF-A502-4465-85B0-A04EA3D7F10A}</stp>
        <tr r="I83" s="13"/>
      </tp>
      <tp t="s">
        <v>Unable to collect data for all requested fields.</v>
        <stp/>
        <stp>{FC8A4460-1D44-42A2-A8E8-A72030015D3B}</stp>
        <tr r="H80" s="13"/>
      </tp>
      <tp t="s">
        <v>Unable to collect data for all requested fields.</v>
        <stp/>
        <stp>{07A7B5DE-BB35-4343-AE8E-B5D2340BA055}</stp>
        <tr r="H73" s="13"/>
      </tp>
      <tp t="s">
        <v>Invalid Instrument Name.</v>
        <stp/>
        <stp>{2D55732B-6446-4514-979B-6DA71ED84076}</stp>
        <tr r="I7" s="13"/>
      </tp>
      <tp t="s">
        <v>Unable to collect data for all requested fields.</v>
        <stp/>
        <stp>{77AD4511-FE05-4A59-966F-027389CAFDD8}</stp>
        <tr r="I73" s="13"/>
      </tp>
      <tp t="s">
        <v>Invalid Instrument Name.</v>
        <stp/>
        <stp>{D1FC5BBF-D70B-42D5-939E-7FFB8D5DF5E5}</stp>
        <tr r="I36" s="13"/>
      </tp>
      <tp t="s">
        <v>Unable to collect data for all requested fields.</v>
        <stp/>
        <stp>{8E3F6CF7-3EE4-4A10-8C12-2057E3DB4730}</stp>
        <tr r="I10" s="13"/>
      </tp>
      <tp t="s">
        <v>Invalid Instrument Name.</v>
        <stp/>
        <stp>{DBFA53CC-C76C-464E-95BF-D9AFD0AC6747}</stp>
        <tr r="I30" s="13"/>
      </tp>
      <tp t="s">
        <v>Unable to collect data for all requested fields.</v>
        <stp/>
        <stp>{4C492E81-1AAF-41AE-B338-984C25905C8C}</stp>
        <tr r="I60" s="13"/>
      </tp>
      <tp t="s">
        <v>Invalid Instrument Name.</v>
        <stp/>
        <stp>{70BA0455-B9C0-4943-8D09-D83255486708}</stp>
        <tr r="I33" s="13"/>
      </tp>
      <tp t="s">
        <v>Unable to collect data for all requested fields.</v>
        <stp/>
        <stp>{3321B476-3A3A-48ED-B037-D2781ABC18F2}</stp>
        <tr r="I14" s="13"/>
      </tp>
      <tp t="s">
        <v>Unable to collect data for all requested fields.</v>
        <stp/>
        <stp>{CE4A3A97-C48B-4FCB-9535-AFE1440EFC9E}</stp>
        <tr r="H85" s="13"/>
      </tp>
      <tp t="s">
        <v>Unable to collect data for all requested fields.</v>
        <stp/>
        <stp>{7ADC59DC-6029-430A-83BD-08590AB3AEC2}</stp>
        <tr r="H74" s="13"/>
      </tp>
      <tp t="s">
        <v>Unable to collect data for all requested fields.</v>
        <stp/>
        <stp>{C9596C51-161C-4B62-A311-C2BC85585C0B}</stp>
        <tr r="H70" s="13"/>
      </tp>
      <tp t="s">
        <v>Invalid Instrument Name.</v>
        <stp/>
        <stp>{F0AAA4CC-AE9D-491D-BA15-38A59AB04118}</stp>
        <tr r="I18" s="13"/>
      </tp>
      <tp t="s">
        <v>Unable to collect data for all requested fields.</v>
        <stp/>
        <stp>{FDAE21C1-9CE1-4A0D-9D85-5B7355771442}</stp>
        <tr r="I43" s="13"/>
      </tp>
      <tp t="s">
        <v>Invalid Instrument Name.</v>
        <stp/>
        <stp>{B7FF92B1-8726-4921-AACB-F9CE6C38FEA8}</stp>
        <tr r="H91" s="13"/>
      </tp>
      <tp t="s">
        <v>Invalid Instrument Name.</v>
        <stp/>
        <stp>{94E971D4-7860-4000-96E8-A314452FE8B9}</stp>
        <tr r="I11" s="13"/>
      </tp>
      <tp t="s">
        <v>Unable to collect data for all requested fields.</v>
        <stp/>
        <stp>{523FB7AA-0881-420E-9838-931E2D465B71}</stp>
        <tr r="H81" s="13"/>
      </tp>
      <tp t="s">
        <v>Unable to collect data for all requested fields.</v>
        <stp/>
        <stp>{C830E5F0-8704-4BBA-8311-0D9F7428B88C}</stp>
        <tr r="H41" s="13"/>
      </tp>
      <tp t="s">
        <v>Invalid Instrument Name.</v>
        <stp/>
        <stp>{4339A854-AADF-415D-A7CB-415E8F3868C4}</stp>
        <tr r="I21" s="13"/>
      </tp>
      <tp t="s">
        <v>Unable to collect data for all requested fields.</v>
        <stp/>
        <stp>{B7C50DF8-EC3C-4E2D-8E18-53D1C88067B3}</stp>
        <tr r="H7" s="13"/>
      </tp>
      <tp t="s">
        <v>Invalid Instrument Name.</v>
        <stp/>
        <stp>{2FB13020-B36B-4F69-B713-94BFBE760FE1}</stp>
        <tr r="I67" s="13"/>
      </tp>
      <tp t="s">
        <v/>
        <stp/>
        <stp>{F76BDF63-508B-40D8-AC3C-1BF579E40914}</stp>
        <tr r="H52" s="13"/>
      </tp>
      <tp t="s">
        <v>Unable to collect data for all requested fields.</v>
        <stp/>
        <stp>{2AF8DE57-3BF0-4526-868F-11C1653982FB}</stp>
        <tr r="H44" s="13"/>
      </tp>
      <tp t="s">
        <v>Invalid Instrument Name.</v>
        <stp/>
        <stp>{37273A8C-3FFA-440A-8D80-B59AF3A50CEB}</stp>
        <tr r="I22" s="13"/>
      </tp>
      <tp t="s">
        <v>Invalid Instrument Name.</v>
        <stp/>
        <stp>{72775331-7033-425A-85D6-3BC48864B967}</stp>
        <tr r="H57" s="13"/>
      </tp>
      <tp t="s">
        <v>Invalid Instrument Name.</v>
        <stp/>
        <stp>{E25DDAD8-76CC-411B-B667-9A67EBD466CD}</stp>
        <tr r="I75" s="13"/>
      </tp>
      <tp t="s">
        <v>Unable to collect data for all requested fields.</v>
        <stp/>
        <stp>{CB6B0EB0-681D-441F-B7D2-AB52C6376895}</stp>
        <tr r="I65" s="13"/>
      </tp>
      <tp t="s">
        <v>Unable to collect data for all requested fields.</v>
        <stp/>
        <stp>{EB9AC78B-BA31-41DB-85EE-B2E3AB459758}</stp>
        <tr r="H88" s="13"/>
      </tp>
      <tp t="s">
        <v>Invalid Instrument Name.</v>
        <stp/>
        <stp>{EC6D852E-2E97-4251-9F87-2793A79F7B7F}</stp>
        <tr r="I28" s="13"/>
      </tp>
      <tp t="s">
        <v>Invalid Instrument Name.</v>
        <stp/>
        <stp>{5502B25E-1037-40F7-82C7-AE7516FB252F}</stp>
        <tr r="H74" s="13"/>
      </tp>
      <tp t="s">
        <v>Invalid Instrument Name.</v>
        <stp/>
        <stp>{AFA2451F-E380-4EC0-BF7E-8CB5CE477D12}</stp>
        <tr r="I19" s="13"/>
      </tp>
      <tp t="s">
        <v>Unable to collect data for all requested fields.</v>
        <stp/>
        <stp>{286A1F49-B5BB-4229-9155-AA4EE746D7C4}</stp>
        <tr r="I80" s="13"/>
      </tp>
      <tp t="s">
        <v>Invalid Instrument Name.</v>
        <stp/>
        <stp>{992F493C-C1B5-424A-B3E5-8149A9B8CF2A}</stp>
        <tr r="H28" s="13"/>
      </tp>
      <tp t="s">
        <v>Unable to collect data for all requested fields.</v>
        <stp/>
        <stp>{6A27A4E2-546C-4FDD-AD22-3A41291C2651}</stp>
        <tr r="I28" s="13"/>
      </tp>
      <tp t="s">
        <v>Unable to collect data for all requested fields.</v>
        <stp/>
        <stp>{D4A984E0-2D64-4AEA-81E4-ADD279C2A726}</stp>
        <tr r="H55" s="13"/>
      </tp>
      <tp t="s">
        <v>Invalid Instrument Name.</v>
        <stp/>
        <stp>{8D8C068D-F8DB-4C61-87AA-9342C89B5959}</stp>
        <tr r="I59" s="13"/>
      </tp>
      <tp t="s">
        <v>Unable to collect data for all requested fields.</v>
        <stp/>
        <stp>{80E6903A-9B9C-45F0-A4E3-3DF871B6F1BE}</stp>
        <tr r="H21" s="13"/>
      </tp>
      <tp t="s">
        <v>Invalid Instrument Name.</v>
        <stp/>
        <stp>{C53188FB-491D-4EF9-AC18-A42495D390C0}</stp>
        <tr r="I57" s="13"/>
      </tp>
      <tp t="s">
        <v>Unable to collect data for all requested fields.</v>
        <stp/>
        <stp>{1AA590EE-3E44-4082-ACE2-EEA4A05BF4F1}</stp>
        <tr r="H30" s="13"/>
      </tp>
      <tp t="s">
        <v>Invalid Instrument Name.</v>
        <stp/>
        <stp>{02E64BBB-7F34-4D3F-B446-3FAC831CD7F3}</stp>
        <tr r="I35" s="13"/>
      </tp>
      <tp t="s">
        <v>Unable to collect data for all requested fields.</v>
        <stp/>
        <stp>{2331C2EB-D13F-4BFB-8923-439DDD5F2763}</stp>
        <tr r="I24" s="13"/>
      </tp>
      <tp t="s">
        <v>Unable to collect data for all requested fields.</v>
        <stp/>
        <stp>{1F9AFFC7-EA21-4745-982D-C8AA51B1FE2C}</stp>
        <tr r="H61" s="13"/>
      </tp>
      <tp t="s">
        <v>Unable to collect data for all requested fields.</v>
        <stp/>
        <stp>{FFCA5D6B-DEB5-4BE0-A84E-6758396BC18B}</stp>
        <tr r="H43" s="13"/>
      </tp>
      <tp t="s">
        <v>Invalid Instrument Name.</v>
        <stp/>
        <stp>{13D9242F-87CB-4CD8-9E39-7B0414D1CAB7}</stp>
        <tr r="I68" s="13"/>
      </tp>
      <tp t="s">
        <v>Unable to collect data for all requested fields.</v>
        <stp/>
        <stp>{B3DDA1CF-4C62-48C2-96A0-5812112D3496}</stp>
        <tr r="I54" s="13"/>
      </tp>
      <tp t="s">
        <v/>
        <stp/>
        <stp>{538D807D-FA79-419C-A534-C1AD9D0029ED}</stp>
        <tr r="I5" s="13"/>
      </tp>
      <tp t="s">
        <v>Invalid Instrument Name.</v>
        <stp/>
        <stp>{173F78D1-365D-4334-81AF-59977C46F2ED}</stp>
        <tr r="I87" s="13"/>
      </tp>
      <tp t="s">
        <v>Unable to collect data for all requested fields.</v>
        <stp/>
        <stp>{9328AA9A-C614-48B9-BF48-4C41A4F37D80}</stp>
        <tr r="H54" s="13"/>
      </tp>
      <tp t="s">
        <v>Unable to collect data for all requested fields.</v>
        <stp/>
        <stp>{B54ECF8B-1B50-4806-9B23-8D2A3EEF09E4}</stp>
        <tr r="I78" s="13"/>
      </tp>
      <tp t="s">
        <v>Invalid Instrument Name.</v>
        <stp/>
        <stp>{8DA01B03-FBAE-4C93-9C69-7C11297F29C5}</stp>
        <tr r="I69" s="13"/>
      </tp>
      <tp t="s">
        <v>Invalid Instrument Name.</v>
        <stp/>
        <stp>{3F0185EB-7AE6-4285-AB33-7CB6BB39ED91}</stp>
        <tr r="H40" s="13"/>
      </tp>
      <tp t="s">
        <v>Invalid Instrument Name.</v>
        <stp/>
        <stp>{670C5C46-F3FD-4EC1-869F-8988367F251D}</stp>
        <tr r="I84" s="13"/>
      </tp>
      <tp t="s">
        <v>Invalid Instrument Name.</v>
        <stp/>
        <stp>{BE013387-318F-4B49-B89D-DFF831FCCD25}</stp>
        <tr r="I82" s="13"/>
      </tp>
      <tp t="s">
        <v>Unable to collect data for all requested fields.</v>
        <stp/>
        <stp>{1A986385-5D78-49DA-9429-9612B44A925A}</stp>
        <tr r="H86" s="13"/>
      </tp>
      <tp t="s">
        <v>Unable to collect data for all requested fields.</v>
        <stp/>
        <stp>{79633ECC-523D-4788-9274-B18EF5D11AC2}</stp>
        <tr r="H68" s="13"/>
      </tp>
      <tp t="s">
        <v>Unable to collect data for all requested fields.</v>
        <stp/>
        <stp>{FB9DCA51-1B57-4187-A47C-BC25E1C3C702}</stp>
        <tr r="H12" s="13"/>
      </tp>
      <tp t="s">
        <v>Unable to collect data for all requested fields.</v>
        <stp/>
        <stp>{FD4C1221-8053-4E0D-9F60-01B6601CAE96}</stp>
        <tr r="H83" s="13"/>
      </tp>
      <tp t="s">
        <v>Unable to collect data for all requested fields.</v>
        <stp/>
        <stp>{B453E093-3088-4806-BCAE-110FCADDB8A8}</stp>
        <tr r="I67" s="13"/>
      </tp>
      <tp t="s">
        <v>Unable to collect data for all requested fields.</v>
        <stp/>
        <stp>{768A14F1-4069-4B7C-B652-D8B405E1B273}</stp>
        <tr r="I25" s="13"/>
      </tp>
      <tp t="s">
        <v>Unable to collect data for all requested fields.</v>
        <stp/>
        <stp>{B41D07C4-6DD7-45E9-B138-D2F3082C226B}</stp>
        <tr r="I91" s="13"/>
      </tp>
      <tp t="s">
        <v>Unable to collect data for all requested fields.</v>
        <stp/>
        <stp>{FE6958D5-C8C4-4162-8C07-34481B778E3A}</stp>
        <tr r="H26" s="13"/>
      </tp>
      <tp t="s">
        <v>Invalid Instrument Name.</v>
        <stp/>
        <stp>{B993E536-02E2-48EA-83FF-823F77045908}</stp>
        <tr r="H41" s="13"/>
      </tp>
      <tp t="s">
        <v>Unable to collect data for all requested fields.</v>
        <stp/>
        <stp>{E342FCD3-D44D-432C-AC40-278FE0EFB2DC}</stp>
        <tr r="I38" s="13"/>
      </tp>
      <tp t="s">
        <v>Invalid Instrument Name.</v>
        <stp/>
        <stp>{D2EEAC91-13C1-435B-B20D-EDF7261C1512}</stp>
        <tr r="H62" s="13"/>
      </tp>
      <tp t="s">
        <v>Invalid Instrument Name.</v>
        <stp/>
        <stp>{9386B249-E36F-4F0B-8A35-C9C27242DE0F}</stp>
        <tr r="H16" s="13"/>
      </tp>
      <tp t="s">
        <v>Invalid Instrument Name.</v>
        <stp/>
        <stp>{2A389920-F968-4903-83CF-303A1AE97EE8}</stp>
        <tr r="I61" s="13"/>
      </tp>
      <tp t="s">
        <v>Unable to collect data for all requested fields.</v>
        <stp/>
        <stp>{1E8A9F9B-C96E-4278-8D86-1FAFBEC1CEA7}</stp>
        <tr r="H84" s="13"/>
      </tp>
      <tp t="s">
        <v>Unable to collect data for all requested fields.</v>
        <stp/>
        <stp>{B9821ACC-5B8E-4F4C-978E-406615074D7B}</stp>
        <tr r="H75" s="13"/>
      </tp>
      <tp t="s">
        <v>Invalid Instrument Name.</v>
        <stp/>
        <stp>{A38D26E6-2545-4094-8D25-F6E9126293C0}</stp>
        <tr r="I43" s="13"/>
      </tp>
      <tp t="s">
        <v>Invalid Instrument Name.</v>
        <stp/>
        <stp>{E6EFF0E2-CF9F-4267-8F58-47316BD051D1}</stp>
        <tr r="I91" s="13"/>
      </tp>
      <tp t="s">
        <v>Unable to collect data for all requested fields.</v>
        <stp/>
        <stp>{9449D930-1909-4E64-974D-F37BEFD970C7}</stp>
        <tr r="I71" s="13"/>
      </tp>
      <tp t="s">
        <v>Invalid Instrument Name.</v>
        <stp/>
        <stp>{0034C347-D4D9-4299-8531-D70FE0A0E991}</stp>
        <tr r="I65" s="13"/>
      </tp>
      <tp t="s">
        <v>Unable to collect data for all requested fields.</v>
        <stp/>
        <stp>{03A5D1FA-E02F-4BF2-B728-EC6FBA08CAC3}</stp>
        <tr r="H56" s="13"/>
      </tp>
      <tp t="s">
        <v>Invalid Instrument Name.</v>
        <stp/>
        <stp>{EEE76012-6209-458A-AD7D-C1C29C3B3881}</stp>
        <tr r="H65" s="13"/>
      </tp>
      <tp t="s">
        <v>Unable to collect data for all requested fields.</v>
        <stp/>
        <stp>{F25A584C-324A-418D-916E-00882A223A65}</stp>
        <tr r="H67" s="13"/>
      </tp>
      <tp t="s">
        <v>Unable to collect data for all requested fields.</v>
        <stp/>
        <stp>{611C002E-26B3-49E5-8505-6BCC67038E94}</stp>
        <tr r="I74" s="13"/>
      </tp>
      <tp t="s">
        <v>Unable to collect data for all requested fields.</v>
        <stp/>
        <stp>{06655CAD-1509-41A0-8331-EB9B78B443BA}</stp>
        <tr r="I6" s="13"/>
      </tp>
      <tp t="s">
        <v>Invalid Instrument Name.</v>
        <stp/>
        <stp>{66A60E39-ED4F-4F15-AC25-ABCE358B042C}</stp>
        <tr r="H90" s="13"/>
      </tp>
      <tp t="s">
        <v>Invalid Instrument Name.</v>
        <stp/>
        <stp>{BE888DCE-7742-4839-99F5-43FDA8DC2915}</stp>
        <tr r="H67" s="13"/>
      </tp>
      <tp t="s">
        <v>Invalid Instrument Name.</v>
        <stp/>
        <stp>{9E9B2FD2-DABB-4D5E-939B-3742CF7C447E}</stp>
        <tr r="I29" s="13"/>
      </tp>
      <tp t="s">
        <v>Unable to collect data for all requested fields.</v>
        <stp/>
        <stp>{10A4B9BA-5925-4A21-B0A8-478E303A7AC5}</stp>
        <tr r="I82" s="13"/>
      </tp>
      <tp t="s">
        <v>Invalid Instrument Name.</v>
        <stp/>
        <stp>{AFB71242-E342-4287-A6F5-4D40DB69A99E}</stp>
        <tr r="I56" s="13"/>
      </tp>
      <tp t="s">
        <v>Invalid Instrument Name.</v>
        <stp/>
        <stp>{6D6632DE-D959-49B5-9CD4-A9E021E8D94A}</stp>
        <tr r="H39" s="13"/>
      </tp>
      <tp t="s">
        <v>Invalid Instrument Name.</v>
        <stp/>
        <stp>{D2D374ED-5812-427A-8081-E71C8A34F8A1}</stp>
        <tr r="H19" s="13"/>
      </tp>
      <tp t="s">
        <v>Invalid Instrument Name.</v>
        <stp/>
        <stp>{6A36791A-26EA-4B37-BDEF-979E74EDF3E7}</stp>
        <tr r="H22" s="13"/>
      </tp>
      <tp t="s">
        <v>Unable to collect data for all requested fields.</v>
        <stp/>
        <stp>{F55017AE-F0F7-4C06-8EF3-C614F25D4C88}</stp>
        <tr r="H64" s="13"/>
      </tp>
      <tp t="s">
        <v>Invalid Instrument Name.</v>
        <stp/>
        <stp>{E8DEB02C-A8E1-4D89-A67D-F2CF86659344}</stp>
        <tr r="H88" s="13"/>
      </tp>
      <tp t="s">
        <v>Invalid Instrument Name.</v>
        <stp/>
        <stp>{7F95093B-72EB-4717-B3A1-422D3BBFEF2F}</stp>
        <tr r="H60" s="13"/>
      </tp>
      <tp t="s">
        <v>Invalid Instrument Name.</v>
        <stp/>
        <stp>{2A6BF571-ABD0-473E-A941-4DD6E1831BE3}</stp>
        <tr r="H38" s="13"/>
      </tp>
      <tp t="s">
        <v>Unable to collect data for all requested fields.</v>
        <stp/>
        <stp>{D610149D-B755-4DD7-A7E6-63EF013EF546}</stp>
        <tr r="I23" s="13"/>
      </tp>
      <tp t="s">
        <v>Unable to collect data for all requested fields.</v>
        <stp/>
        <stp>{6C008969-1BAE-42C6-B41B-6CA8D768F096}</stp>
        <tr r="I13" s="13"/>
      </tp>
      <tp t="s">
        <v>Invalid Instrument Name.</v>
        <stp/>
        <stp>{9734B578-BE16-403F-B12E-A39305D6EA1A}</stp>
        <tr r="H42" s="13"/>
      </tp>
      <tp t="s">
        <v>Unable to collect data for all requested fields.</v>
        <stp/>
        <stp>{56F8A877-4F36-4E27-B762-8B85891251D8}</stp>
        <tr r="I32" s="13"/>
      </tp>
      <tp t="s">
        <v>Invalid Instrument Name.</v>
        <stp/>
        <stp>{DDA0EBD8-FD1A-47AC-8418-8ECD874214F5}</stp>
        <tr r="I81" s="13"/>
      </tp>
      <tp t="s">
        <v>Invalid Instrument Name.</v>
        <stp/>
        <stp>{99ADF15D-F43C-4798-BEB9-5775642F114C}</stp>
        <tr r="I72" s="13"/>
      </tp>
      <tp t="s">
        <v>Unable to collect data for all requested fields.</v>
        <stp/>
        <stp>{D35093D5-A949-4508-A789-499F298FF385}</stp>
        <tr r="I29" s="13"/>
      </tp>
      <tp t="s">
        <v>Unable to collect data for all requested fields.</v>
        <stp/>
        <stp>{44024C3F-830E-4052-A306-8507808A73F3}</stp>
        <tr r="H9" s="13"/>
      </tp>
      <tp t="s">
        <v>Unable to collect data for all requested fields.</v>
        <stp/>
        <stp>{5C747EC3-DFEE-4048-A2C7-DAB32860C59B}</stp>
        <tr r="I31" s="13"/>
      </tp>
      <tp t="s">
        <v>Invalid Instrument Name.</v>
        <stp/>
        <stp>{9D510C1E-E32B-494C-90E7-D6906DE3D847}</stp>
        <tr r="I31" s="13"/>
      </tp>
      <tp t="s">
        <v>Invalid Instrument Name.</v>
        <stp/>
        <stp>{B48F149B-6BC5-4540-9447-77A9748768E6}</stp>
        <tr r="I27" s="13"/>
      </tp>
      <tp t="s">
        <v>Invalid Instrument Name.</v>
        <stp/>
        <stp>{02488E7C-F6B5-4534-8845-9790AE3225C8}</stp>
        <tr r="H25" s="13"/>
      </tp>
      <tp t="s">
        <v>The record could not be found</v>
        <stp/>
        <stp>{54656E81-D29B-4071-BEFD-B5B453FA5755}</stp>
        <tr r="H45" s="13"/>
      </tp>
      <tp t="s">
        <v>Unable to collect data for all requested fields.</v>
        <stp/>
        <stp>{A6D26B9A-4F3B-42B3-8272-E6C28954AC6C}</stp>
        <tr r="H25" s="13"/>
      </tp>
      <tp t="s">
        <v>Unable to collect data for all requested fields.</v>
        <stp/>
        <stp>{085F168F-CB4C-4AE0-B642-C932C8CF24DF}</stp>
        <tr r="I21" s="13"/>
      </tp>
      <tp t="s">
        <v>Unable to collect data for all requested fields.</v>
        <stp/>
        <stp>{7A091F35-7F05-4893-99A9-19427808A317}</stp>
        <tr r="I35" s="13"/>
      </tp>
      <tp t="s">
        <v>Invalid Instrument Name.</v>
        <stp/>
        <stp>{A228AB89-87CF-4AF1-B9DC-48CBFE0232D2}</stp>
        <tr r="I10" s="13"/>
      </tp>
      <tp t="s">
        <v>Invalid Instrument Name.</v>
        <stp/>
        <stp>{76330175-723E-4A4A-B9DD-865CF979B090}</stp>
        <tr r="I90" s="13"/>
      </tp>
      <tp t="s">
        <v>Unable to collect data for all requested fields.</v>
        <stp/>
        <stp>{F3CB3EE4-84CD-4E77-A755-45918C3F80D9}</stp>
        <tr r="I27" s="13"/>
      </tp>
      <tp t="s">
        <v>Unable to collect data for all requested fields.</v>
        <stp/>
        <stp>{838B2550-0AB1-46EC-B8EE-62C84B1A1A2F}</stp>
        <tr r="I57" s="13"/>
      </tp>
      <tp t="s">
        <v>Invalid Instrument Name.</v>
        <stp/>
        <stp>{299A4656-D048-4E18-8324-74D48BAEF8D9}</stp>
        <tr r="H76" s="13"/>
      </tp>
    </main>
    <main first="pldatasource.rtgetrtdserver">
      <tp>
        <v>99.998000000000005</v>
        <stp/>
        <stp xml:space="preserve">	DE111986=_x000F_SECOND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7" s="23"/>
      </tp>
      <tp>
        <v>103.72</v>
        <stp/>
        <stp xml:space="preserve">	DE113526=_x000F_SECOND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0" s="23"/>
      </tp>
      <tp>
        <v>102.75</v>
        <stp/>
        <stp xml:space="preserve">	DE114156=_x000F_SECOND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1" s="23"/>
      </tp>
      <tp>
        <v>99.932000000000002</v>
        <stp/>
        <stp xml:space="preserve">	DE111987=_x000F_SECOND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2" s="23"/>
      </tp>
      <tp>
        <v>100.015</v>
        <stp/>
        <stp xml:space="preserve">	DE111977=_x000F_SECOND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0" s="23"/>
      </tp>
      <tp>
        <v>100.054</v>
        <stp/>
        <stp xml:space="preserve">	DE113737=_x000F_SECOND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2" s="23"/>
      </tp>
      <tp>
        <v>102.71</v>
        <stp/>
        <stp xml:space="preserve">	DE114157=_x000F_SECOND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3" s="23"/>
      </tp>
      <tp>
        <v>99.957999999999998</v>
        <stp/>
        <stp xml:space="preserve">	DE111994=_x000F_SECOND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7" s="23"/>
      </tp>
      <tp>
        <v>99.58</v>
        <stp/>
        <stp xml:space="preserve">	DE113744=_x000F_SECOND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8" s="23"/>
      </tp>
      <tp>
        <v>100.155</v>
        <stp/>
        <stp xml:space="preserve">	DE113524=_x000F_SECOND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6" s="23"/>
      </tp>
      <tp>
        <v>100.639</v>
        <stp/>
        <stp xml:space="preserve">	DE114154=_x000F_SECOND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4" s="23"/>
      </tp>
      <tp>
        <v>99.947999999999993</v>
        <stp/>
        <stp xml:space="preserve">	DE111985=_x000F_SECOND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0" s="23"/>
      </tp>
      <tp>
        <v>99.872</v>
        <stp/>
        <stp xml:space="preserve">	DE111995=_x000F_SECOND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8" s="23"/>
      </tp>
      <tp>
        <v>100.003</v>
        <stp/>
        <stp xml:space="preserve">	DE111975=_x000F_SECOND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8" s="23"/>
      </tp>
      <tp>
        <v>102.17</v>
        <stp/>
        <stp xml:space="preserve">	DE113525=_x000F_SECOND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1" s="23"/>
      </tp>
      <tp>
        <v>101.91200000000001</v>
        <stp/>
        <stp xml:space="preserve">	DE114155=_x000F_SECOND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6" s="23"/>
      </tp>
      <tp>
        <v>99.971999999999994</v>
        <stp/>
        <stp xml:space="preserve">	DE111992=_x000F_SECOND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5" s="23"/>
      </tp>
      <tp>
        <v>99.747</v>
        <stp/>
        <stp xml:space="preserve">	DE113742=_x000F_SECOND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4" s="23"/>
      </tp>
      <tp>
        <v>99.962000000000003</v>
        <stp/>
        <stp xml:space="preserve">	DE111983=_x000F_SECOND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8" s="23"/>
      </tp>
      <tp>
        <v>99.891000000000005</v>
        <stp/>
        <stp xml:space="preserve">	DE111993=_x000F_SECOND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7" s="23"/>
      </tp>
      <tp>
        <v>100.09</v>
        <stp/>
        <stp xml:space="preserve">	DE113743=_x000F_SECOND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6" s="23"/>
      </tp>
      <tp>
        <v>99.983999999999995</v>
        <stp/>
        <stp xml:space="preserve">	DE111990=_x000F_SECOND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1" s="23"/>
      </tp>
      <tp>
        <v>99.86</v>
        <stp/>
        <stp xml:space="preserve">	DE113740=_x000F_SECOND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9" s="23"/>
      </tp>
      <tp>
        <v>99.965999999999994</v>
        <stp/>
        <stp xml:space="preserve">	DE111981=_x000F_SECOND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6" s="23"/>
      </tp>
      <tp>
        <v>99.906000000000006</v>
        <stp/>
        <stp xml:space="preserve">	DE111991=_x000F_SECOND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5" s="23"/>
      </tp>
      <tp>
        <v>100</v>
        <stp/>
        <stp xml:space="preserve">	DE111988=_x000F_SECOND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9" s="23"/>
      </tp>
      <tp>
        <v>99.948999999999998</v>
        <stp/>
        <stp xml:space="preserve">	DE113738=_x000F_SECOND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9" s="23"/>
      </tp>
      <tp>
        <v>104.68</v>
        <stp/>
        <stp xml:space="preserve">	DE113528=_x000F_SECOND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5" s="23"/>
      </tp>
      <tp>
        <v>102.81</v>
        <stp/>
        <stp xml:space="preserve">	DE114158=_x000F_SECOND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7" s="23"/>
      </tp>
      <tp>
        <v>99.918000000000006</v>
        <stp/>
        <stp xml:space="preserve">	DE111989=_x000F_SECOND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3" s="23"/>
      </tp>
      <tp>
        <v>99.98</v>
        <stp/>
        <stp xml:space="preserve">	DE111979=_x000F_SECOND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3" s="23"/>
      </tp>
      <tp>
        <v>99.918999999999997</v>
        <stp/>
        <stp xml:space="preserve">	DE113739=_x000F_SECOND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4" s="23"/>
      </tp>
      <tp>
        <v>106.679</v>
        <stp/>
        <stp xml:space="preserve">	DE113529=_x000F_SECOND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9" s="23"/>
      </tp>
      <tp>
        <v>103.18</v>
        <stp/>
        <stp>_x000D_FR0010112052=_x000F_SECOND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4" s="21"/>
      </tp>
      <tp>
        <v>104.98</v>
        <stp/>
        <stp>_x000D_FR0010216481=_x000F_SECOND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40" s="21"/>
        <tr r="R41" s="21"/>
      </tp>
      <tp t="s">
        <v>#N/A No instrument defined.</v>
        <stp/>
        <stp>ÿ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2" s="23"/>
      </tp>
      <tp>
        <v>104.36499999999999</v>
        <stp/>
        <stp>_x000D_FR0010163543=_x000F_SECOND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8" s="21"/>
      </tp>
      <tp>
        <v>99.876999999999995</v>
        <stp/>
        <stp>_x000D_FR0011452721=_x000F_SECOND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42" s="21"/>
      </tp>
      <tp>
        <v>101.29</v>
        <stp/>
        <stp>_x000D_FR0010061242=_x000F_SECOND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3" s="21"/>
      </tp>
      <tp>
        <v>1.34</v>
        <stp/>
        <stp>_x000D_EUREON8Y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38" s="12"/>
      </tp>
      <tp>
        <v>1.51</v>
        <stp/>
        <stp>_x000D_EUREON9Y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39" s="12"/>
      </tp>
      <tp>
        <v>0.11600000000000001</v>
        <stp/>
        <stp>_x000D_EUREON1Y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8" s="12"/>
      </tp>
      <tp>
        <v>0.152</v>
        <stp/>
        <stp>_x000D_EUREON2Y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12"/>
      </tp>
      <tp>
        <v>0.29199999999999998</v>
        <stp/>
        <stp>_x000D_EUREON3Y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33" s="12"/>
      </tp>
      <tp>
        <v>0.498</v>
        <stp/>
        <stp>_x000D_EUREON4Y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34" s="12"/>
      </tp>
      <tp>
        <v>0.72799999999999998</v>
        <stp/>
        <stp>_x000D_EUREON5Y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35" s="12"/>
      </tp>
      <tp>
        <v>0.94899999999999995</v>
        <stp/>
        <stp>_x000D_EUREON6Y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36" s="12"/>
      </tp>
      <tp>
        <v>1.1539999999999999</v>
        <stp/>
        <stp>_x000D_EUREON7Y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37" s="12"/>
      </tp>
      <tp>
        <v>0.17899999999999999</v>
        <stp/>
        <stp>_x000D_EUREON9M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17" s="12"/>
      </tp>
      <tp>
        <v>0.18099999999999999</v>
        <stp/>
        <stp>_x000D_EUREON8M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16" s="12"/>
      </tp>
      <tp>
        <v>0.20200000000000001</v>
        <stp/>
        <stp>_x000D_EUREON3M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11" s="12"/>
      </tp>
      <tp>
        <v>0.20899999999999999</v>
        <stp/>
        <stp>_x000D_EUREON2M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10" s="12"/>
      </tp>
      <tp>
        <v>0.224</v>
        <stp/>
        <stp>_x000D_EUREON1M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9" s="12"/>
      </tp>
      <tp>
        <v>0.183</v>
        <stp/>
        <stp>_x000D_EUREON7M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15" s="12"/>
      </tp>
      <tp>
        <v>0.186</v>
        <stp/>
        <stp>_x000D_EUREON6M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14" s="12"/>
      </tp>
      <tp>
        <v>0.19</v>
        <stp/>
        <stp>_x000D_EUREON5M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13" s="12"/>
      </tp>
      <tp>
        <v>0.19500000000000001</v>
        <stp/>
        <stp>_x000D_EUREON4M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12" s="12"/>
      </tp>
      <tp>
        <v>0.188</v>
        <stp/>
        <stp>_x000D_EUREON2W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7" s="12"/>
      </tp>
      <tp>
        <v>0.16600000000000001</v>
        <stp/>
        <stp>_x000D_EUREON3W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8" s="12"/>
      </tp>
      <tp>
        <v>0.14299999999999999</v>
        <stp/>
        <stp>_x000D_EUREONSW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6" s="12"/>
      </tp>
      <tp>
        <v>99.900999999999996</v>
        <stp/>
        <stp xml:space="preserve">
FR150514B=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5" s="21"/>
      </tp>
      <tp>
        <v>99.882999999999996</v>
        <stp/>
        <stp xml:space="preserve">
FR240714B=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9" s="21"/>
      </tp>
      <tp>
        <v>99.97</v>
        <stp/>
        <stp xml:space="preserve">
FR270214B=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7" s="21"/>
      </tp>
      <tp>
        <v>99.932000000000002</v>
        <stp/>
        <stp xml:space="preserve">
FR170414B=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2" s="21"/>
      </tp>
      <tp>
        <v>99.792000000000002</v>
        <stp/>
        <stp xml:space="preserve">
FR161014B=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3" s="21"/>
      </tp>
      <tp>
        <v>99.98</v>
        <stp/>
        <stp xml:space="preserve">
FR160114B=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1" s="21"/>
      </tp>
      <tp>
        <v>99.981999999999999</v>
        <stp/>
        <stp xml:space="preserve">
FR060214B=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4" s="21"/>
      </tp>
      <tp>
        <v>99.971000000000004</v>
        <stp/>
        <stp xml:space="preserve">
FR060314B=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8" s="21"/>
      </tp>
      <tp>
        <v>99.897000000000006</v>
        <stp/>
        <stp xml:space="preserve">
FR260614B=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7" s="21"/>
      </tp>
      <tp>
        <v>0.26600000000000001</v>
        <stp/>
        <stp>_x000D_EUREON3W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8" s="12"/>
      </tp>
      <tp>
        <v>0.28799999999999998</v>
        <stp/>
        <stp>_x000D_EUREON2W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7" s="12"/>
      </tp>
      <tp>
        <v>0.24299999999999999</v>
        <stp/>
        <stp>_x000D_EUREONSW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6" s="12"/>
      </tp>
      <tp>
        <v>0.13100000000000001</v>
        <stp/>
        <stp>_x000D_EUREON8M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16" s="12"/>
      </tp>
      <tp>
        <v>0.129</v>
        <stp/>
        <stp>_x000D_EUREON9M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17" s="12"/>
      </tp>
      <tp>
        <v>0.17399999999999999</v>
        <stp/>
        <stp>_x000D_EUREON1M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9" s="12"/>
      </tp>
      <tp>
        <v>0.159</v>
        <stp/>
        <stp>_x000D_EUREON2M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10" s="12"/>
      </tp>
      <tp>
        <v>0.152</v>
        <stp/>
        <stp>_x000D_EUREON3M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11" s="12"/>
      </tp>
      <tp>
        <v>0.14499999999999999</v>
        <stp/>
        <stp>_x000D_EUREON4M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12" s="12"/>
      </tp>
      <tp>
        <v>0.14000000000000001</v>
        <stp/>
        <stp>_x000D_EUREON5M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13" s="12"/>
      </tp>
      <tp>
        <v>0.13600000000000001</v>
        <stp/>
        <stp>_x000D_EUREON6M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14" s="12"/>
      </tp>
      <tp>
        <v>0.13300000000000001</v>
        <stp/>
        <stp>_x000D_EUREON7M=ICAP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15" s="12"/>
      </tp>
      <tp>
        <v>0</v>
        <stp/>
        <stp xml:space="preserve">
FR111214B=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6" s="21"/>
      </tp>
      <tp>
        <v>99.838999999999999</v>
        <stp/>
        <stp xml:space="preserve">
FR210814B=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0" s="21"/>
      </tp>
      <tp t="s">
        <v>#N/A The record could not be found</v>
        <stp/>
        <stp xml:space="preserve">
FR100115B=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7" s="21"/>
      </tp>
      <tp t="s">
        <v>#N/A The record could not be found</v>
        <stp/>
        <stp xml:space="preserve">
FR100715B=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9" s="21"/>
      </tp>
      <tp>
        <v>99.995000000000005</v>
        <stp/>
        <stp xml:space="preserve">
FR271213B=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7" s="21"/>
      </tp>
      <tp>
        <v>99.974999999999994</v>
        <stp/>
        <stp xml:space="preserve">
FR300114B=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3" s="21"/>
      </tp>
      <tp>
        <v>99.965000000000003</v>
        <stp/>
        <stp xml:space="preserve">
FR200214B=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6" s="21"/>
      </tp>
      <tp>
        <v>99.960999999999999</v>
        <stp/>
        <stp xml:space="preserve">
FR200314B=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0" s="21"/>
      </tp>
      <tp>
        <v>99.935000000000002</v>
        <stp/>
        <stp xml:space="preserve">
FR300414B=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4" s="21"/>
      </tp>
      <tp>
        <v>99.772000000000006</v>
        <stp/>
        <stp xml:space="preserve">
FR131114B=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5" s="21"/>
      </tp>
      <tp>
        <v>99.984999999999999</v>
        <stp/>
        <stp xml:space="preserve">
FR230114B=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2" s="21"/>
      </tp>
      <tp>
        <v>99.962999999999994</v>
        <stp/>
        <stp xml:space="preserve">
FR130214B=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5" s="21"/>
      </tp>
      <tp>
        <v>99.953000000000003</v>
        <stp/>
        <stp xml:space="preserve">
FR130314B=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9" s="21"/>
      </tp>
      <tp>
        <v>99.960999999999999</v>
        <stp/>
        <stp xml:space="preserve">
FR030414B=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1" s="21"/>
      </tp>
      <tp t="s">
        <v>#N/A The record could not be found</v>
        <stp/>
        <stp xml:space="preserve">
FR120914B=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2" s="21"/>
      </tp>
      <tp>
        <v>99.989000000000004</v>
        <stp/>
        <stp xml:space="preserve">
FR020114B=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8" s="21"/>
      </tp>
      <tp>
        <v>99.998999999999995</v>
        <stp/>
        <stp xml:space="preserve">
FR191213B=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6" s="21"/>
      </tp>
      <tp>
        <v>99.99</v>
        <stp/>
        <stp xml:space="preserve">
FR090114B=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9" s="21"/>
        <tr r="Q10" s="21"/>
      </tp>
      <tp t="s">
        <v>#N/A The record could not be found</v>
        <stp/>
        <stp xml:space="preserve">
FR090714B=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8" s="21"/>
      </tp>
      <tp>
        <v>99.846999999999994</v>
        <stp/>
        <stp xml:space="preserve">
FR180914B=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31" s="21"/>
      </tp>
      <tp>
        <v>99.912999999999997</v>
        <stp/>
        <stp xml:space="preserve">
FR280514B=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6" s="21"/>
      </tp>
      <tp>
        <v>1.58</v>
        <stp/>
        <stp>_x000D_EUREON9Y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39" s="12"/>
      </tp>
      <tp>
        <v>1.41</v>
        <stp/>
        <stp>_x000D_EUREON8Y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38" s="12"/>
      </tp>
      <tp>
        <v>0.36199999999999999</v>
        <stp/>
        <stp>_x000D_EUREON3Y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33" s="12"/>
      </tp>
      <tp>
        <v>0.222</v>
        <stp/>
        <stp>_x000D_EUREON2Y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2" s="12"/>
      </tp>
      <tp>
        <v>0.186</v>
        <stp/>
        <stp>_x000D_EUREON1Y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8" s="12"/>
      </tp>
      <tp>
        <v>1.224</v>
        <stp/>
        <stp>_x000D_EUREON7Y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37" s="12"/>
      </tp>
      <tp>
        <v>1.0189999999999999</v>
        <stp/>
        <stp>_x000D_EUREON6Y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36" s="12"/>
      </tp>
      <tp>
        <v>0.79800000000000004</v>
        <stp/>
        <stp>_x000D_EUREON5Y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35" s="12"/>
      </tp>
      <tp>
        <v>0.56799999999999995</v>
        <stp/>
        <stp>_x000D_EUREON4Y=ICAP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34" s="12"/>
      </tp>
      <tp>
        <v>100.36</v>
        <stp/>
        <stp>_x000F_ES0000121H=GESN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7" s="22"/>
      </tp>
      <tp>
        <v>101.95</v>
        <stp/>
        <stp>_x000F_ES0000121P=GESN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9" s="22"/>
      </tp>
      <tp>
        <v>103.25</v>
        <stp/>
        <stp>_x000F_ES0000120G=GESN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7" s="22"/>
      </tp>
      <tp>
        <v>102.285</v>
        <stp/>
        <stp>_x000F_ES00001209=GESN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5" s="22"/>
      </tp>
      <tp>
        <v>104.3</v>
        <stp/>
        <stp>_x000F_ES0000123L=GESN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5" s="22"/>
      </tp>
      <tp>
        <v>100.91</v>
        <stp/>
        <stp>_x000F_ES0000123D=GESN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1" s="22"/>
      </tp>
      <tp>
        <v>102.045</v>
        <stp/>
        <stp>_x000F_ES0000123T=GESN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3" s="22"/>
      </tp>
      <tp>
        <v>104.24</v>
        <stp/>
        <stp>_x000F_ES0000123P=GESN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6" s="22"/>
      </tp>
      <tp>
        <v>102.48</v>
        <stp/>
        <stp>_x000F_ES0000122F=GESN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4" s="22"/>
      </tp>
      <tp>
        <v>103.68</v>
        <stp/>
        <stp>_x000F_ES00001291=GESN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22" s="22"/>
      </tp>
      <tp>
        <v>103.76</v>
        <stp/>
        <stp>_x000F_ES00001291=GESN_x000F_SECOND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2" s="22"/>
      </tp>
      <tp>
        <v>104.33</v>
        <stp/>
        <stp>_x000F_ES0000123P=GESN_x000F_SECOND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6" s="22"/>
      </tp>
      <tp>
        <v>102.11499999999999</v>
        <stp/>
        <stp>_x000F_ES0000123T=GESN_x000F_SECOND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3" s="22"/>
      </tp>
      <tp>
        <v>100.97</v>
        <stp/>
        <stp>_x000F_ES0000123D=GESN_x000F_SECOND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1" s="22"/>
      </tp>
      <tp>
        <v>104.355</v>
        <stp/>
        <stp>_x000F_ES0000123L=GESN_x000F_SECOND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5" s="22"/>
      </tp>
      <tp>
        <v>102.545</v>
        <stp/>
        <stp>_x000F_ES0000122F=GESN_x000F_SECOND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4" s="22"/>
      </tp>
      <tp>
        <v>102.01</v>
        <stp/>
        <stp>_x000F_ES0000121P=GESN_x000F_SECOND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9" s="22"/>
      </tp>
      <tp>
        <v>100.38500000000001</v>
        <stp/>
        <stp>_x000F_ES0000121H=GESN_x000F_SECOND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7" s="22"/>
      </tp>
      <tp>
        <v>102.36</v>
        <stp/>
        <stp>_x000F_ES00001209=GESN_x000F_SECOND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5" s="22"/>
      </tp>
      <tp>
        <v>103.32</v>
        <stp/>
        <stp>_x000F_ES0000120G=GESN_x000F_SECOND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7" s="22"/>
      </tp>
      <tp>
        <v>2.6339999999999999</v>
        <stp/>
        <stp>_x000B_EURAB6R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64" s="12"/>
      </tp>
      <tp>
        <v>2.6339999999999999</v>
        <stp/>
        <stp>_x000B_EURAB6R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64" s="12"/>
      </tp>
      <tp>
        <v>2.617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63" s="12"/>
      </tp>
      <tp>
        <v>2.617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63" s="12"/>
      </tp>
      <tp>
        <v>2.6160000000000001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62" s="12"/>
      </tp>
      <tp>
        <v>2.6160000000000001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62" s="12"/>
      </tp>
      <tp>
        <v>2.6179999999999999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61" s="12"/>
      </tp>
      <tp>
        <v>2.6179999999999999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61" s="12"/>
      </tp>
      <tp>
        <v>2.621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60" s="12"/>
      </tp>
      <tp>
        <v>2.625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59" s="12"/>
      </tp>
      <tp>
        <v>2.625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59" s="12"/>
      </tp>
      <tp>
        <v>2.621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60" s="12"/>
      </tp>
      <tp>
        <v>2.6269999999999998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53" s="12"/>
      </tp>
      <tp>
        <v>2.621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52" s="12"/>
      </tp>
      <tp>
        <v>2.6320000000000001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54" s="12"/>
      </tp>
      <tp>
        <v>2.6120000000000001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51" s="12"/>
      </tp>
      <tp>
        <v>2.6120000000000001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51" s="12"/>
      </tp>
      <tp>
        <v>2.6320000000000001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54" s="12"/>
      </tp>
      <tp>
        <v>2.621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52" s="12"/>
      </tp>
      <tp>
        <v>2.6269999999999998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53" s="12"/>
      </tp>
      <tp>
        <v>2.6309999999999998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57" s="12"/>
      </tp>
      <tp>
        <v>2.633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56" s="12"/>
      </tp>
      <tp>
        <v>2.6280000000000001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58" s="12"/>
      </tp>
      <tp>
        <v>2.633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55" s="12"/>
      </tp>
      <tp>
        <v>2.633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55" s="12"/>
      </tp>
      <tp>
        <v>2.6280000000000001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58" s="12"/>
      </tp>
      <tp>
        <v>2.633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56" s="12"/>
      </tp>
      <tp>
        <v>2.6309999999999998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57" s="12"/>
      </tp>
      <tp>
        <v>2.6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50" s="12"/>
      </tp>
      <tp>
        <v>2.5819999999999999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49" s="12"/>
      </tp>
      <tp>
        <v>2.5819999999999999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49" s="12"/>
      </tp>
      <tp>
        <v>2.6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50" s="12"/>
      </tp>
      <tp>
        <v>2.351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44" s="12"/>
      </tp>
      <tp>
        <v>2.351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44" s="12"/>
      </tp>
      <tp>
        <v>2.524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47" s="12"/>
      </tp>
      <tp>
        <v>2.4790000000000001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46" s="12"/>
      </tp>
      <tp>
        <v>2.5569999999999999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48" s="12"/>
      </tp>
      <tp>
        <v>2.4220000000000002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45" s="12"/>
      </tp>
      <tp>
        <v>2.4220000000000002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45" s="12"/>
      </tp>
      <tp>
        <v>2.5569999999999999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48" s="12"/>
      </tp>
      <tp>
        <v>2.4790000000000001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46" s="12"/>
      </tp>
      <tp>
        <v>2.524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47" s="12"/>
      </tp>
      <tp>
        <v>104.63</v>
        <stp/>
        <stp>_x000B_IT478038=TT_x000F_SECOND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3" s="1"/>
      </tp>
      <tp t="s">
        <v>#N/A The record could not be found</v>
        <stp/>
        <stp>_x000B_IT498126=TT_x000F_SECOND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4" s="1"/>
      </tp>
      <tp>
        <v>99.326459999999997</v>
        <stp/>
        <stp>_x000B_IT496946=TT_x000F_SECOND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2" s="1"/>
      </tp>
      <tp>
        <v>99.477400000000003</v>
        <stp/>
        <stp>_x000B_IT495816=TT_x000F_SECOND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9" s="1"/>
      </tp>
      <tp>
        <v>99.694199999999995</v>
        <stp/>
        <stp>_x000B_IT493206=TT_x000F_SECOND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3" s="1"/>
      </tp>
      <tp>
        <v>101.893</v>
        <stp/>
        <stp>_x000B_IT480507=TT_x000F_SECOND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7" s="1"/>
      </tp>
      <tp>
        <v>99.810929999999999</v>
        <stp/>
        <stp>_x000B_IT490936=TT_x000F_SECOND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7" s="1"/>
      </tp>
      <tp>
        <v>99.971670000000003</v>
        <stp/>
        <stp>_x000B_IT488596=TT_x000F_SECOND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9" s="1"/>
      </tp>
      <tp>
        <v>99.83614</v>
        <stp/>
        <stp>_x000B_IT495817=TT_x000F_SECOND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5" s="1"/>
      </tp>
      <tp>
        <v>99.994900000000001</v>
        <stp/>
        <stp>_x000B_IT493207=TT_x000F_SECOND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8" s="1"/>
      </tp>
      <tp>
        <v>99.756510000000006</v>
        <stp/>
        <stp>_x000B_IT492007=TT_x000F_SECOND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9" s="1"/>
      </tp>
      <tp>
        <v>102.134</v>
        <stp/>
        <stp>_x000B_IT361838=TT_x000F_SECOND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7" s="1"/>
      </tp>
      <tp>
        <v>100.637</v>
        <stp/>
        <stp>_x000B_IT470799=TT_x000F_SECOND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6" s="1"/>
      </tp>
      <tp>
        <v>99.703999999999994</v>
        <stp/>
        <stp>_x000B_IT482025=TT_x000F_SECOND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1" s="1"/>
      </tp>
      <tp>
        <v>99.913740000000004</v>
        <stp/>
        <stp>_x000B_IT489264=TT_x000F_SECOND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2" s="1"/>
      </tp>
      <tp>
        <v>99.233410000000006</v>
        <stp/>
        <stp>_x000B_IT498125=TT_x000F_SECOND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4" s="1"/>
      </tp>
      <tp>
        <v>99.715479999999999</v>
        <stp/>
        <stp>_x000B_IT496945=TT_x000F_SECOND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0" s="1"/>
      </tp>
      <tp>
        <v>99.892009999999999</v>
        <stp/>
        <stp>_x000B_IT495472=TT_x000F_SECOND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3" s="1"/>
      </tp>
      <tp>
        <v>104.18</v>
        <stp/>
        <stp>_x000B_IT384453=TT_x000F_SECOND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42" s="1"/>
      </tp>
      <tp>
        <v>99.999780000000001</v>
        <stp/>
        <stp>_x000B_IT492162=TT_x000F_SECOND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6" s="1"/>
      </tp>
      <tp t="s">
        <v>#N/A No instrument defined.</v>
        <stp/>
        <stp>ÿ_x000F_SECOND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2" s="23"/>
      </tp>
      <tp>
        <v>97.522999999999996</v>
        <stp/>
        <stp>_x000B_IT497820=TT_x000F_SECOND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45" s="1"/>
      </tp>
      <tp>
        <v>99.939599999999999</v>
        <stp/>
        <stp>_x000B_IT494010=TT_x000F_SECOND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0" s="1"/>
      </tp>
      <tp>
        <v>99.426000000000002</v>
        <stp/>
        <stp>_x000B_ESL0140919=_x000F_SECOND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7" s="22"/>
      </tp>
      <tp>
        <v>99.403999999999996</v>
        <stp/>
        <stp>_x000B_IT485380=TT_x000F_SECOND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0" s="1"/>
      </tp>
      <tp>
        <v>99.542590000000004</v>
        <stp/>
        <stp>_x000B_IT495471=TT_x000F_SECOND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8" s="1"/>
      </tp>
      <tp>
        <v>99.504999999999995</v>
        <stp/>
        <stp>_x000B_ESL0140822=_x000F_SECOND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6" s="22"/>
      </tp>
      <tp>
        <v>101.857</v>
        <stp/>
        <stp>_x000B_IT475040=TT_x000F_SECOND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5" s="1"/>
      </tp>
      <tp>
        <v>102.88</v>
        <stp/>
        <stp>_x000B_IT461591=TT_x000F_SECOND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9" s="1"/>
      </tp>
      <tp>
        <v>99.578000000000003</v>
        <stp/>
        <stp>_x000B_ESL0140718=_x000F_SECOND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4" s="22"/>
      </tp>
      <tp>
        <v>99.67</v>
        <stp/>
        <stp>_x000B_ESL0140620=_x000F_SECOND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3" s="22"/>
      </tp>
      <tp>
        <v>103.744</v>
        <stp/>
        <stp>_x000B_IT371991=TT_x000F_SECOND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6" s="1"/>
      </tp>
      <tp>
        <v>99.753</v>
        <stp/>
        <stp>_x000B_ESL0140516=_x000F_SECOND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2" s="22"/>
      </tp>
      <tp>
        <v>99.805000000000007</v>
        <stp/>
        <stp>_x000B_ESL0140416=_x000F_SECOND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0" s="22"/>
      </tp>
      <tp>
        <v>99.93</v>
        <stp/>
        <stp>_x000B_IT479304=TT_x000F_SECOND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1" s="1"/>
      </tp>
      <tp>
        <v>99.876000000000005</v>
        <stp/>
        <stp>_x000B_ESL0140314=_x000F_SECOND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9" s="22"/>
      </tp>
      <tp>
        <v>102.699</v>
        <stp/>
        <stp>_x000B_IT456827=TT_x000F_SECOND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8" s="1"/>
      </tp>
      <tp>
        <v>99.915000000000006</v>
        <stp/>
        <stp>_x000B_ESL0140221=_x000F_SECOND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8" s="22"/>
      </tp>
      <tp>
        <v>99.103999999999999</v>
        <stp/>
        <stp>_x000B_ESL0141212=_x000F_SECOND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1" s="22"/>
      </tp>
      <tp>
        <v>101.23</v>
        <stp/>
        <stp>_x000B_IT450507=TT_x000F_SECOND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2" s="1"/>
      </tp>
      <tp>
        <v>99.156000000000006</v>
        <stp/>
        <stp>_x000B_IT489089=TT_x000F_SECOND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5" s="1"/>
      </tp>
      <tp>
        <v>99.870429999999999</v>
        <stp/>
        <stp>_x000B_IT489909=TT_x000F_SECOND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4" s="1"/>
      </tp>
      <tp>
        <v>102.99</v>
        <stp/>
        <stp>_x000B_IT488099=TT_x000F_SECOND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44" s="1"/>
      </tp>
      <tp>
        <v>99.409989999999993</v>
        <stp/>
        <stp>_x000B_IT496508=TT_x000F_SECOND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31" s="1"/>
      </tp>
      <tp>
        <v>103.42</v>
        <stp/>
        <stp>_x000B_IT465627=TT_x000F_SECOND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43" s="1"/>
      </tp>
      <tp>
        <v>98.35</v>
        <stp/>
        <stp>_x000B_IT493818=TT_x000F_SECOND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40" s="1"/>
      </tp>
      <tp>
        <v>99.947000000000003</v>
        <stp/>
        <stp>_x000B_ESL0140124=_x000F_SECOND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6" s="22"/>
      </tp>
      <tp>
        <v>99.278999999999996</v>
        <stp/>
        <stp>_x000B_ESL0141121=_x000F_SECOND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0" s="22"/>
      </tp>
      <tp>
        <v>99.999070000000003</v>
        <stp/>
        <stp>_x000B_IT496049=TT_x000F_SECOND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7" s="1"/>
      </tp>
      <tp>
        <v>99.781419999999997</v>
        <stp/>
        <stp>_x000B_IT496509=TT_x000F_SECOND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8" s="1"/>
      </tp>
      <tp>
        <v>99.625460000000004</v>
        <stp/>
        <stp>_x000B_IT494009=TT_x000F_SECOND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26" s="1"/>
      </tp>
      <tp>
        <v>105.25</v>
        <stp/>
        <stp>_x000B_IT484078=TT_x000F_SECOND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41" s="1"/>
      </tp>
      <tp>
        <v>99.36</v>
        <stp/>
        <stp>_x000B_ESL0141017=_x000F_SECOND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8" s="2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</xdr:row>
          <xdr:rowOff>38100</xdr:rowOff>
        </xdr:from>
        <xdr:to>
          <xdr:col>14</xdr:col>
          <xdr:colOff>752475</xdr:colOff>
          <xdr:row>3</xdr:row>
          <xdr:rowOff>28575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</xdr:row>
          <xdr:rowOff>19050</xdr:rowOff>
        </xdr:from>
        <xdr:to>
          <xdr:col>14</xdr:col>
          <xdr:colOff>752475</xdr:colOff>
          <xdr:row>2</xdr:row>
          <xdr:rowOff>19050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ONDS%20ASW_VINCE_NEW11_with_QuickHedg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nts%20and%20Settings\asarov1a\Application%20Data\Microsoft\Internet%20Explorer\Quick%20Launch\BONDS%20ASW_VINCE_NEW4%20florian%203%20valu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DB Basi"/>
      <sheetName val="Phone"/>
      <sheetName val="QuickHedge"/>
      <sheetName val="PNL_Position"/>
      <sheetName val="Label Broker"/>
      <sheetName val="Buckets"/>
      <sheetName val="Prez Med"/>
      <sheetName val="Matrix"/>
      <sheetName val="Bonds"/>
      <sheetName val="Bonds (2)"/>
      <sheetName val="Bonds (3)"/>
      <sheetName val="Bonds (4)"/>
      <sheetName val="YDB"/>
      <sheetName val="Graph"/>
    </sheetNames>
    <sheetDataSet>
      <sheetData sheetId="0"/>
      <sheetData sheetId="1"/>
      <sheetData sheetId="2"/>
      <sheetData sheetId="3">
        <row r="2">
          <cell r="B2">
            <v>41625</v>
          </cell>
        </row>
        <row r="21">
          <cell r="B21">
            <v>41628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1">
          <cell r="BB11" t="str">
            <v>CTZ  31-Jan-14  0</v>
          </cell>
        </row>
        <row r="12">
          <cell r="BB12" t="str">
            <v>BTP  01-Apr-14  3</v>
          </cell>
        </row>
        <row r="13">
          <cell r="BB13" t="str">
            <v>CTZ  30-May-14  0</v>
          </cell>
        </row>
        <row r="14">
          <cell r="BB14" t="str">
            <v>BTP  01-Jun-14  3.5</v>
          </cell>
        </row>
        <row r="15">
          <cell r="BB15" t="str">
            <v>BTP  01-Jul-14  4.25</v>
          </cell>
        </row>
        <row r="16">
          <cell r="BB16" t="str">
            <v>BTP  01-Aug-14  4.25</v>
          </cell>
        </row>
        <row r="17">
          <cell r="BB17" t="str">
            <v>BTP  15-Sep-14  2.15</v>
          </cell>
        </row>
        <row r="18">
          <cell r="BB18" t="str">
            <v>BTP  15-Sep-14  2.15</v>
          </cell>
        </row>
        <row r="19">
          <cell r="BB19" t="str">
            <v>CTZ  30-Sep-14  0</v>
          </cell>
        </row>
        <row r="20">
          <cell r="BB20" t="str">
            <v>BTP  15-Nov-14  6</v>
          </cell>
        </row>
        <row r="21">
          <cell r="BB21" t="str">
            <v>CTZ  31-Dec-14  0</v>
          </cell>
        </row>
        <row r="22">
          <cell r="BB22" t="str">
            <v>BTP  01-Feb-15  4.25</v>
          </cell>
        </row>
        <row r="23">
          <cell r="BB23" t="str">
            <v>BTP  01-Mar-15  2.5</v>
          </cell>
        </row>
        <row r="24">
          <cell r="BB24" t="str">
            <v>BTP  15-Apr-15  3</v>
          </cell>
        </row>
        <row r="25">
          <cell r="BB25" t="str">
            <v>BTP  15-Jun-15  3</v>
          </cell>
        </row>
        <row r="26">
          <cell r="BB26" t="str">
            <v>CTZ  30-Jun-15  0</v>
          </cell>
        </row>
        <row r="27">
          <cell r="BB27" t="str">
            <v>BTP  15-Jul-15  4.5</v>
          </cell>
        </row>
        <row r="28">
          <cell r="BB28" t="str">
            <v>BTP  01-Aug-15  3.75</v>
          </cell>
        </row>
        <row r="29">
          <cell r="BB29" t="str">
            <v>BTP  01-Nov-15  3</v>
          </cell>
        </row>
        <row r="30">
          <cell r="BB30" t="str">
            <v>BTP  01-Dec-15  2.75</v>
          </cell>
        </row>
        <row r="31">
          <cell r="BB31" t="str">
            <v>CTZ  31-Dec-15  0</v>
          </cell>
        </row>
        <row r="32">
          <cell r="BB32" t="str">
            <v>BTP  26-Mar-16  2.45</v>
          </cell>
        </row>
        <row r="33">
          <cell r="BB33" t="str">
            <v>BTP  15-Apr-16  3.75</v>
          </cell>
        </row>
        <row r="34">
          <cell r="BB34" t="str">
            <v>BTP  15-May-16  2.25</v>
          </cell>
        </row>
        <row r="35">
          <cell r="BB35" t="str">
            <v xml:space="preserve">  11-Jun-16  3.55</v>
          </cell>
        </row>
        <row r="36">
          <cell r="BB36" t="str">
            <v>BTP  01-Aug-16  3.75</v>
          </cell>
        </row>
        <row r="37">
          <cell r="BB37" t="str">
            <v>BTP  15-Sep-16  4.75</v>
          </cell>
        </row>
        <row r="38">
          <cell r="BB38" t="str">
            <v>BTP  15-Sep-16  2.1</v>
          </cell>
        </row>
        <row r="39">
          <cell r="BB39" t="str">
            <v xml:space="preserve">  22-Oct-16  2.55</v>
          </cell>
        </row>
        <row r="40">
          <cell r="BB40" t="str">
            <v>BTP  15-Nov-16  2.75</v>
          </cell>
        </row>
        <row r="41">
          <cell r="BB41" t="str">
            <v>BTP  01-Feb-17  4</v>
          </cell>
        </row>
        <row r="42">
          <cell r="BB42" t="str">
            <v xml:space="preserve">  22-Apr-17  2.25</v>
          </cell>
        </row>
        <row r="43">
          <cell r="BB43" t="str">
            <v>BTP  01-May-17  4.75</v>
          </cell>
        </row>
        <row r="44">
          <cell r="BB44" t="str">
            <v>BTP  01-Jun-17  4.75</v>
          </cell>
        </row>
        <row r="45">
          <cell r="BB45" t="str">
            <v>BTP  01-Aug-17  5.25</v>
          </cell>
        </row>
        <row r="46">
          <cell r="BB46" t="str">
            <v>BTP  15-Sep-17  2.1</v>
          </cell>
        </row>
        <row r="47">
          <cell r="BB47" t="str">
            <v>BTP  01-Nov-17  3.5</v>
          </cell>
        </row>
        <row r="48">
          <cell r="BB48" t="str">
            <v xml:space="preserve">  12-Nov-17  2.15</v>
          </cell>
        </row>
        <row r="49">
          <cell r="BB49" t="str">
            <v>BTP  01-Feb-18  4.5</v>
          </cell>
        </row>
        <row r="50">
          <cell r="BB50" t="str">
            <v>BTP  01-Jun-18  3.5</v>
          </cell>
        </row>
        <row r="51">
          <cell r="BB51" t="str">
            <v>BTP  01-Aug-18  4.5</v>
          </cell>
        </row>
        <row r="52">
          <cell r="BB52" t="str">
            <v>BTP  15-Sep-18  1.7</v>
          </cell>
        </row>
        <row r="53">
          <cell r="BB53" t="str">
            <v>BTP  01-Dec-18  3.5</v>
          </cell>
        </row>
        <row r="54">
          <cell r="BB54" t="str">
            <v>BTP  01-Feb-19  4.25</v>
          </cell>
        </row>
        <row r="55">
          <cell r="BB55" t="str">
            <v>BTP  01-Mar-19  4.5</v>
          </cell>
        </row>
        <row r="56">
          <cell r="BB56" t="str">
            <v>BTP  01-Sep-19  4.25</v>
          </cell>
        </row>
        <row r="57">
          <cell r="BB57" t="str">
            <v>BTP  15-Sep-19  2.35</v>
          </cell>
        </row>
        <row r="58">
          <cell r="BB58" t="str">
            <v>BTP  01-Feb-20  4.5</v>
          </cell>
        </row>
        <row r="59">
          <cell r="BB59" t="str">
            <v>BTP  01-Mar-20  4.25</v>
          </cell>
        </row>
        <row r="60">
          <cell r="BB60" t="str">
            <v>BTP  01-Sep-20  4</v>
          </cell>
        </row>
        <row r="61">
          <cell r="BB61" t="str">
            <v>BTP  01-Mar-21  3.75</v>
          </cell>
        </row>
        <row r="62">
          <cell r="BB62" t="str">
            <v>BTP  01-May-21  3.75</v>
          </cell>
        </row>
        <row r="63">
          <cell r="BB63" t="str">
            <v>BTP  01-Aug-21  3.75</v>
          </cell>
        </row>
        <row r="64">
          <cell r="BB64" t="str">
            <v>BTP  01-Sep-21  4.75</v>
          </cell>
        </row>
        <row r="65">
          <cell r="BB65" t="str">
            <v>BTP  15-Sep-21  2.1</v>
          </cell>
        </row>
        <row r="66">
          <cell r="BB66" t="str">
            <v>BTP  01-Mar-22  5</v>
          </cell>
        </row>
        <row r="67">
          <cell r="BB67" t="str">
            <v>BTP  01-Sep-22  5.5</v>
          </cell>
        </row>
        <row r="68">
          <cell r="BB68" t="str">
            <v>BTP  01-Nov-22  5.5</v>
          </cell>
        </row>
        <row r="69">
          <cell r="BB69" t="str">
            <v>BTP  01-May-23  4.5</v>
          </cell>
        </row>
        <row r="70">
          <cell r="BB70" t="str">
            <v>BTP  01-Aug-23  4.75</v>
          </cell>
        </row>
        <row r="71">
          <cell r="BB71" t="str">
            <v>BTP  15-Sep-23  2.6</v>
          </cell>
        </row>
        <row r="72">
          <cell r="BB72" t="str">
            <v>BTP  01-Nov-23  9</v>
          </cell>
        </row>
        <row r="73">
          <cell r="BB73" t="str">
            <v>BTP  01-Feb-24  0</v>
          </cell>
        </row>
        <row r="74">
          <cell r="BB74" t="str">
            <v>BTP  01-Mar-24  4.5</v>
          </cell>
        </row>
        <row r="75">
          <cell r="BB75" t="str">
            <v>BTP  01-Mar-25  5</v>
          </cell>
        </row>
        <row r="76">
          <cell r="BB76" t="str">
            <v>BTP  01-Mar-26  4.5</v>
          </cell>
        </row>
        <row r="77">
          <cell r="BB77" t="str">
            <v>BTP  15-Sep-26  3.1</v>
          </cell>
        </row>
        <row r="78">
          <cell r="BB78" t="str">
            <v>BTP  01-Nov-26  7.25</v>
          </cell>
        </row>
        <row r="79">
          <cell r="BB79" t="str">
            <v>BTP  01-Nov-27  6.5</v>
          </cell>
        </row>
        <row r="80">
          <cell r="BB80" t="str">
            <v>BTP  01-Sep-28  4.75</v>
          </cell>
        </row>
        <row r="81">
          <cell r="BB81" t="str">
            <v>BTP  01-Nov-29  5.25</v>
          </cell>
        </row>
        <row r="82">
          <cell r="BB82" t="str">
            <v>BTP  01-May-31  6</v>
          </cell>
        </row>
        <row r="83">
          <cell r="BB83" t="str">
            <v>BTP  01-Feb-33  5.75</v>
          </cell>
        </row>
        <row r="84">
          <cell r="BB84" t="str">
            <v>BTP  01-Aug-34  5</v>
          </cell>
        </row>
        <row r="85">
          <cell r="BB85" t="str">
            <v>BTP  15-Sep-35  2.35</v>
          </cell>
        </row>
        <row r="86">
          <cell r="BB86" t="str">
            <v>BTP  01-Feb-37  4</v>
          </cell>
        </row>
        <row r="87">
          <cell r="BB87" t="str">
            <v>BTP  01-Aug-39  5</v>
          </cell>
        </row>
        <row r="88">
          <cell r="BB88" t="str">
            <v>BTP  01-Sep-40  5</v>
          </cell>
        </row>
        <row r="89">
          <cell r="BB89" t="str">
            <v>BTP  15-Sep-41  2.55</v>
          </cell>
        </row>
        <row r="90">
          <cell r="BB90" t="str">
            <v>BTP  01-Sep-44  4.75</v>
          </cell>
        </row>
        <row r="91">
          <cell r="BB91" t="str">
            <v>Invalid ISIN  Invalid ISIN  Invalid ISIN</v>
          </cell>
        </row>
        <row r="92">
          <cell r="BB92" t="str">
            <v>Invalid ISIN  Invalid ISIN  Invalid ISIN</v>
          </cell>
        </row>
        <row r="93">
          <cell r="BB93" t="str">
            <v>Invalid ISIN  Invalid ISIN  Invalid ISIN</v>
          </cell>
        </row>
        <row r="94">
          <cell r="BB94" t="str">
            <v>Invalid ISIN  Invalid ISIN  Invalid ISIN</v>
          </cell>
        </row>
        <row r="95">
          <cell r="BB95" t="str">
            <v>Invalid ISIN  Invalid ISIN  Invalid ISIN</v>
          </cell>
        </row>
        <row r="96">
          <cell r="BB96" t="str">
            <v>Invalid ISIN  Invalid ISIN  Invalid ISIN</v>
          </cell>
        </row>
        <row r="97">
          <cell r="BB97" t="str">
            <v>Invalid ISIN  Invalid ISIN  Invalid ISIN</v>
          </cell>
        </row>
        <row r="98">
          <cell r="BB98" t="str">
            <v>Invalid ISIN  Invalid ISIN  Invalid ISIN</v>
          </cell>
        </row>
        <row r="99">
          <cell r="BB99" t="str">
            <v>Invalid ISIN  Invalid ISIN  Invalid ISIN</v>
          </cell>
        </row>
        <row r="100">
          <cell r="BB100" t="str">
            <v>Invalid ISIN  Invalid ISIN  Invalid ISIN</v>
          </cell>
        </row>
        <row r="101">
          <cell r="BB101" t="str">
            <v>Invalid ISIN  Invalid ISIN  Invalid ISIN</v>
          </cell>
        </row>
        <row r="102">
          <cell r="BB102" t="str">
            <v>Invalid ISIN  Invalid ISIN  Invalid ISIN</v>
          </cell>
        </row>
        <row r="103">
          <cell r="BB103" t="str">
            <v>Invalid ISIN  Invalid ISIN  Invalid ISIN</v>
          </cell>
        </row>
        <row r="104">
          <cell r="BB104" t="str">
            <v>Invalid ISIN  Invalid ISIN  Invalid ISIN</v>
          </cell>
        </row>
        <row r="105">
          <cell r="BB105" t="str">
            <v>Invalid ISIN  Invalid ISIN  Invalid ISIN</v>
          </cell>
        </row>
        <row r="106">
          <cell r="BB106" t="str">
            <v>Invalid ISIN  Invalid ISIN  Invalid ISIN</v>
          </cell>
        </row>
        <row r="107">
          <cell r="BB107" t="str">
            <v>Invalid ISIN  Invalid ISIN  Invalid ISIN</v>
          </cell>
        </row>
        <row r="108">
          <cell r="BB108" t="str">
            <v>Invalid ISIN  Invalid ISIN  Invalid ISIN</v>
          </cell>
        </row>
        <row r="109">
          <cell r="BB109" t="str">
            <v>Invalid ISIN  Invalid ISIN  Invalid ISIN</v>
          </cell>
        </row>
        <row r="110">
          <cell r="BB110" t="str">
            <v>Invalid ISIN  Invalid ISIN  Invalid ISIN</v>
          </cell>
        </row>
        <row r="111">
          <cell r="BB111" t="str">
            <v>Invalid ISIN  Invalid ISIN  Invalid ISIN</v>
          </cell>
        </row>
        <row r="112">
          <cell r="BB112" t="str">
            <v>Invalid ISIN  Invalid ISIN  Invalid ISIN</v>
          </cell>
        </row>
        <row r="113">
          <cell r="BB113" t="str">
            <v>Invalid ISIN  Invalid ISIN  Invalid ISIN</v>
          </cell>
        </row>
        <row r="114">
          <cell r="BB114" t="str">
            <v>Invalid ISIN  Invalid ISIN  Invalid ISIN</v>
          </cell>
        </row>
        <row r="115">
          <cell r="BB115" t="str">
            <v>Invalid ISIN  Invalid ISIN  Invalid ISIN</v>
          </cell>
        </row>
        <row r="116">
          <cell r="BB116" t="str">
            <v>Invalid ISIN  Invalid ISIN  Invalid ISIN</v>
          </cell>
        </row>
        <row r="117">
          <cell r="BB117" t="str">
            <v>Invalid ISIN  Invalid ISIN  Invalid ISIN</v>
          </cell>
        </row>
        <row r="118">
          <cell r="BB118" t="str">
            <v>Invalid ISIN  Invalid ISIN  Invalid ISIN</v>
          </cell>
        </row>
        <row r="119">
          <cell r="BB119" t="str">
            <v>Invalid ISIN  Invalid ISIN  Invalid ISIN</v>
          </cell>
        </row>
        <row r="120">
          <cell r="BB120" t="str">
            <v>Invalid ISIN  Invalid ISIN  Invalid ISIN</v>
          </cell>
        </row>
        <row r="121">
          <cell r="BB121" t="str">
            <v>Invalid ISIN  Invalid ISIN  Invalid ISIN</v>
          </cell>
        </row>
        <row r="122">
          <cell r="BB122" t="str">
            <v>Invalid ISIN  Invalid ISIN  Invalid ISIN</v>
          </cell>
        </row>
        <row r="123">
          <cell r="BB123" t="str">
            <v>Invalid ISIN  Invalid ISIN  Invalid ISIN</v>
          </cell>
        </row>
        <row r="124">
          <cell r="BB124" t="str">
            <v>Invalid ISIN  Invalid ISIN  Invalid ISIN</v>
          </cell>
        </row>
        <row r="125">
          <cell r="BB125" t="str">
            <v>Invalid ISIN  Invalid ISIN  Invalid ISIN</v>
          </cell>
        </row>
        <row r="126">
          <cell r="BB126" t="str">
            <v>Invalid ISIN  Invalid ISIN  Invalid ISIN</v>
          </cell>
        </row>
        <row r="127">
          <cell r="BB127" t="str">
            <v>Invalid ISIN  Invalid ISIN  Invalid ISIN</v>
          </cell>
        </row>
        <row r="128">
          <cell r="BB128" t="str">
            <v>Invalid ISIN  Invalid ISIN  Invalid ISIN</v>
          </cell>
        </row>
        <row r="129">
          <cell r="BB129" t="str">
            <v>Invalid ISIN  Invalid ISIN  Invalid ISIN</v>
          </cell>
        </row>
        <row r="130">
          <cell r="BB130" t="str">
            <v>Invalid ISIN  Invalid ISIN  Invalid ISIN</v>
          </cell>
        </row>
        <row r="131">
          <cell r="BB131" t="str">
            <v>Invalid ISIN  Invalid ISIN  Invalid ISIN</v>
          </cell>
        </row>
        <row r="132">
          <cell r="BB132" t="str">
            <v>Invalid ISIN  Invalid ISIN  Invalid ISIN</v>
          </cell>
        </row>
        <row r="133">
          <cell r="BB133" t="str">
            <v>Invalid ISIN  Invalid ISIN  Invalid ISIN</v>
          </cell>
        </row>
        <row r="134">
          <cell r="BB134" t="str">
            <v>Invalid ISIN  Invalid ISIN  Invalid ISIN</v>
          </cell>
        </row>
        <row r="135">
          <cell r="BB135" t="str">
            <v>Invalid ISIN  Invalid ISIN  Invalid ISIN</v>
          </cell>
        </row>
        <row r="136">
          <cell r="BB136" t="str">
            <v>Invalid ISIN  Invalid ISIN  Invalid ISIN</v>
          </cell>
        </row>
        <row r="137">
          <cell r="BB137" t="str">
            <v>Invalid ISIN  Invalid ISIN  Invalid ISIN</v>
          </cell>
        </row>
        <row r="138">
          <cell r="BB138" t="str">
            <v>Invalid ISIN  Invalid ISIN  Invalid ISIN</v>
          </cell>
        </row>
        <row r="139">
          <cell r="BB139" t="str">
            <v>Invalid ISIN  Invalid ISIN  Invalid ISIN</v>
          </cell>
        </row>
        <row r="140">
          <cell r="BB140" t="str">
            <v>Invalid ISIN  Invalid ISIN  Invalid ISIN</v>
          </cell>
        </row>
        <row r="141">
          <cell r="BB141" t="str">
            <v>Invalid ISIN  Invalid ISIN  Invalid ISIN</v>
          </cell>
        </row>
        <row r="142">
          <cell r="BB142" t="str">
            <v>Invalid ISIN  Invalid ISIN  Invalid ISIN</v>
          </cell>
        </row>
        <row r="143">
          <cell r="BB143" t="str">
            <v>Invalid ISIN  Invalid ISIN  Invalid ISIN</v>
          </cell>
        </row>
        <row r="144">
          <cell r="BB144" t="str">
            <v xml:space="preserve">  00-Jan-00  </v>
          </cell>
        </row>
      </sheetData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Bonds"/>
      <sheetName val="Bonds (2)"/>
      <sheetName val="Bonds (3)"/>
      <sheetName val="Bonds (4)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AQ86"/>
  <sheetViews>
    <sheetView showGridLines="0" zoomScale="85" workbookViewId="0">
      <selection activeCell="K20" sqref="K20"/>
    </sheetView>
  </sheetViews>
  <sheetFormatPr defaultRowHeight="12.75" x14ac:dyDescent="0.2"/>
  <cols>
    <col min="1" max="1" width="1.5703125" customWidth="1"/>
    <col min="2" max="2" width="10.7109375" bestFit="1" customWidth="1"/>
    <col min="3" max="3" width="10.85546875" bestFit="1" customWidth="1"/>
    <col min="4" max="5" width="10" customWidth="1"/>
    <col min="6" max="6" width="12.28515625" bestFit="1" customWidth="1"/>
    <col min="7" max="7" width="8.7109375" customWidth="1"/>
    <col min="8" max="9" width="0.85546875" customWidth="1"/>
    <col min="10" max="10" width="10.7109375" bestFit="1" customWidth="1"/>
    <col min="11" max="11" width="15.7109375" customWidth="1"/>
    <col min="12" max="12" width="0.85546875" customWidth="1"/>
    <col min="13" max="13" width="15.7109375" bestFit="1" customWidth="1"/>
    <col min="14" max="14" width="10.7109375" customWidth="1"/>
    <col min="15" max="15" width="12" bestFit="1" customWidth="1"/>
    <col min="16" max="18" width="9.28515625" bestFit="1" customWidth="1"/>
    <col min="20" max="20" width="12" bestFit="1" customWidth="1"/>
    <col min="21" max="21" width="24.140625" customWidth="1"/>
    <col min="22" max="26" width="10.7109375" customWidth="1"/>
    <col min="27" max="27" width="12.42578125" bestFit="1" customWidth="1"/>
    <col min="30" max="30" width="12.42578125" bestFit="1" customWidth="1"/>
    <col min="32" max="32" width="11.28515625" customWidth="1"/>
    <col min="33" max="33" width="15.7109375" customWidth="1"/>
    <col min="34" max="34" width="11.140625" customWidth="1"/>
    <col min="35" max="35" width="10.28515625" bestFit="1" customWidth="1"/>
    <col min="36" max="36" width="18" bestFit="1" customWidth="1"/>
    <col min="37" max="37" width="10.28515625" bestFit="1" customWidth="1"/>
    <col min="39" max="39" width="18.28515625" customWidth="1"/>
  </cols>
  <sheetData>
    <row r="1" spans="2:43" ht="3" customHeight="1" thickBot="1" x14ac:dyDescent="0.25">
      <c r="J1" s="29" t="str">
        <f t="array" ref="J1">_xll.xlLiborCurveCustom(N1,N2,N3,N4,B1:D39,N5,C44:D49,N7,C53:D83,N6,N8,N9,N10,N11,N12,N13,N14,M15:M17,N15:N17)</f>
        <v>Invalid libor name.</v>
      </c>
      <c r="Z1" t="s">
        <v>111</v>
      </c>
    </row>
    <row r="2" spans="2:43" ht="13.5" thickBot="1" x14ac:dyDescent="0.25">
      <c r="G2" s="30" t="s">
        <v>112</v>
      </c>
      <c r="J2" s="190" t="s">
        <v>113</v>
      </c>
      <c r="K2" s="191"/>
      <c r="M2" s="190" t="s">
        <v>63</v>
      </c>
      <c r="N2" s="191"/>
      <c r="P2" s="31">
        <f t="shared" ref="P2:P42" si="0">IF(Q2="",R2,Q2)</f>
        <v>0.29799999999999999</v>
      </c>
      <c r="Q2" s="31"/>
      <c r="R2" s="31">
        <f>_xll.RtGet("IDN_SELECTFEED","EURIBOR3MD=","PRIM ACT 1")</f>
        <v>0.29799999999999999</v>
      </c>
      <c r="V2" t="s">
        <v>23</v>
      </c>
      <c r="W2" t="s">
        <v>24</v>
      </c>
    </row>
    <row r="3" spans="2:43" ht="13.5" thickBot="1" x14ac:dyDescent="0.25">
      <c r="B3" s="32">
        <v>0</v>
      </c>
      <c r="C3" s="33" t="s">
        <v>71</v>
      </c>
      <c r="D3" s="34">
        <f t="shared" ref="D3:D42" si="1">F3+G3+E3</f>
        <v>0.2</v>
      </c>
      <c r="E3" s="34"/>
      <c r="F3" s="35">
        <f t="shared" ref="F3:F42" si="2">P3</f>
        <v>0.2</v>
      </c>
      <c r="G3" s="36"/>
      <c r="J3" s="29">
        <f t="array" aca="1" ref="J3:K64" ca="1">_xll.xlLiborCurveCustom(N3,N4,N5,N6,B3:D42,N7,C43:D43,N9,C44:D75,N8,N10,N11,N12,N13,N14,N15,N16,M17:M19,N17:N19)</f>
        <v>41626</v>
      </c>
      <c r="K3" s="37">
        <f ca="1"/>
        <v>1</v>
      </c>
      <c r="M3" s="38" t="s">
        <v>27</v>
      </c>
      <c r="N3" s="39">
        <f ca="1">TODAY()</f>
        <v>41626</v>
      </c>
      <c r="P3" s="31">
        <f t="shared" si="0"/>
        <v>0.2</v>
      </c>
      <c r="R3" s="31">
        <f t="shared" ref="R3:R42" si="3">AVERAGE(V3:W3)</f>
        <v>0.2</v>
      </c>
      <c r="S3" s="31">
        <f t="shared" ref="S3:S43" si="4">R3-Q3</f>
        <v>0.2</v>
      </c>
      <c r="U3" t="str">
        <f>"XON"</f>
        <v>XON</v>
      </c>
      <c r="V3">
        <f>_xll.RtGet($Z$3,$Z$5&amp;$U3&amp;"D=",V$2)</f>
        <v>0.2</v>
      </c>
      <c r="W3">
        <f>_xll.RtGet($Z$3,$Z$5&amp;$U3&amp;"D=",W$2)</f>
        <v>0.2</v>
      </c>
      <c r="Y3" s="6" t="s">
        <v>114</v>
      </c>
      <c r="Z3" t="s">
        <v>115</v>
      </c>
      <c r="AM3">
        <f>AO3/2+AN3/2</f>
        <v>0</v>
      </c>
    </row>
    <row r="4" spans="2:43" x14ac:dyDescent="0.2">
      <c r="B4" s="40">
        <v>0</v>
      </c>
      <c r="C4" s="41" t="s">
        <v>116</v>
      </c>
      <c r="D4" s="42">
        <f t="shared" si="1"/>
        <v>0.22</v>
      </c>
      <c r="E4" s="42"/>
      <c r="F4" s="43">
        <f t="shared" si="2"/>
        <v>0.22</v>
      </c>
      <c r="G4" s="44"/>
      <c r="J4" s="45">
        <f ca="1"/>
        <v>41627</v>
      </c>
      <c r="K4" s="46">
        <f ca="1"/>
        <v>0.9999944444753085</v>
      </c>
      <c r="M4" s="47" t="s">
        <v>99</v>
      </c>
      <c r="N4" s="48" t="s">
        <v>64</v>
      </c>
      <c r="P4" s="31">
        <f t="shared" si="0"/>
        <v>0.22</v>
      </c>
      <c r="R4" s="31">
        <f t="shared" si="3"/>
        <v>0.22</v>
      </c>
      <c r="S4" s="31">
        <f t="shared" si="4"/>
        <v>0.22</v>
      </c>
      <c r="U4" t="str">
        <f>"XTN"</f>
        <v>XTN</v>
      </c>
      <c r="V4">
        <f>_xll.RtGet($Z$3,$Z$5&amp;$U4&amp;"D=",V$2)</f>
        <v>0.22</v>
      </c>
      <c r="W4">
        <f>_xll.RtGet($Z$3,$Z$5&amp;$U4&amp;"D=",W$2)</f>
        <v>0.22</v>
      </c>
      <c r="Y4" t="s">
        <v>114</v>
      </c>
      <c r="Z4" t="s">
        <v>117</v>
      </c>
      <c r="AC4" t="str">
        <f>_xll.xlShmInterpDisc($N$5,AH4)</f>
        <v>Curve (EONIA) is not present in shared memory.</v>
      </c>
      <c r="AD4" t="e">
        <f t="shared" ref="AD4:AD35" si="5">IF(AJ4&gt;0,AC4-AJ4,0)</f>
        <v>#VALUE!</v>
      </c>
      <c r="AE4" t="s">
        <v>118</v>
      </c>
      <c r="AF4" s="49">
        <v>39993</v>
      </c>
      <c r="AG4" t="s">
        <v>119</v>
      </c>
      <c r="AH4" s="49">
        <v>39994</v>
      </c>
      <c r="AI4" s="49" t="s">
        <v>120</v>
      </c>
      <c r="AJ4">
        <v>0.99998888901234595</v>
      </c>
      <c r="AK4" s="49">
        <v>0.40555330248848198</v>
      </c>
      <c r="AN4">
        <v>0.4</v>
      </c>
      <c r="AO4">
        <v>0</v>
      </c>
      <c r="AP4">
        <v>0</v>
      </c>
      <c r="AQ4">
        <v>0</v>
      </c>
    </row>
    <row r="5" spans="2:43" x14ac:dyDescent="0.2">
      <c r="B5" s="40">
        <v>0</v>
      </c>
      <c r="C5" s="41" t="s">
        <v>73</v>
      </c>
      <c r="D5" s="42">
        <f t="shared" si="1"/>
        <v>0.22</v>
      </c>
      <c r="E5" s="42"/>
      <c r="F5" s="43">
        <f t="shared" si="2"/>
        <v>0.22</v>
      </c>
      <c r="G5" s="44"/>
      <c r="J5" s="50">
        <f ca="1"/>
        <v>41628</v>
      </c>
      <c r="K5" s="51">
        <f ca="1"/>
        <v>0.9999883334354932</v>
      </c>
      <c r="M5" s="52" t="s">
        <v>66</v>
      </c>
      <c r="N5" s="53" t="s">
        <v>97</v>
      </c>
      <c r="P5" s="31">
        <f t="shared" si="0"/>
        <v>0.22</v>
      </c>
      <c r="R5" s="31">
        <f t="shared" si="3"/>
        <v>0.22</v>
      </c>
      <c r="S5" s="31">
        <f t="shared" si="4"/>
        <v>0.22</v>
      </c>
      <c r="U5" t="s">
        <v>121</v>
      </c>
      <c r="V5">
        <f>_xll.RtGet($Z$3,$Z$5&amp;$U5&amp;"D=",V$2)</f>
        <v>0.22</v>
      </c>
      <c r="W5">
        <f>_xll.RtGet($Z$3,$Z$5&amp;$U5&amp;"D=",W$2)</f>
        <v>0.22</v>
      </c>
      <c r="Y5" t="s">
        <v>122</v>
      </c>
      <c r="Z5" t="s">
        <v>64</v>
      </c>
      <c r="AC5" t="str">
        <f>_xll.xlShmInterpDisc($N$5,AH5)</f>
        <v>Curve (EONIA) is not present in shared memory.</v>
      </c>
      <c r="AD5" t="e">
        <f t="shared" si="5"/>
        <v>#VALUE!</v>
      </c>
      <c r="AE5" t="s">
        <v>118</v>
      </c>
      <c r="AF5" s="49">
        <v>39994</v>
      </c>
      <c r="AG5" t="s">
        <v>119</v>
      </c>
      <c r="AH5" s="49">
        <v>39995</v>
      </c>
      <c r="AI5" s="49" t="s">
        <v>123</v>
      </c>
      <c r="AJ5">
        <v>0.99997638930747901</v>
      </c>
      <c r="AK5" s="49">
        <v>0.43090022550909601</v>
      </c>
      <c r="AN5">
        <v>0.45</v>
      </c>
      <c r="AO5">
        <v>0</v>
      </c>
      <c r="AP5">
        <v>0</v>
      </c>
      <c r="AQ5">
        <v>0</v>
      </c>
    </row>
    <row r="6" spans="2:43" x14ac:dyDescent="0.2">
      <c r="B6" s="40">
        <v>1</v>
      </c>
      <c r="C6" s="41" t="s">
        <v>75</v>
      </c>
      <c r="D6" s="42">
        <f t="shared" si="1"/>
        <v>0.193</v>
      </c>
      <c r="E6" s="42"/>
      <c r="F6" s="43">
        <f t="shared" si="2"/>
        <v>0.193</v>
      </c>
      <c r="G6" s="44"/>
      <c r="J6" s="50">
        <f ca="1"/>
        <v>41631</v>
      </c>
      <c r="K6" s="51">
        <f ca="1"/>
        <v>0.99997000065214792</v>
      </c>
      <c r="M6" s="52" t="s">
        <v>67</v>
      </c>
      <c r="N6" s="53">
        <v>40</v>
      </c>
      <c r="P6" s="31">
        <f t="shared" si="0"/>
        <v>0.193</v>
      </c>
      <c r="R6" s="31">
        <f t="shared" si="3"/>
        <v>0.193</v>
      </c>
      <c r="S6" s="31">
        <f t="shared" si="4"/>
        <v>0.193</v>
      </c>
      <c r="U6" t="s">
        <v>98</v>
      </c>
      <c r="V6">
        <f>_xll.RtGet($Z$4,$Z$6&amp;$U6&amp;$AA$6,V$2)</f>
        <v>0.14299999999999999</v>
      </c>
      <c r="W6">
        <f>_xll.RtGet($Z$4,$Z$6&amp;$U6&amp;$AA$6,W$2)</f>
        <v>0.24299999999999999</v>
      </c>
      <c r="Z6" t="s">
        <v>124</v>
      </c>
      <c r="AA6" s="54" t="s">
        <v>125</v>
      </c>
      <c r="AC6" t="str">
        <f>_xll.xlShmInterpDisc($N$5,AH6)</f>
        <v>Curve (EONIA) is not present in shared memory.</v>
      </c>
      <c r="AD6" t="e">
        <f t="shared" si="5"/>
        <v>#VALUE!</v>
      </c>
      <c r="AE6" t="s">
        <v>118</v>
      </c>
      <c r="AF6" s="49">
        <v>39995</v>
      </c>
      <c r="AG6" t="s">
        <v>119</v>
      </c>
      <c r="AH6" s="49">
        <v>39996</v>
      </c>
      <c r="AI6" s="49" t="s">
        <v>126</v>
      </c>
      <c r="AJ6">
        <v>0.99996250093941097</v>
      </c>
      <c r="AK6" s="49">
        <v>0.45624712504192699</v>
      </c>
      <c r="AN6">
        <v>0.5</v>
      </c>
      <c r="AO6">
        <v>0</v>
      </c>
      <c r="AP6">
        <v>0</v>
      </c>
      <c r="AQ6">
        <v>0</v>
      </c>
    </row>
    <row r="7" spans="2:43" x14ac:dyDescent="0.2">
      <c r="B7" s="40">
        <v>2</v>
      </c>
      <c r="C7" s="41" t="s">
        <v>75</v>
      </c>
      <c r="D7" s="42">
        <f t="shared" si="1"/>
        <v>0.23799999999999999</v>
      </c>
      <c r="E7" s="42"/>
      <c r="F7" s="43">
        <f t="shared" si="2"/>
        <v>0.23799999999999999</v>
      </c>
      <c r="G7" s="44"/>
      <c r="J7" s="50">
        <f ca="1"/>
        <v>41635</v>
      </c>
      <c r="K7" s="51">
        <f ca="1"/>
        <v>0.99995080750380039</v>
      </c>
      <c r="M7" s="52" t="s">
        <v>68</v>
      </c>
      <c r="N7" s="53">
        <v>0</v>
      </c>
      <c r="P7" s="31">
        <f t="shared" si="0"/>
        <v>0.23799999999999999</v>
      </c>
      <c r="R7" s="31">
        <f t="shared" si="3"/>
        <v>0.23799999999999999</v>
      </c>
      <c r="S7" s="31">
        <f t="shared" si="4"/>
        <v>0.23799999999999999</v>
      </c>
      <c r="U7" t="str">
        <f>"2W"</f>
        <v>2W</v>
      </c>
      <c r="V7">
        <f>_xll.RtGet($Z$4,$Z$6&amp;$U7&amp;$AA$6,V$2)</f>
        <v>0.188</v>
      </c>
      <c r="W7">
        <f>_xll.RtGet($Z$4,$Z$6&amp;$U7&amp;$AA$6,W$2)</f>
        <v>0.28799999999999998</v>
      </c>
      <c r="Y7" t="s">
        <v>127</v>
      </c>
      <c r="Z7" t="s">
        <v>128</v>
      </c>
      <c r="AA7" s="54" t="s">
        <v>125</v>
      </c>
      <c r="AC7" t="str">
        <f>_xll.xlShmInterpDisc($N$5,AH7)</f>
        <v>Curve (EONIA) is not present in shared memory.</v>
      </c>
      <c r="AD7" t="e">
        <f t="shared" si="5"/>
        <v>#VALUE!</v>
      </c>
      <c r="AE7" t="s">
        <v>118</v>
      </c>
      <c r="AF7" s="49">
        <v>39995</v>
      </c>
      <c r="AG7" t="s">
        <v>129</v>
      </c>
      <c r="AH7" s="49">
        <v>40002</v>
      </c>
      <c r="AI7" s="49" t="s">
        <v>76</v>
      </c>
      <c r="AJ7">
        <v>0.99989861941485803</v>
      </c>
      <c r="AK7" s="49">
        <v>0.41117543831221798</v>
      </c>
      <c r="AN7">
        <v>0.4</v>
      </c>
      <c r="AO7">
        <v>0</v>
      </c>
      <c r="AP7">
        <v>0</v>
      </c>
      <c r="AQ7">
        <v>0</v>
      </c>
    </row>
    <row r="8" spans="2:43" x14ac:dyDescent="0.2">
      <c r="B8" s="40">
        <v>3</v>
      </c>
      <c r="C8" s="41" t="s">
        <v>75</v>
      </c>
      <c r="D8" s="42">
        <f t="shared" si="1"/>
        <v>0.21600000000000003</v>
      </c>
      <c r="E8" s="42"/>
      <c r="F8" s="43">
        <f t="shared" si="2"/>
        <v>0.21600000000000003</v>
      </c>
      <c r="G8" s="44"/>
      <c r="J8" s="50">
        <f ca="1"/>
        <v>41642</v>
      </c>
      <c r="K8" s="51">
        <f ca="1"/>
        <v>0.999895787525381</v>
      </c>
      <c r="M8" s="52" t="s">
        <v>69</v>
      </c>
      <c r="N8" s="53" t="s">
        <v>70</v>
      </c>
      <c r="P8" s="31">
        <f t="shared" si="0"/>
        <v>0.21600000000000003</v>
      </c>
      <c r="R8" s="31">
        <f t="shared" si="3"/>
        <v>0.21600000000000003</v>
      </c>
      <c r="S8" s="31">
        <f t="shared" si="4"/>
        <v>0.21600000000000003</v>
      </c>
      <c r="U8" t="str">
        <f>"3W"</f>
        <v>3W</v>
      </c>
      <c r="V8">
        <f>_xll.RtGet($Z$4,$Z$6&amp;$U8&amp;$AA$6,V$2)</f>
        <v>0.16600000000000001</v>
      </c>
      <c r="W8">
        <f>_xll.RtGet($Z$4,$Z$6&amp;$U8&amp;$AA$6,W$2)</f>
        <v>0.26600000000000001</v>
      </c>
      <c r="Z8" t="s">
        <v>130</v>
      </c>
      <c r="AC8" t="str">
        <f>_xll.xlShmInterpDisc($N$5,AH8)</f>
        <v>Curve (EONIA) is not present in shared memory.</v>
      </c>
      <c r="AD8" t="e">
        <f t="shared" si="5"/>
        <v>#VALUE!</v>
      </c>
      <c r="AE8" t="s">
        <v>118</v>
      </c>
      <c r="AF8" s="49">
        <v>39995</v>
      </c>
      <c r="AG8" t="s">
        <v>129</v>
      </c>
      <c r="AH8" s="49">
        <v>40009</v>
      </c>
      <c r="AI8" s="49" t="s">
        <v>131</v>
      </c>
      <c r="AJ8">
        <v>0.99978548582332505</v>
      </c>
      <c r="AK8" s="49">
        <v>0.48941296049564198</v>
      </c>
      <c r="AN8">
        <v>0.49099999999999999</v>
      </c>
      <c r="AO8">
        <v>0</v>
      </c>
      <c r="AP8">
        <v>0</v>
      </c>
      <c r="AQ8">
        <v>0</v>
      </c>
    </row>
    <row r="9" spans="2:43" x14ac:dyDescent="0.2">
      <c r="B9" s="40">
        <v>1</v>
      </c>
      <c r="C9" s="41" t="s">
        <v>79</v>
      </c>
      <c r="D9" s="42">
        <f t="shared" si="1"/>
        <v>0.19900000000000001</v>
      </c>
      <c r="E9" s="42"/>
      <c r="F9" s="43">
        <f t="shared" si="2"/>
        <v>0.19900000000000001</v>
      </c>
      <c r="G9" s="44"/>
      <c r="J9" s="50">
        <f ca="1"/>
        <v>41649</v>
      </c>
      <c r="K9" s="51">
        <f ca="1"/>
        <v>0.99986235077929497</v>
      </c>
      <c r="M9" s="52" t="s">
        <v>72</v>
      </c>
      <c r="N9" s="53">
        <v>21</v>
      </c>
      <c r="P9" s="31">
        <f t="shared" si="0"/>
        <v>0.19900000000000001</v>
      </c>
      <c r="R9" s="31">
        <f t="shared" si="3"/>
        <v>0.19900000000000001</v>
      </c>
      <c r="S9" s="31">
        <f t="shared" si="4"/>
        <v>0.19900000000000001</v>
      </c>
      <c r="T9">
        <v>1</v>
      </c>
      <c r="U9" t="s">
        <v>80</v>
      </c>
      <c r="V9">
        <f>_xll.RtGet($Z$4,$Z$6&amp;$U9&amp;$AA$6,V$2)</f>
        <v>0.17399999999999999</v>
      </c>
      <c r="W9">
        <f>_xll.RtGet($Z$4,$Z$6&amp;$U9&amp;$AA$6,W$2)</f>
        <v>0.224</v>
      </c>
      <c r="Y9" t="s">
        <v>132</v>
      </c>
      <c r="AC9" t="str">
        <f>_xll.xlShmInterpDisc($N$5,AH9)</f>
        <v>Curve (EONIA) is not present in shared memory.</v>
      </c>
      <c r="AD9" t="e">
        <f t="shared" si="5"/>
        <v>#VALUE!</v>
      </c>
      <c r="AE9" t="s">
        <v>118</v>
      </c>
      <c r="AF9" s="49">
        <v>39995</v>
      </c>
      <c r="AG9" t="s">
        <v>129</v>
      </c>
      <c r="AH9" s="49">
        <v>40016</v>
      </c>
      <c r="AI9" s="49" t="s">
        <v>133</v>
      </c>
      <c r="AJ9">
        <v>0.99967082325917</v>
      </c>
      <c r="AK9" s="49">
        <v>0.52247517379698105</v>
      </c>
      <c r="AN9">
        <v>0.52400000000000002</v>
      </c>
      <c r="AO9">
        <v>0</v>
      </c>
      <c r="AP9">
        <v>0</v>
      </c>
      <c r="AQ9">
        <v>0</v>
      </c>
    </row>
    <row r="10" spans="2:43" x14ac:dyDescent="0.2">
      <c r="B10" s="40">
        <v>2</v>
      </c>
      <c r="C10" s="41" t="s">
        <v>79</v>
      </c>
      <c r="D10" s="42">
        <f t="shared" si="1"/>
        <v>0.184</v>
      </c>
      <c r="E10" s="42"/>
      <c r="F10" s="43">
        <f t="shared" si="2"/>
        <v>0.184</v>
      </c>
      <c r="G10" s="44"/>
      <c r="J10" s="50">
        <f ca="1"/>
        <v>41659</v>
      </c>
      <c r="K10" s="51">
        <f ca="1"/>
        <v>0.99981700368283422</v>
      </c>
      <c r="M10" s="55" t="s">
        <v>74</v>
      </c>
      <c r="N10" s="53" t="s">
        <v>71</v>
      </c>
      <c r="P10" s="31">
        <f t="shared" si="0"/>
        <v>0.184</v>
      </c>
      <c r="R10" s="31">
        <f t="shared" si="3"/>
        <v>0.184</v>
      </c>
      <c r="S10" s="31">
        <f t="shared" si="4"/>
        <v>0.184</v>
      </c>
      <c r="T10">
        <v>2</v>
      </c>
      <c r="U10" t="s">
        <v>82</v>
      </c>
      <c r="V10">
        <f>_xll.RtGet($Z$4,$Z$6&amp;$U10&amp;$AA$6,V$2)</f>
        <v>0.159</v>
      </c>
      <c r="W10">
        <f>_xll.RtGet($Z$4,$Z$6&amp;$U10&amp;$AA$6,W$2)</f>
        <v>0.20899999999999999</v>
      </c>
      <c r="Y10" t="s">
        <v>134</v>
      </c>
      <c r="Z10" t="s">
        <v>65</v>
      </c>
      <c r="AC10" t="str">
        <f>_xll.xlShmInterpDisc($N$5,AH10)</f>
        <v>Curve (EONIA) is not present in shared memory.</v>
      </c>
      <c r="AD10" t="e">
        <f t="shared" si="5"/>
        <v>#VALUE!</v>
      </c>
      <c r="AE10" t="s">
        <v>118</v>
      </c>
      <c r="AF10" s="49">
        <v>39995</v>
      </c>
      <c r="AG10" t="s">
        <v>129</v>
      </c>
      <c r="AH10" s="49">
        <v>40028</v>
      </c>
      <c r="AI10" s="49" t="s">
        <v>80</v>
      </c>
      <c r="AJ10">
        <v>0.999475235766346</v>
      </c>
      <c r="AK10" s="49">
        <v>0.547397769412027</v>
      </c>
      <c r="AN10">
        <v>0.54700000000000004</v>
      </c>
      <c r="AO10">
        <v>0</v>
      </c>
      <c r="AP10">
        <v>0</v>
      </c>
      <c r="AQ10">
        <v>0</v>
      </c>
    </row>
    <row r="11" spans="2:43" x14ac:dyDescent="0.2">
      <c r="B11" s="40">
        <v>3</v>
      </c>
      <c r="C11" s="41" t="s">
        <v>79</v>
      </c>
      <c r="D11" s="42">
        <f t="shared" si="1"/>
        <v>0.17699999999999999</v>
      </c>
      <c r="E11" s="42"/>
      <c r="F11" s="43">
        <f t="shared" si="2"/>
        <v>0.17699999999999999</v>
      </c>
      <c r="G11" s="44"/>
      <c r="J11" s="50">
        <f ca="1"/>
        <v>41690</v>
      </c>
      <c r="K11" s="51">
        <f ca="1"/>
        <v>0.99967154862919416</v>
      </c>
      <c r="M11" s="55" t="s">
        <v>77</v>
      </c>
      <c r="N11" s="53" t="s">
        <v>78</v>
      </c>
      <c r="P11" s="31">
        <f t="shared" si="0"/>
        <v>0.17699999999999999</v>
      </c>
      <c r="R11" s="31">
        <f t="shared" si="3"/>
        <v>0.17699999999999999</v>
      </c>
      <c r="S11" s="31">
        <f t="shared" si="4"/>
        <v>0.17699999999999999</v>
      </c>
      <c r="T11">
        <v>3</v>
      </c>
      <c r="U11" t="s">
        <v>85</v>
      </c>
      <c r="V11">
        <f>_xll.RtGet($Z$4,$Z$6&amp;$U11&amp;$AA$6,V$2)</f>
        <v>0.152</v>
      </c>
      <c r="W11">
        <f>_xll.RtGet($Z$4,$Z$6&amp;$U11&amp;$AA$6,W$2)</f>
        <v>0.20200000000000001</v>
      </c>
      <c r="AC11" t="str">
        <f>_xll.xlShmInterpDisc($N$5,AH11)</f>
        <v>Curve (EONIA) is not present in shared memory.</v>
      </c>
      <c r="AD11" t="e">
        <f t="shared" si="5"/>
        <v>#VALUE!</v>
      </c>
      <c r="AE11" t="s">
        <v>118</v>
      </c>
      <c r="AF11" s="49">
        <v>39995</v>
      </c>
      <c r="AG11" t="s">
        <v>129</v>
      </c>
      <c r="AH11" s="49">
        <v>40057</v>
      </c>
      <c r="AI11" s="49" t="s">
        <v>82</v>
      </c>
      <c r="AJ11">
        <v>0.99896305228682902</v>
      </c>
      <c r="AK11" s="49">
        <v>0.591691072151594</v>
      </c>
      <c r="AN11">
        <v>0.58899999999999997</v>
      </c>
      <c r="AO11">
        <v>0</v>
      </c>
      <c r="AP11">
        <v>0</v>
      </c>
      <c r="AQ11">
        <v>0</v>
      </c>
    </row>
    <row r="12" spans="2:43" x14ac:dyDescent="0.2">
      <c r="B12" s="40">
        <v>4</v>
      </c>
      <c r="C12" s="41" t="s">
        <v>79</v>
      </c>
      <c r="D12" s="42">
        <f t="shared" si="1"/>
        <v>0.16999999999999998</v>
      </c>
      <c r="E12" s="42"/>
      <c r="F12" s="43">
        <f t="shared" si="2"/>
        <v>0.16999999999999998</v>
      </c>
      <c r="G12" s="44"/>
      <c r="J12" s="50">
        <f ca="1"/>
        <v>41718</v>
      </c>
      <c r="K12" s="51">
        <f ca="1"/>
        <v>0.99954603431530853</v>
      </c>
      <c r="M12" s="55" t="s">
        <v>81</v>
      </c>
      <c r="N12" s="53">
        <v>231</v>
      </c>
      <c r="P12" s="31">
        <f t="shared" si="0"/>
        <v>0.16999999999999998</v>
      </c>
      <c r="R12" s="31">
        <f t="shared" si="3"/>
        <v>0.16999999999999998</v>
      </c>
      <c r="S12" s="31">
        <f t="shared" si="4"/>
        <v>0.16999999999999998</v>
      </c>
      <c r="T12">
        <v>4</v>
      </c>
      <c r="U12" t="s">
        <v>135</v>
      </c>
      <c r="V12">
        <f>_xll.RtGet($Z$4,$Z$6&amp;$U12&amp;$AA$6,V$2)</f>
        <v>0.14499999999999999</v>
      </c>
      <c r="W12">
        <f>_xll.RtGet($Z$4,$Z$6&amp;$U12&amp;$AA$6,W$2)</f>
        <v>0.19500000000000001</v>
      </c>
      <c r="Y12" t="s">
        <v>136</v>
      </c>
      <c r="Z12" t="s">
        <v>137</v>
      </c>
      <c r="AC12" t="str">
        <f>_xll.xlShmInterpDisc($N$5,AH12)</f>
        <v>Curve (EONIA) is not present in shared memory.</v>
      </c>
      <c r="AD12" t="e">
        <f t="shared" si="5"/>
        <v>#VALUE!</v>
      </c>
      <c r="AE12" t="s">
        <v>118</v>
      </c>
      <c r="AF12" s="49">
        <v>39995</v>
      </c>
      <c r="AG12" t="s">
        <v>129</v>
      </c>
      <c r="AH12" s="49">
        <v>40087</v>
      </c>
      <c r="AI12" s="49" t="s">
        <v>85</v>
      </c>
      <c r="AJ12">
        <v>0.99838429914510995</v>
      </c>
      <c r="AK12" s="49">
        <v>0.62788057467422698</v>
      </c>
      <c r="AN12">
        <v>0.624</v>
      </c>
      <c r="AO12">
        <v>0</v>
      </c>
      <c r="AP12">
        <v>0</v>
      </c>
      <c r="AQ12">
        <v>0</v>
      </c>
    </row>
    <row r="13" spans="2:43" x14ac:dyDescent="0.2">
      <c r="B13" s="40">
        <v>5</v>
      </c>
      <c r="C13" s="41" t="s">
        <v>79</v>
      </c>
      <c r="D13" s="42">
        <f t="shared" si="1"/>
        <v>0.16500000000000001</v>
      </c>
      <c r="E13" s="42"/>
      <c r="F13" s="43">
        <f t="shared" si="2"/>
        <v>0.16500000000000001</v>
      </c>
      <c r="G13" s="44"/>
      <c r="J13" s="50">
        <f ca="1"/>
        <v>41751</v>
      </c>
      <c r="K13" s="51">
        <f ca="1"/>
        <v>0.9994078440460763</v>
      </c>
      <c r="M13" s="56" t="s">
        <v>83</v>
      </c>
      <c r="N13" s="53" t="s">
        <v>84</v>
      </c>
      <c r="P13" s="31">
        <f t="shared" si="0"/>
        <v>0.16500000000000001</v>
      </c>
      <c r="R13" s="31">
        <f t="shared" si="3"/>
        <v>0.16500000000000001</v>
      </c>
      <c r="S13" s="31">
        <f t="shared" si="4"/>
        <v>0.16500000000000001</v>
      </c>
      <c r="T13">
        <v>5</v>
      </c>
      <c r="U13" t="s">
        <v>138</v>
      </c>
      <c r="V13">
        <f>_xll.RtGet($Z$4,$Z$6&amp;$U13&amp;$AA$6,V$2)</f>
        <v>0.14000000000000001</v>
      </c>
      <c r="W13">
        <f>_xll.RtGet($Z$4,$Z$6&amp;$U13&amp;$AA$6,W$2)</f>
        <v>0.19</v>
      </c>
      <c r="Y13" t="s">
        <v>139</v>
      </c>
      <c r="AC13" t="str">
        <f>_xll.xlShmInterpDisc($N$5,AH13)</f>
        <v>Curve (EONIA) is not present in shared memory.</v>
      </c>
      <c r="AD13" t="e">
        <f t="shared" si="5"/>
        <v>#VALUE!</v>
      </c>
      <c r="AE13" t="s">
        <v>118</v>
      </c>
      <c r="AF13" s="49">
        <v>39995</v>
      </c>
      <c r="AG13" t="s">
        <v>129</v>
      </c>
      <c r="AH13" s="49">
        <v>40119</v>
      </c>
      <c r="AI13" s="49" t="s">
        <v>135</v>
      </c>
      <c r="AJ13">
        <v>0.99774255458804095</v>
      </c>
      <c r="AK13" s="49">
        <v>0.65468175272443596</v>
      </c>
      <c r="AN13">
        <v>0.65</v>
      </c>
      <c r="AO13">
        <v>0</v>
      </c>
      <c r="AP13">
        <v>0</v>
      </c>
      <c r="AQ13">
        <v>0</v>
      </c>
    </row>
    <row r="14" spans="2:43" x14ac:dyDescent="0.2">
      <c r="B14" s="40">
        <v>6</v>
      </c>
      <c r="C14" s="41" t="s">
        <v>79</v>
      </c>
      <c r="D14" s="42">
        <f t="shared" si="1"/>
        <v>0.161</v>
      </c>
      <c r="E14" s="42"/>
      <c r="F14" s="43">
        <f t="shared" si="2"/>
        <v>0.161</v>
      </c>
      <c r="G14" s="44"/>
      <c r="J14" s="50">
        <f ca="1"/>
        <v>41779</v>
      </c>
      <c r="K14" s="51">
        <f ca="1"/>
        <v>0.99929673681888631</v>
      </c>
      <c r="M14" s="56" t="s">
        <v>86</v>
      </c>
      <c r="N14" s="53" t="s">
        <v>140</v>
      </c>
      <c r="P14" s="31">
        <f t="shared" si="0"/>
        <v>0.161</v>
      </c>
      <c r="R14" s="31">
        <f t="shared" si="3"/>
        <v>0.161</v>
      </c>
      <c r="S14" s="31">
        <f t="shared" si="4"/>
        <v>0.161</v>
      </c>
      <c r="T14">
        <v>6</v>
      </c>
      <c r="U14" t="s">
        <v>87</v>
      </c>
      <c r="V14">
        <f>_xll.RtGet($Z$4,$Z$6&amp;$U14&amp;$AA$6,V$2)</f>
        <v>0.13600000000000001</v>
      </c>
      <c r="W14">
        <f>_xll.RtGet($Z$4,$Z$6&amp;$U14&amp;$AA$6,W$2)</f>
        <v>0.186</v>
      </c>
      <c r="AC14" t="str">
        <f>_xll.xlShmInterpDisc($N$5,AH14)</f>
        <v>Curve (EONIA) is not present in shared memory.</v>
      </c>
      <c r="AD14" t="e">
        <f t="shared" si="5"/>
        <v>#VALUE!</v>
      </c>
      <c r="AE14" t="s">
        <v>118</v>
      </c>
      <c r="AF14" s="49">
        <v>39995</v>
      </c>
      <c r="AG14" t="s">
        <v>129</v>
      </c>
      <c r="AH14" s="49">
        <v>40148</v>
      </c>
      <c r="AI14" s="49" t="s">
        <v>138</v>
      </c>
      <c r="AJ14">
        <v>0.99714126739894704</v>
      </c>
      <c r="AK14" s="49">
        <v>0.67414948538407404</v>
      </c>
      <c r="AN14">
        <v>0.66900000000000004</v>
      </c>
      <c r="AO14">
        <v>0</v>
      </c>
      <c r="AP14">
        <v>0</v>
      </c>
      <c r="AQ14">
        <v>0</v>
      </c>
    </row>
    <row r="15" spans="2:43" ht="13.5" customHeight="1" x14ac:dyDescent="0.2">
      <c r="B15" s="40">
        <v>7</v>
      </c>
      <c r="C15" s="41" t="s">
        <v>79</v>
      </c>
      <c r="D15" s="42">
        <f t="shared" si="1"/>
        <v>0.158</v>
      </c>
      <c r="E15" s="42"/>
      <c r="F15" s="43">
        <f t="shared" si="2"/>
        <v>0.158</v>
      </c>
      <c r="G15" s="44"/>
      <c r="J15" s="50">
        <f ca="1"/>
        <v>41810</v>
      </c>
      <c r="K15" s="51">
        <f ca="1"/>
        <v>0.99917506044601567</v>
      </c>
      <c r="M15" s="56" t="s">
        <v>88</v>
      </c>
      <c r="N15" s="53" t="s">
        <v>89</v>
      </c>
      <c r="P15" s="31">
        <f t="shared" si="0"/>
        <v>0.158</v>
      </c>
      <c r="R15" s="31">
        <f t="shared" si="3"/>
        <v>0.158</v>
      </c>
      <c r="S15" s="31">
        <f t="shared" si="4"/>
        <v>0.158</v>
      </c>
      <c r="T15">
        <v>7</v>
      </c>
      <c r="U15" t="s">
        <v>141</v>
      </c>
      <c r="V15">
        <f>_xll.RtGet($Z$4,$Z$6&amp;$U15&amp;$AA$6,V$2)</f>
        <v>0.13300000000000001</v>
      </c>
      <c r="W15">
        <f>_xll.RtGet($Z$4,$Z$6&amp;$U15&amp;$AA$6,W$2)</f>
        <v>0.183</v>
      </c>
      <c r="AC15" t="str">
        <f>_xll.xlShmInterpDisc($N$5,AH15)</f>
        <v>Curve (EONIA) is not present in shared memory.</v>
      </c>
      <c r="AD15" t="e">
        <f t="shared" si="5"/>
        <v>#VALUE!</v>
      </c>
      <c r="AE15" t="s">
        <v>118</v>
      </c>
      <c r="AF15" s="49">
        <v>39995</v>
      </c>
      <c r="AG15" t="s">
        <v>129</v>
      </c>
      <c r="AH15" s="49">
        <v>40182</v>
      </c>
      <c r="AI15" s="49" t="s">
        <v>87</v>
      </c>
      <c r="AJ15">
        <v>0.99639995007556503</v>
      </c>
      <c r="AK15" s="49">
        <v>0.69650221179812899</v>
      </c>
      <c r="AN15">
        <v>0.69099999999999995</v>
      </c>
      <c r="AO15">
        <v>0</v>
      </c>
      <c r="AP15">
        <v>0</v>
      </c>
      <c r="AQ15">
        <v>0</v>
      </c>
    </row>
    <row r="16" spans="2:43" x14ac:dyDescent="0.2">
      <c r="B16" s="40">
        <v>8</v>
      </c>
      <c r="C16" s="41" t="s">
        <v>79</v>
      </c>
      <c r="D16" s="42">
        <f t="shared" si="1"/>
        <v>0.156</v>
      </c>
      <c r="E16" s="42"/>
      <c r="F16" s="43">
        <f t="shared" si="2"/>
        <v>0.156</v>
      </c>
      <c r="G16" s="44"/>
      <c r="J16" s="50">
        <f ca="1"/>
        <v>41841</v>
      </c>
      <c r="K16" s="51">
        <f ca="1"/>
        <v>0.99905438409542779</v>
      </c>
      <c r="M16" s="56" t="s">
        <v>91</v>
      </c>
      <c r="N16" s="53">
        <v>5</v>
      </c>
      <c r="O16" t="b">
        <v>0</v>
      </c>
      <c r="P16" s="31">
        <f t="shared" si="0"/>
        <v>0.156</v>
      </c>
      <c r="R16" s="31">
        <f t="shared" si="3"/>
        <v>0.156</v>
      </c>
      <c r="S16" s="31">
        <f t="shared" si="4"/>
        <v>0.156</v>
      </c>
      <c r="T16">
        <v>8</v>
      </c>
      <c r="U16" t="s">
        <v>142</v>
      </c>
      <c r="V16">
        <f>_xll.RtGet($Z$4,$Z$6&amp;$U16&amp;$AA$6,V$2)</f>
        <v>0.13100000000000001</v>
      </c>
      <c r="W16">
        <f>_xll.RtGet($Z$4,$Z$6&amp;$U16&amp;$AA$6,W$2)</f>
        <v>0.18099999999999999</v>
      </c>
      <c r="AC16" t="str">
        <f>_xll.xlShmInterpDisc($N$5,AH16)</f>
        <v>Curve (EONIA) is not present in shared memory.</v>
      </c>
      <c r="AD16" t="e">
        <f t="shared" si="5"/>
        <v>#VALUE!</v>
      </c>
      <c r="AE16" t="s">
        <v>118</v>
      </c>
      <c r="AF16" s="49">
        <v>39995</v>
      </c>
      <c r="AG16" t="s">
        <v>129</v>
      </c>
      <c r="AH16" s="49">
        <v>40210</v>
      </c>
      <c r="AI16" s="49" t="s">
        <v>141</v>
      </c>
      <c r="AJ16">
        <v>0.995783724915699</v>
      </c>
      <c r="AK16" s="49">
        <v>0.710688411155734</v>
      </c>
      <c r="AL16" s="49"/>
      <c r="AN16">
        <v>0.70499999999999996</v>
      </c>
      <c r="AO16">
        <v>0</v>
      </c>
      <c r="AP16">
        <v>0</v>
      </c>
      <c r="AQ16">
        <v>0</v>
      </c>
    </row>
    <row r="17" spans="2:43" x14ac:dyDescent="0.2">
      <c r="B17" s="40">
        <v>9</v>
      </c>
      <c r="C17" s="41" t="s">
        <v>79</v>
      </c>
      <c r="D17" s="42">
        <f t="shared" si="1"/>
        <v>0.154</v>
      </c>
      <c r="E17" s="42"/>
      <c r="F17" s="43">
        <f t="shared" si="2"/>
        <v>0.154</v>
      </c>
      <c r="G17" s="44"/>
      <c r="J17" s="50">
        <f ca="1"/>
        <v>41871</v>
      </c>
      <c r="K17" s="51">
        <f ca="1"/>
        <v>0.99893645335011549</v>
      </c>
      <c r="M17" s="56" t="s">
        <v>143</v>
      </c>
      <c r="N17" s="53">
        <v>4</v>
      </c>
      <c r="O17" s="57">
        <v>0.45833333333333331</v>
      </c>
      <c r="P17" s="31">
        <f t="shared" si="0"/>
        <v>0.154</v>
      </c>
      <c r="R17" s="31">
        <f t="shared" si="3"/>
        <v>0.154</v>
      </c>
      <c r="S17" s="31">
        <f t="shared" si="4"/>
        <v>0.154</v>
      </c>
      <c r="T17">
        <v>9</v>
      </c>
      <c r="U17" t="s">
        <v>90</v>
      </c>
      <c r="V17">
        <f>_xll.RtGet($Z$4,$Z$6&amp;$U17&amp;$AA$6,V$2)</f>
        <v>0.129</v>
      </c>
      <c r="W17">
        <f>_xll.RtGet($Z$4,$Z$6&amp;$U17&amp;$AA$6,W$2)</f>
        <v>0.17899999999999999</v>
      </c>
      <c r="Y17" s="6"/>
      <c r="AC17" t="str">
        <f>_xll.xlShmInterpDisc($N$5,AH17)</f>
        <v>Curve (EONIA) is not present in shared memory.</v>
      </c>
      <c r="AD17" t="e">
        <f t="shared" si="5"/>
        <v>#VALUE!</v>
      </c>
      <c r="AE17" t="s">
        <v>118</v>
      </c>
      <c r="AF17" s="49">
        <v>39995</v>
      </c>
      <c r="AG17" t="s">
        <v>129</v>
      </c>
      <c r="AH17" s="49">
        <v>40238</v>
      </c>
      <c r="AI17" s="49" t="s">
        <v>142</v>
      </c>
      <c r="AJ17">
        <v>0.99513332420192002</v>
      </c>
      <c r="AK17" s="49">
        <v>0.72680537517475297</v>
      </c>
      <c r="AL17" s="49"/>
      <c r="AN17">
        <v>0.72099999999999997</v>
      </c>
      <c r="AO17">
        <v>0</v>
      </c>
      <c r="AP17">
        <v>0</v>
      </c>
      <c r="AQ17">
        <v>0</v>
      </c>
    </row>
    <row r="18" spans="2:43" x14ac:dyDescent="0.2">
      <c r="B18" s="40">
        <v>10</v>
      </c>
      <c r="C18" s="41" t="s">
        <v>79</v>
      </c>
      <c r="D18" s="42">
        <f t="shared" si="1"/>
        <v>0.153</v>
      </c>
      <c r="E18" s="42"/>
      <c r="F18" s="43">
        <f t="shared" si="2"/>
        <v>0.153</v>
      </c>
      <c r="G18" s="44"/>
      <c r="J18" s="50">
        <f ca="1"/>
        <v>41904</v>
      </c>
      <c r="K18" s="51">
        <f ca="1"/>
        <v>0.99880907285680676</v>
      </c>
      <c r="M18" s="56" t="s">
        <v>144</v>
      </c>
      <c r="N18" s="58">
        <f>IF(O16,P2,0)</f>
        <v>0</v>
      </c>
      <c r="O18" s="57">
        <f ca="1">NOW()-TODAY()</f>
        <v>0.46689722222072305</v>
      </c>
      <c r="P18" s="31">
        <f t="shared" si="0"/>
        <v>0.153</v>
      </c>
      <c r="R18" s="31">
        <f t="shared" si="3"/>
        <v>0.153</v>
      </c>
      <c r="S18" s="31">
        <f t="shared" si="4"/>
        <v>0.153</v>
      </c>
      <c r="T18">
        <v>10</v>
      </c>
      <c r="U18" t="s">
        <v>145</v>
      </c>
      <c r="V18">
        <f>_xll.RtGet($Z$4,$Z$6&amp;$U18&amp;$AA$6,V$2)</f>
        <v>0.128</v>
      </c>
      <c r="W18">
        <f>_xll.RtGet($Z$4,$Z$6&amp;$U18&amp;$AA$6,W$2)</f>
        <v>0.17799999999999999</v>
      </c>
      <c r="AC18" t="str">
        <f>_xll.xlShmInterpDisc($N$5,AH18)</f>
        <v>Curve (EONIA) is not present in shared memory.</v>
      </c>
      <c r="AD18" t="e">
        <f t="shared" si="5"/>
        <v>#VALUE!</v>
      </c>
      <c r="AE18" t="s">
        <v>118</v>
      </c>
      <c r="AF18" s="49">
        <v>39995</v>
      </c>
      <c r="AG18" t="s">
        <v>129</v>
      </c>
      <c r="AH18" s="49">
        <v>40269</v>
      </c>
      <c r="AI18" s="49" t="s">
        <v>90</v>
      </c>
      <c r="AJ18">
        <v>0.99436831772357104</v>
      </c>
      <c r="AK18" s="49">
        <v>0.74687463640437002</v>
      </c>
      <c r="AL18" s="49"/>
      <c r="AN18">
        <v>0.74099999999999999</v>
      </c>
      <c r="AO18">
        <v>0</v>
      </c>
      <c r="AP18">
        <v>0</v>
      </c>
      <c r="AQ18">
        <v>0</v>
      </c>
    </row>
    <row r="19" spans="2:43" ht="13.5" thickBot="1" x14ac:dyDescent="0.25">
      <c r="B19" s="40">
        <v>11</v>
      </c>
      <c r="C19" s="41" t="s">
        <v>79</v>
      </c>
      <c r="D19" s="42">
        <f t="shared" si="1"/>
        <v>0.152</v>
      </c>
      <c r="E19" s="42"/>
      <c r="F19" s="43">
        <f t="shared" si="2"/>
        <v>0.152</v>
      </c>
      <c r="G19" s="44"/>
      <c r="J19" s="50">
        <f ca="1"/>
        <v>41932</v>
      </c>
      <c r="K19" s="51">
        <f ca="1"/>
        <v>0.9986980155993388</v>
      </c>
      <c r="M19" s="59" t="s">
        <v>146</v>
      </c>
      <c r="N19" s="60">
        <f>D42</f>
        <v>1.9380000000000002</v>
      </c>
      <c r="O19" s="57"/>
      <c r="P19" s="31">
        <f t="shared" si="0"/>
        <v>0.152</v>
      </c>
      <c r="R19" s="31">
        <f t="shared" si="3"/>
        <v>0.152</v>
      </c>
      <c r="S19" s="31">
        <f t="shared" si="4"/>
        <v>0.152</v>
      </c>
      <c r="T19">
        <v>11</v>
      </c>
      <c r="U19" t="s">
        <v>147</v>
      </c>
      <c r="V19">
        <f>_xll.RtGet($Z$4,$Z$6&amp;$U19&amp;$AA$6,V$2)</f>
        <v>0.127</v>
      </c>
      <c r="W19">
        <f>_xll.RtGet($Z$4,$Z$6&amp;$U19&amp;$AA$6,W$2)</f>
        <v>0.17699999999999999</v>
      </c>
      <c r="AC19" t="str">
        <f>_xll.xlShmInterpDisc($N$5,AH19)</f>
        <v>Curve (EONIA) is not present in shared memory.</v>
      </c>
      <c r="AD19" t="e">
        <f t="shared" si="5"/>
        <v>#VALUE!</v>
      </c>
      <c r="AE19" t="s">
        <v>118</v>
      </c>
      <c r="AF19" s="49">
        <v>39995</v>
      </c>
      <c r="AG19" t="s">
        <v>129</v>
      </c>
      <c r="AH19" s="49">
        <v>40301</v>
      </c>
      <c r="AI19" s="49" t="s">
        <v>145</v>
      </c>
      <c r="AJ19">
        <v>0.99354122280735602</v>
      </c>
      <c r="AK19" s="49">
        <v>0.76788952932355303</v>
      </c>
      <c r="AL19" s="49"/>
      <c r="AN19">
        <v>0.76200000000000001</v>
      </c>
      <c r="AO19">
        <v>0</v>
      </c>
      <c r="AP19">
        <v>0</v>
      </c>
      <c r="AQ19">
        <v>0</v>
      </c>
    </row>
    <row r="20" spans="2:43" x14ac:dyDescent="0.2">
      <c r="B20" s="40">
        <v>12</v>
      </c>
      <c r="C20" s="41" t="s">
        <v>79</v>
      </c>
      <c r="D20" s="42">
        <f t="shared" si="1"/>
        <v>0.151</v>
      </c>
      <c r="E20" s="42"/>
      <c r="F20" s="43">
        <f t="shared" si="2"/>
        <v>0.151</v>
      </c>
      <c r="G20" s="44"/>
      <c r="J20" s="50">
        <f ca="1"/>
        <v>41963</v>
      </c>
      <c r="K20" s="51">
        <f ca="1"/>
        <v>0.99857590329671897</v>
      </c>
      <c r="M20" s="61"/>
      <c r="N20" s="62"/>
      <c r="O20" s="63"/>
      <c r="P20" s="31">
        <f t="shared" si="0"/>
        <v>0.151</v>
      </c>
      <c r="R20" s="31">
        <f t="shared" si="3"/>
        <v>0.151</v>
      </c>
      <c r="S20" s="31">
        <f t="shared" si="4"/>
        <v>0.151</v>
      </c>
      <c r="T20">
        <v>12</v>
      </c>
      <c r="U20" t="s">
        <v>148</v>
      </c>
      <c r="V20">
        <f t="array" ref="V20:V32">_xll.xlInterpLinear(X28:X32,Z28:Z32,T20:T32)</f>
        <v>0.11600000000000001</v>
      </c>
      <c r="W20">
        <f t="array" ref="W20:W32">_xll.xlInterpLinear(X28:X32,AA28:AA32,T20:T32)</f>
        <v>0.186</v>
      </c>
      <c r="AC20" t="str">
        <f>_xll.xlShmInterpDisc($N$5,AH20)</f>
        <v>Curve (EONIA) is not present in shared memory.</v>
      </c>
      <c r="AD20" t="e">
        <f t="shared" si="5"/>
        <v>#VALUE!</v>
      </c>
      <c r="AE20" t="s">
        <v>118</v>
      </c>
      <c r="AF20" s="49">
        <v>39995</v>
      </c>
      <c r="AG20" t="s">
        <v>129</v>
      </c>
      <c r="AH20" s="49">
        <v>40330</v>
      </c>
      <c r="AI20" s="49" t="s">
        <v>147</v>
      </c>
      <c r="AJ20">
        <v>0.99271550266837905</v>
      </c>
      <c r="AK20" s="49">
        <v>0.79186141732258397</v>
      </c>
      <c r="AL20" s="64"/>
      <c r="AN20">
        <v>0.78600000000000003</v>
      </c>
      <c r="AO20">
        <v>0</v>
      </c>
      <c r="AP20">
        <v>0</v>
      </c>
      <c r="AQ20">
        <v>0</v>
      </c>
    </row>
    <row r="21" spans="2:43" x14ac:dyDescent="0.2">
      <c r="B21" s="40">
        <v>13</v>
      </c>
      <c r="C21" s="41" t="s">
        <v>100</v>
      </c>
      <c r="D21" s="42">
        <f t="shared" si="1"/>
        <v>0.151</v>
      </c>
      <c r="E21" s="42"/>
      <c r="F21" s="43">
        <f t="shared" si="2"/>
        <v>0.151</v>
      </c>
      <c r="G21" s="44"/>
      <c r="J21" s="50">
        <f ca="1"/>
        <v>41995</v>
      </c>
      <c r="K21" s="51">
        <f ca="1"/>
        <v>0.99845135624635128</v>
      </c>
      <c r="M21" s="61"/>
      <c r="N21" s="65"/>
      <c r="O21" s="63"/>
      <c r="P21" s="31">
        <f t="shared" si="0"/>
        <v>0.151</v>
      </c>
      <c r="R21" s="31">
        <f t="shared" si="3"/>
        <v>0.151</v>
      </c>
      <c r="S21" s="31">
        <f t="shared" si="4"/>
        <v>0.151</v>
      </c>
      <c r="T21">
        <v>13</v>
      </c>
      <c r="U21" t="s">
        <v>149</v>
      </c>
      <c r="V21" s="66">
        <v>0.11933333333333333</v>
      </c>
      <c r="W21" s="66">
        <v>0.18266666666666667</v>
      </c>
      <c r="AC21" t="str">
        <f>_xll.xlShmInterpDisc($N$5,AH21)</f>
        <v>Curve (EONIA) is not present in shared memory.</v>
      </c>
      <c r="AD21" t="e">
        <f t="shared" si="5"/>
        <v>#VALUE!</v>
      </c>
      <c r="AE21" t="s">
        <v>118</v>
      </c>
      <c r="AF21" s="49">
        <v>39995</v>
      </c>
      <c r="AG21" t="s">
        <v>129</v>
      </c>
      <c r="AH21" s="49">
        <v>40360</v>
      </c>
      <c r="AI21" s="49" t="s">
        <v>148</v>
      </c>
      <c r="AJ21">
        <v>0.991811029504024</v>
      </c>
      <c r="AK21" s="49">
        <v>0.81778740277726503</v>
      </c>
      <c r="AL21" s="64"/>
      <c r="AN21">
        <v>0.81200000000000006</v>
      </c>
      <c r="AO21">
        <v>0</v>
      </c>
      <c r="AP21">
        <v>0</v>
      </c>
      <c r="AQ21">
        <v>0</v>
      </c>
    </row>
    <row r="22" spans="2:43" x14ac:dyDescent="0.2">
      <c r="B22" s="40">
        <v>14</v>
      </c>
      <c r="C22" s="41" t="s">
        <v>100</v>
      </c>
      <c r="D22" s="42">
        <f t="shared" si="1"/>
        <v>0.151</v>
      </c>
      <c r="E22" s="42"/>
      <c r="F22" s="43">
        <f t="shared" si="2"/>
        <v>0.151</v>
      </c>
      <c r="G22" s="44"/>
      <c r="J22" s="50">
        <f ca="1"/>
        <v>42024</v>
      </c>
      <c r="K22" s="51">
        <f ca="1"/>
        <v>0.99832991408524174</v>
      </c>
      <c r="M22" s="61"/>
      <c r="N22" s="65"/>
      <c r="O22" s="63"/>
      <c r="P22" s="31">
        <f t="shared" si="0"/>
        <v>0.151</v>
      </c>
      <c r="R22" s="31">
        <f t="shared" si="3"/>
        <v>0.151</v>
      </c>
      <c r="S22" s="31">
        <f t="shared" si="4"/>
        <v>0.151</v>
      </c>
      <c r="T22">
        <v>14</v>
      </c>
      <c r="U22" t="s">
        <v>150</v>
      </c>
      <c r="V22" s="66">
        <v>0.12266666666666667</v>
      </c>
      <c r="W22" s="66">
        <v>0.17933333333333332</v>
      </c>
      <c r="AC22" t="str">
        <f>_xll.xlShmInterpDisc($N$5,AH22)</f>
        <v>Curve (EONIA) is not present in shared memory.</v>
      </c>
      <c r="AD22" t="e">
        <f t="shared" si="5"/>
        <v>#VALUE!</v>
      </c>
      <c r="AE22" t="s">
        <v>118</v>
      </c>
      <c r="AF22" s="49">
        <v>39995</v>
      </c>
      <c r="AG22" t="s">
        <v>129</v>
      </c>
      <c r="AH22" s="49">
        <v>40392</v>
      </c>
      <c r="AI22" s="49" t="s">
        <v>149</v>
      </c>
      <c r="AJ22">
        <v>0.990695513259506</v>
      </c>
      <c r="AK22" s="49">
        <v>0.855146870646733</v>
      </c>
      <c r="AL22" s="64" t="s">
        <v>151</v>
      </c>
      <c r="AN22">
        <v>0.84886956521739199</v>
      </c>
      <c r="AO22">
        <v>0</v>
      </c>
      <c r="AP22">
        <v>0</v>
      </c>
      <c r="AQ22">
        <v>0</v>
      </c>
    </row>
    <row r="23" spans="2:43" x14ac:dyDescent="0.2">
      <c r="B23" s="40">
        <v>15</v>
      </c>
      <c r="C23" s="41" t="s">
        <v>100</v>
      </c>
      <c r="D23" s="42">
        <f t="shared" si="1"/>
        <v>0.151</v>
      </c>
      <c r="E23" s="42"/>
      <c r="F23" s="43">
        <f t="shared" si="2"/>
        <v>0.151</v>
      </c>
      <c r="G23" s="44"/>
      <c r="J23" s="50">
        <f ca="1"/>
        <v>42055</v>
      </c>
      <c r="K23" s="51">
        <f ca="1"/>
        <v>0.99820014659888012</v>
      </c>
      <c r="M23" s="61"/>
      <c r="N23" s="67"/>
      <c r="O23" s="63"/>
      <c r="P23" s="31">
        <f t="shared" si="0"/>
        <v>0.151</v>
      </c>
      <c r="R23" s="31">
        <f t="shared" si="3"/>
        <v>0.151</v>
      </c>
      <c r="S23" s="31">
        <f t="shared" si="4"/>
        <v>0.151</v>
      </c>
      <c r="T23">
        <v>15</v>
      </c>
      <c r="U23" t="s">
        <v>152</v>
      </c>
      <c r="V23" s="68">
        <v>0.126</v>
      </c>
      <c r="W23" s="68">
        <v>0.17599999999999999</v>
      </c>
      <c r="AC23" t="str">
        <f>_xll.xlShmInterpDisc($N$5,AH23)</f>
        <v>Curve (EONIA) is not present in shared memory.</v>
      </c>
      <c r="AD23" t="e">
        <f t="shared" si="5"/>
        <v>#VALUE!</v>
      </c>
      <c r="AE23" t="s">
        <v>118</v>
      </c>
      <c r="AF23" s="49">
        <v>39995</v>
      </c>
      <c r="AG23" t="s">
        <v>129</v>
      </c>
      <c r="AH23" s="49">
        <v>40422</v>
      </c>
      <c r="AI23" s="49" t="s">
        <v>150</v>
      </c>
      <c r="AJ23">
        <v>0.98959266784176803</v>
      </c>
      <c r="AK23" s="49">
        <v>0.890112239769695</v>
      </c>
      <c r="AL23" s="64" t="s">
        <v>151</v>
      </c>
      <c r="AN23">
        <v>0.88343478260869401</v>
      </c>
      <c r="AO23">
        <v>0</v>
      </c>
      <c r="AP23">
        <v>0</v>
      </c>
      <c r="AQ23">
        <v>0</v>
      </c>
    </row>
    <row r="24" spans="2:43" x14ac:dyDescent="0.2">
      <c r="B24" s="40">
        <v>16</v>
      </c>
      <c r="C24" s="41" t="s">
        <v>100</v>
      </c>
      <c r="D24" s="42">
        <f t="shared" si="1"/>
        <v>0.153</v>
      </c>
      <c r="E24" s="42"/>
      <c r="F24" s="43">
        <f t="shared" si="2"/>
        <v>0.153</v>
      </c>
      <c r="G24" s="44"/>
      <c r="J24" s="50">
        <f ca="1"/>
        <v>42083</v>
      </c>
      <c r="K24" s="51">
        <f ca="1"/>
        <v>0.99808296750880987</v>
      </c>
      <c r="M24" s="189"/>
      <c r="N24" s="189"/>
      <c r="O24" s="63"/>
      <c r="P24" s="31">
        <f t="shared" si="0"/>
        <v>0.153</v>
      </c>
      <c r="R24" s="31">
        <f t="shared" si="3"/>
        <v>0.153</v>
      </c>
      <c r="S24" s="31">
        <f t="shared" si="4"/>
        <v>0.153</v>
      </c>
      <c r="T24">
        <v>16</v>
      </c>
      <c r="U24" t="s">
        <v>153</v>
      </c>
      <c r="V24" s="66">
        <v>0.128</v>
      </c>
      <c r="W24" s="66">
        <v>0.17799999999999999</v>
      </c>
      <c r="AC24" t="str">
        <f>_xll.xlShmInterpDisc($N$5,AH24)</f>
        <v>Curve (EONIA) is not present in shared memory.</v>
      </c>
      <c r="AD24" t="e">
        <f t="shared" si="5"/>
        <v>#VALUE!</v>
      </c>
      <c r="AE24" t="s">
        <v>118</v>
      </c>
      <c r="AF24" s="49">
        <v>39995</v>
      </c>
      <c r="AG24" t="s">
        <v>129</v>
      </c>
      <c r="AH24" s="49">
        <v>40452</v>
      </c>
      <c r="AI24" s="49" t="s">
        <v>152</v>
      </c>
      <c r="AJ24">
        <v>0.98843432724089098</v>
      </c>
      <c r="AK24" s="49">
        <v>0.92507026301327</v>
      </c>
      <c r="AL24" s="64"/>
      <c r="AN24">
        <v>0.91800000000000004</v>
      </c>
      <c r="AO24">
        <v>0</v>
      </c>
      <c r="AP24">
        <v>0</v>
      </c>
      <c r="AQ24">
        <v>0</v>
      </c>
    </row>
    <row r="25" spans="2:43" x14ac:dyDescent="0.2">
      <c r="B25" s="40">
        <v>17</v>
      </c>
      <c r="C25" s="41" t="s">
        <v>100</v>
      </c>
      <c r="D25" s="42">
        <f t="shared" si="1"/>
        <v>0.155</v>
      </c>
      <c r="E25" s="42"/>
      <c r="F25" s="43">
        <f t="shared" si="2"/>
        <v>0.155</v>
      </c>
      <c r="G25" s="44"/>
      <c r="J25" s="50">
        <f ca="1"/>
        <v>42114</v>
      </c>
      <c r="K25" s="51">
        <f ca="1"/>
        <v>0.99792634212071119</v>
      </c>
      <c r="M25" s="61"/>
      <c r="N25" s="61"/>
      <c r="O25" s="63"/>
      <c r="P25" s="31">
        <f t="shared" si="0"/>
        <v>0.155</v>
      </c>
      <c r="R25" s="31">
        <f t="shared" si="3"/>
        <v>0.155</v>
      </c>
      <c r="S25" s="31">
        <f t="shared" si="4"/>
        <v>0.155</v>
      </c>
      <c r="T25">
        <v>17</v>
      </c>
      <c r="U25" t="s">
        <v>154</v>
      </c>
      <c r="V25" s="66">
        <v>0.13</v>
      </c>
      <c r="W25" s="66">
        <v>0.18</v>
      </c>
      <c r="AC25" t="str">
        <f>_xll.xlShmInterpDisc($N$5,AH25)</f>
        <v>Curve (EONIA) is not present in shared memory.</v>
      </c>
      <c r="AD25" t="e">
        <f t="shared" si="5"/>
        <v>#VALUE!</v>
      </c>
      <c r="AE25" t="s">
        <v>118</v>
      </c>
      <c r="AF25" s="49">
        <v>39995</v>
      </c>
      <c r="AG25" t="s">
        <v>129</v>
      </c>
      <c r="AH25" s="49">
        <v>40483</v>
      </c>
      <c r="AI25" s="49" t="s">
        <v>153</v>
      </c>
      <c r="AJ25">
        <v>0.98708856799877398</v>
      </c>
      <c r="AK25" s="49">
        <v>0.96803281539175101</v>
      </c>
      <c r="AL25" s="64" t="s">
        <v>151</v>
      </c>
      <c r="AN25">
        <v>0.96054255319150095</v>
      </c>
      <c r="AO25">
        <v>0</v>
      </c>
      <c r="AP25">
        <v>0</v>
      </c>
      <c r="AQ25">
        <v>0</v>
      </c>
    </row>
    <row r="26" spans="2:43" x14ac:dyDescent="0.2">
      <c r="B26" s="40">
        <v>18</v>
      </c>
      <c r="C26" s="41" t="s">
        <v>100</v>
      </c>
      <c r="D26" s="42">
        <f t="shared" si="1"/>
        <v>0.157</v>
      </c>
      <c r="E26" s="42"/>
      <c r="F26" s="43">
        <f t="shared" si="2"/>
        <v>0.157</v>
      </c>
      <c r="G26" s="44"/>
      <c r="J26" s="50">
        <f ca="1"/>
        <v>42144</v>
      </c>
      <c r="K26" s="51">
        <f ca="1"/>
        <v>0.99777062750836709</v>
      </c>
      <c r="M26" s="69"/>
      <c r="N26" s="70"/>
      <c r="O26" s="63"/>
      <c r="P26" s="31">
        <f t="shared" si="0"/>
        <v>0.157</v>
      </c>
      <c r="R26" s="31">
        <f t="shared" si="3"/>
        <v>0.157</v>
      </c>
      <c r="S26" s="31">
        <f t="shared" si="4"/>
        <v>0.157</v>
      </c>
      <c r="T26">
        <v>18</v>
      </c>
      <c r="U26" t="s">
        <v>155</v>
      </c>
      <c r="V26" s="68">
        <v>0.13200000000000001</v>
      </c>
      <c r="W26" s="68">
        <v>0.182</v>
      </c>
      <c r="AC26" t="str">
        <f>_xll.xlShmInterpDisc($N$5,AH26)</f>
        <v>Curve (EONIA) is not present in shared memory.</v>
      </c>
      <c r="AD26" t="e">
        <f t="shared" si="5"/>
        <v>#VALUE!</v>
      </c>
      <c r="AE26" t="s">
        <v>118</v>
      </c>
      <c r="AF26" s="49">
        <v>39995</v>
      </c>
      <c r="AG26" t="s">
        <v>129</v>
      </c>
      <c r="AH26" s="49">
        <v>40513</v>
      </c>
      <c r="AI26" s="49" t="s">
        <v>154</v>
      </c>
      <c r="AJ26">
        <v>0.98572005677916896</v>
      </c>
      <c r="AK26" s="49">
        <v>1.0095677327411301</v>
      </c>
      <c r="AL26" s="64" t="s">
        <v>151</v>
      </c>
      <c r="AN26">
        <v>1.0017127659574501</v>
      </c>
      <c r="AO26">
        <v>0</v>
      </c>
      <c r="AP26">
        <v>0</v>
      </c>
      <c r="AQ26">
        <v>0</v>
      </c>
    </row>
    <row r="27" spans="2:43" x14ac:dyDescent="0.2">
      <c r="B27" s="40">
        <v>19</v>
      </c>
      <c r="C27" s="41" t="s">
        <v>100</v>
      </c>
      <c r="D27" s="42">
        <f t="shared" si="1"/>
        <v>0.161</v>
      </c>
      <c r="E27" s="42"/>
      <c r="F27" s="43">
        <f t="shared" si="2"/>
        <v>0.161</v>
      </c>
      <c r="G27" s="44"/>
      <c r="J27" s="50">
        <f ca="1"/>
        <v>42177</v>
      </c>
      <c r="K27" s="51">
        <f ca="1"/>
        <v>0.99759858174497229</v>
      </c>
      <c r="M27" s="69"/>
      <c r="N27" s="70"/>
      <c r="O27" s="63"/>
      <c r="P27" s="31">
        <f t="shared" si="0"/>
        <v>0.161</v>
      </c>
      <c r="R27" s="31">
        <f t="shared" si="3"/>
        <v>0.161</v>
      </c>
      <c r="S27" s="31">
        <f t="shared" si="4"/>
        <v>0.161</v>
      </c>
      <c r="T27">
        <v>19</v>
      </c>
      <c r="U27" t="s">
        <v>156</v>
      </c>
      <c r="V27" s="66">
        <v>0.13600000000000001</v>
      </c>
      <c r="W27" s="66">
        <v>0.186</v>
      </c>
      <c r="AC27" t="str">
        <f>_xll.xlShmInterpDisc($N$5,AH27)</f>
        <v>Curve (EONIA) is not present in shared memory.</v>
      </c>
      <c r="AD27" t="e">
        <f t="shared" si="5"/>
        <v>#VALUE!</v>
      </c>
      <c r="AE27" t="s">
        <v>118</v>
      </c>
      <c r="AF27" s="49">
        <v>39995</v>
      </c>
      <c r="AG27" t="s">
        <v>129</v>
      </c>
      <c r="AH27" s="49">
        <v>40546</v>
      </c>
      <c r="AI27" s="49" t="s">
        <v>155</v>
      </c>
      <c r="AJ27">
        <v>0.98413896204711304</v>
      </c>
      <c r="AK27" s="49">
        <v>1.05527706388965</v>
      </c>
      <c r="AL27" s="64"/>
      <c r="AN27">
        <v>1.0469999999999999</v>
      </c>
      <c r="AO27">
        <v>0</v>
      </c>
      <c r="AP27">
        <v>0</v>
      </c>
      <c r="AQ27">
        <v>0</v>
      </c>
    </row>
    <row r="28" spans="2:43" x14ac:dyDescent="0.2">
      <c r="B28" s="40">
        <v>20</v>
      </c>
      <c r="C28" s="41" t="s">
        <v>100</v>
      </c>
      <c r="D28" s="42">
        <f t="shared" si="1"/>
        <v>0.16499999999999998</v>
      </c>
      <c r="E28" s="42"/>
      <c r="F28" s="43">
        <f t="shared" si="2"/>
        <v>0.16499999999999998</v>
      </c>
      <c r="G28" s="44"/>
      <c r="J28" s="50">
        <f ca="1"/>
        <v>42205</v>
      </c>
      <c r="K28" s="51">
        <f ca="1"/>
        <v>0.99741297338310619</v>
      </c>
      <c r="M28" s="69"/>
      <c r="N28" s="70"/>
      <c r="O28" s="63"/>
      <c r="P28" s="31">
        <f t="shared" si="0"/>
        <v>0.16499999999999998</v>
      </c>
      <c r="R28" s="31">
        <f t="shared" si="3"/>
        <v>0.16499999999999998</v>
      </c>
      <c r="S28" s="31">
        <f t="shared" si="4"/>
        <v>0.16499999999999998</v>
      </c>
      <c r="T28">
        <v>20</v>
      </c>
      <c r="U28" t="s">
        <v>157</v>
      </c>
      <c r="V28" s="66">
        <v>0.13999999999999999</v>
      </c>
      <c r="W28" s="66">
        <v>0.19</v>
      </c>
      <c r="X28">
        <v>12</v>
      </c>
      <c r="Y28" t="s">
        <v>148</v>
      </c>
      <c r="Z28">
        <f>_xll.RtGet($Z$4,$Z$6&amp;$Y28&amp;$AA$6,V$2)</f>
        <v>0.11600000000000001</v>
      </c>
      <c r="AA28">
        <f>_xll.RtGet($Z$4,$Z$6&amp;$Y28&amp;$AA$6,W$2)</f>
        <v>0.186</v>
      </c>
      <c r="AC28" t="str">
        <f>_xll.xlShmInterpDisc($N$5,AH28)</f>
        <v>Curve (EONIA) is not present in shared memory.</v>
      </c>
      <c r="AD28" t="e">
        <f t="shared" si="5"/>
        <v>#VALUE!</v>
      </c>
      <c r="AE28" t="s">
        <v>118</v>
      </c>
      <c r="AF28" s="49">
        <v>39995</v>
      </c>
      <c r="AG28" t="s">
        <v>129</v>
      </c>
      <c r="AH28" s="49">
        <v>40575</v>
      </c>
      <c r="AI28" s="49" t="s">
        <v>156</v>
      </c>
      <c r="AJ28">
        <v>0.98262158277651401</v>
      </c>
      <c r="AK28" s="49">
        <v>1.0994649486963699</v>
      </c>
      <c r="AL28" t="s">
        <v>151</v>
      </c>
      <c r="AN28">
        <v>1.09082954545454</v>
      </c>
      <c r="AO28">
        <v>0</v>
      </c>
      <c r="AP28">
        <v>0</v>
      </c>
      <c r="AQ28">
        <v>0</v>
      </c>
    </row>
    <row r="29" spans="2:43" x14ac:dyDescent="0.2">
      <c r="B29" s="40">
        <v>21</v>
      </c>
      <c r="C29" s="41" t="s">
        <v>100</v>
      </c>
      <c r="D29" s="42">
        <f t="shared" si="1"/>
        <v>0.16899999999999998</v>
      </c>
      <c r="E29" s="42"/>
      <c r="F29" s="43">
        <f t="shared" si="2"/>
        <v>0.16899999999999998</v>
      </c>
      <c r="G29" s="44"/>
      <c r="J29" s="50">
        <f ca="1"/>
        <v>42236</v>
      </c>
      <c r="K29" s="51">
        <f ca="1"/>
        <v>0.99720752287543069</v>
      </c>
      <c r="M29" s="69"/>
      <c r="N29" s="70"/>
      <c r="O29" s="63"/>
      <c r="P29" s="31">
        <f t="shared" si="0"/>
        <v>0.16899999999999998</v>
      </c>
      <c r="R29" s="31">
        <f t="shared" si="3"/>
        <v>0.16899999999999998</v>
      </c>
      <c r="S29" s="31">
        <f t="shared" si="4"/>
        <v>0.16899999999999998</v>
      </c>
      <c r="T29">
        <v>21</v>
      </c>
      <c r="U29" t="s">
        <v>158</v>
      </c>
      <c r="V29" s="68">
        <v>0.14399999999999999</v>
      </c>
      <c r="W29" s="68">
        <v>0.19400000000000001</v>
      </c>
      <c r="X29">
        <v>15</v>
      </c>
      <c r="Y29" t="s">
        <v>152</v>
      </c>
      <c r="Z29">
        <f>_xll.RtGet($Z$4,$Z$6&amp;$Y29&amp;$AA$6,V$2)</f>
        <v>0.126</v>
      </c>
      <c r="AA29">
        <f>_xll.RtGet($Z$4,$Z$6&amp;$Y29&amp;$AA$6,W$2)</f>
        <v>0.17599999999999999</v>
      </c>
      <c r="AC29" t="str">
        <f>_xll.xlShmInterpDisc($N$5,AH29)</f>
        <v>Curve (EONIA) is not present in shared memory.</v>
      </c>
      <c r="AD29" t="e">
        <f t="shared" si="5"/>
        <v>#VALUE!</v>
      </c>
      <c r="AE29" t="s">
        <v>118</v>
      </c>
      <c r="AF29" s="49">
        <v>39995</v>
      </c>
      <c r="AG29" t="s">
        <v>129</v>
      </c>
      <c r="AH29" s="49">
        <v>40603</v>
      </c>
      <c r="AI29" s="49" t="s">
        <v>157</v>
      </c>
      <c r="AJ29">
        <v>0.98109322449561098</v>
      </c>
      <c r="AK29" s="49">
        <v>1.14213848552817</v>
      </c>
      <c r="AL29" t="s">
        <v>151</v>
      </c>
      <c r="AN29">
        <v>1.1331477272727299</v>
      </c>
      <c r="AO29">
        <v>0</v>
      </c>
      <c r="AP29">
        <v>0</v>
      </c>
      <c r="AQ29">
        <v>0</v>
      </c>
    </row>
    <row r="30" spans="2:43" x14ac:dyDescent="0.2">
      <c r="B30" s="40">
        <v>22</v>
      </c>
      <c r="C30" s="41" t="s">
        <v>100</v>
      </c>
      <c r="D30" s="42">
        <f t="shared" si="1"/>
        <v>0.17499999999999999</v>
      </c>
      <c r="E30" s="42"/>
      <c r="F30" s="43">
        <f t="shared" si="2"/>
        <v>0.17499999999999999</v>
      </c>
      <c r="G30" s="44"/>
      <c r="J30" s="50">
        <f ca="1"/>
        <v>42268</v>
      </c>
      <c r="K30" s="51">
        <f ca="1"/>
        <v>0.9969905744751113</v>
      </c>
      <c r="O30" s="63"/>
      <c r="P30" s="31">
        <f t="shared" si="0"/>
        <v>0.17499999999999999</v>
      </c>
      <c r="R30" s="31">
        <f t="shared" si="3"/>
        <v>0.17499999999999999</v>
      </c>
      <c r="S30" s="31">
        <f t="shared" si="4"/>
        <v>0.17499999999999999</v>
      </c>
      <c r="T30">
        <v>22</v>
      </c>
      <c r="U30" t="s">
        <v>159</v>
      </c>
      <c r="V30" s="66">
        <v>0.14666666666666667</v>
      </c>
      <c r="W30" s="66">
        <v>0.20333333333333334</v>
      </c>
      <c r="X30">
        <v>18</v>
      </c>
      <c r="Y30" t="s">
        <v>155</v>
      </c>
      <c r="Z30">
        <f>_xll.RtGet($Z$4,$Z$6&amp;$Y30&amp;$AA$6,V$2)</f>
        <v>0.13200000000000001</v>
      </c>
      <c r="AA30">
        <f>_xll.RtGet($Z$4,$Z$6&amp;$Y30&amp;$AA$6,W$2)</f>
        <v>0.182</v>
      </c>
      <c r="AC30" t="str">
        <f>_xll.xlShmInterpDisc($N$5,AH30)</f>
        <v>Curve (EONIA) is not present in shared memory.</v>
      </c>
      <c r="AD30" t="e">
        <f t="shared" si="5"/>
        <v>#VALUE!</v>
      </c>
      <c r="AE30" t="s">
        <v>118</v>
      </c>
      <c r="AF30" s="49">
        <v>39995</v>
      </c>
      <c r="AG30" t="s">
        <v>129</v>
      </c>
      <c r="AH30" s="49">
        <v>40634</v>
      </c>
      <c r="AI30" s="49" t="s">
        <v>158</v>
      </c>
      <c r="AJ30">
        <v>0.97932927038412299</v>
      </c>
      <c r="AK30" s="49">
        <v>1.1893738315359601</v>
      </c>
      <c r="AN30">
        <v>1.18</v>
      </c>
      <c r="AO30">
        <v>0</v>
      </c>
      <c r="AP30">
        <v>0</v>
      </c>
      <c r="AQ30">
        <v>0</v>
      </c>
    </row>
    <row r="31" spans="2:43" x14ac:dyDescent="0.2">
      <c r="B31" s="40">
        <v>23</v>
      </c>
      <c r="C31" s="41" t="s">
        <v>100</v>
      </c>
      <c r="D31" s="42">
        <f t="shared" si="1"/>
        <v>0.18099999999999999</v>
      </c>
      <c r="E31" s="42"/>
      <c r="F31" s="43">
        <f t="shared" si="2"/>
        <v>0.18099999999999999</v>
      </c>
      <c r="G31" s="44"/>
      <c r="J31" s="50">
        <f ca="1"/>
        <v>42297</v>
      </c>
      <c r="K31" s="51">
        <f ca="1"/>
        <v>0.99674395137094585</v>
      </c>
      <c r="P31" s="31">
        <f t="shared" si="0"/>
        <v>0.18099999999999999</v>
      </c>
      <c r="R31" s="31">
        <f t="shared" si="3"/>
        <v>0.18099999999999999</v>
      </c>
      <c r="S31" s="31">
        <f t="shared" si="4"/>
        <v>0.18099999999999999</v>
      </c>
      <c r="T31">
        <v>23</v>
      </c>
      <c r="U31" t="s">
        <v>160</v>
      </c>
      <c r="V31" s="66">
        <v>0.14933333333333332</v>
      </c>
      <c r="W31" s="66">
        <v>0.21266666666666667</v>
      </c>
      <c r="X31">
        <v>21</v>
      </c>
      <c r="Y31" t="s">
        <v>158</v>
      </c>
      <c r="Z31">
        <f>_xll.RtGet($Z$4,$Z$6&amp;$Y31&amp;$AA$6,V$2)</f>
        <v>0.14399999999999999</v>
      </c>
      <c r="AA31">
        <f>_xll.RtGet($Z$4,$Z$6&amp;$Y31&amp;$AA$6,W$2)</f>
        <v>0.19400000000000001</v>
      </c>
      <c r="AC31" t="str">
        <f>_xll.xlShmInterpDisc($N$5,AH31)</f>
        <v>Curve (EONIA) is not present in shared memory.</v>
      </c>
      <c r="AD31" t="e">
        <f t="shared" si="5"/>
        <v>#VALUE!</v>
      </c>
      <c r="AE31" t="s">
        <v>118</v>
      </c>
      <c r="AF31" s="49">
        <v>39995</v>
      </c>
      <c r="AG31" t="s">
        <v>129</v>
      </c>
      <c r="AH31" s="49">
        <v>40665</v>
      </c>
      <c r="AI31" s="49" t="s">
        <v>159</v>
      </c>
      <c r="AJ31">
        <v>0.97747468542121696</v>
      </c>
      <c r="AK31" s="49">
        <v>1.23746323302432</v>
      </c>
      <c r="AL31" t="s">
        <v>151</v>
      </c>
      <c r="AN31">
        <v>1.2276923076923101</v>
      </c>
      <c r="AO31">
        <v>0</v>
      </c>
      <c r="AP31">
        <v>0</v>
      </c>
      <c r="AQ31">
        <v>0</v>
      </c>
    </row>
    <row r="32" spans="2:43" x14ac:dyDescent="0.2">
      <c r="B32" s="40">
        <v>24</v>
      </c>
      <c r="C32" s="41" t="s">
        <v>100</v>
      </c>
      <c r="D32" s="42">
        <f t="shared" si="1"/>
        <v>0.187</v>
      </c>
      <c r="E32" s="42"/>
      <c r="F32" s="43">
        <f t="shared" si="2"/>
        <v>0.187</v>
      </c>
      <c r="G32" s="44"/>
      <c r="J32" s="50">
        <f ca="1"/>
        <v>42328</v>
      </c>
      <c r="K32" s="51">
        <f ca="1"/>
        <v>0.99647775142038242</v>
      </c>
      <c r="P32" s="31">
        <f t="shared" si="0"/>
        <v>0.187</v>
      </c>
      <c r="R32" s="31">
        <f t="shared" si="3"/>
        <v>0.187</v>
      </c>
      <c r="S32" s="31">
        <f t="shared" si="4"/>
        <v>0.187</v>
      </c>
      <c r="T32">
        <v>24</v>
      </c>
      <c r="U32" t="s">
        <v>161</v>
      </c>
      <c r="V32" s="68">
        <v>0.152</v>
      </c>
      <c r="W32" s="68">
        <v>0.222</v>
      </c>
      <c r="X32">
        <v>24</v>
      </c>
      <c r="Y32" t="s">
        <v>161</v>
      </c>
      <c r="Z32">
        <f>_xll.RtGet($Z$4,$Z$6&amp;$Y32&amp;$AA$6,V$2)</f>
        <v>0.152</v>
      </c>
      <c r="AA32">
        <f>_xll.RtGet($Z$4,$Z$6&amp;$Y32&amp;$AA$6,W$2)</f>
        <v>0.222</v>
      </c>
      <c r="AC32" t="str">
        <f>_xll.xlShmInterpDisc($N$5,AH32)</f>
        <v>Curve (EONIA) is not present in shared memory.</v>
      </c>
      <c r="AD32" t="e">
        <f t="shared" si="5"/>
        <v>#VALUE!</v>
      </c>
      <c r="AE32" t="s">
        <v>118</v>
      </c>
      <c r="AF32" s="49">
        <v>39995</v>
      </c>
      <c r="AG32" t="s">
        <v>129</v>
      </c>
      <c r="AH32" s="49">
        <v>40695</v>
      </c>
      <c r="AI32" s="49" t="s">
        <v>160</v>
      </c>
      <c r="AJ32">
        <v>0.97560853302622597</v>
      </c>
      <c r="AK32" s="49">
        <v>1.28394033883798</v>
      </c>
      <c r="AL32" t="s">
        <v>151</v>
      </c>
      <c r="AN32">
        <v>1.2738461538461501</v>
      </c>
      <c r="AO32">
        <v>0</v>
      </c>
      <c r="AP32">
        <v>0</v>
      </c>
      <c r="AQ32">
        <v>0</v>
      </c>
    </row>
    <row r="33" spans="2:43" x14ac:dyDescent="0.2">
      <c r="B33" s="40">
        <v>36</v>
      </c>
      <c r="C33" s="41" t="s">
        <v>100</v>
      </c>
      <c r="D33" s="42">
        <f t="shared" si="1"/>
        <v>0.32699999999999996</v>
      </c>
      <c r="E33" s="42"/>
      <c r="F33" s="43">
        <f t="shared" si="2"/>
        <v>0.32699999999999996</v>
      </c>
      <c r="G33" s="44"/>
      <c r="J33" s="50">
        <f ca="1"/>
        <v>42359</v>
      </c>
      <c r="K33" s="51">
        <f ca="1"/>
        <v>0.99620132926304561</v>
      </c>
      <c r="P33" s="31">
        <f t="shared" si="0"/>
        <v>0.32699999999999996</v>
      </c>
      <c r="R33" s="31">
        <f t="shared" si="3"/>
        <v>0.32699999999999996</v>
      </c>
      <c r="S33" s="31">
        <f t="shared" si="4"/>
        <v>0.32699999999999996</v>
      </c>
      <c r="U33" t="s">
        <v>162</v>
      </c>
      <c r="V33">
        <f>_xll.RtGet($Z$4,$Z$6&amp;$U33&amp;$AA$6,V$2)</f>
        <v>0.29199999999999998</v>
      </c>
      <c r="W33">
        <f>_xll.RtGet($Z$4,$Z$6&amp;$U33&amp;$AA$6,W$2)</f>
        <v>0.36199999999999999</v>
      </c>
      <c r="AC33" t="str">
        <f>_xll.xlShmInterpDisc($N$5,AH33)</f>
        <v>Curve (EONIA) is not present in shared memory.</v>
      </c>
      <c r="AD33" t="e">
        <f t="shared" si="5"/>
        <v>#VALUE!</v>
      </c>
      <c r="AE33" t="s">
        <v>118</v>
      </c>
      <c r="AF33" s="49">
        <v>39995</v>
      </c>
      <c r="AG33" t="s">
        <v>129</v>
      </c>
      <c r="AH33" s="49">
        <v>40725</v>
      </c>
      <c r="AI33" s="49" t="s">
        <v>161</v>
      </c>
      <c r="AJ33">
        <v>0.97367167905789298</v>
      </c>
      <c r="AK33" s="49">
        <v>1.3304109048972299</v>
      </c>
      <c r="AN33">
        <v>1.32</v>
      </c>
      <c r="AO33">
        <v>0</v>
      </c>
      <c r="AP33">
        <v>0</v>
      </c>
      <c r="AQ33">
        <v>0</v>
      </c>
    </row>
    <row r="34" spans="2:43" x14ac:dyDescent="0.2">
      <c r="B34" s="40">
        <v>48</v>
      </c>
      <c r="C34" s="41" t="s">
        <v>100</v>
      </c>
      <c r="D34" s="42">
        <f t="shared" si="1"/>
        <v>0.53299999999999992</v>
      </c>
      <c r="E34" s="42"/>
      <c r="F34" s="43">
        <f t="shared" si="2"/>
        <v>0.53299999999999992</v>
      </c>
      <c r="G34" s="44"/>
      <c r="J34" s="50">
        <f ca="1"/>
        <v>42724</v>
      </c>
      <c r="K34" s="51">
        <f ca="1"/>
        <v>0.99008359930697731</v>
      </c>
      <c r="P34" s="31">
        <f t="shared" si="0"/>
        <v>0.53299999999999992</v>
      </c>
      <c r="R34" s="31">
        <f t="shared" si="3"/>
        <v>0.53299999999999992</v>
      </c>
      <c r="S34" s="31">
        <f t="shared" si="4"/>
        <v>0.53299999999999992</v>
      </c>
      <c r="U34" t="s">
        <v>163</v>
      </c>
      <c r="V34">
        <f>_xll.RtGet($Z$4,$Z$6&amp;$U34&amp;$AA$6,V$2)</f>
        <v>0.498</v>
      </c>
      <c r="W34">
        <f>_xll.RtGet($Z$4,$Z$6&amp;$U34&amp;$AA$6,W$2)</f>
        <v>0.56799999999999995</v>
      </c>
      <c r="AC34" t="str">
        <f>_xll.xlShmInterpDisc($N$5,AH34)</f>
        <v>Curve (EONIA) is not present in shared memory.</v>
      </c>
      <c r="AD34" t="e">
        <f t="shared" si="5"/>
        <v>#VALUE!</v>
      </c>
      <c r="AE34" t="s">
        <v>118</v>
      </c>
      <c r="AF34" s="49">
        <v>39995</v>
      </c>
      <c r="AG34" t="s">
        <v>199</v>
      </c>
      <c r="AH34" s="49">
        <v>41092</v>
      </c>
      <c r="AI34" s="49" t="s">
        <v>162</v>
      </c>
      <c r="AJ34">
        <v>0.94574652924226399</v>
      </c>
      <c r="AK34" s="49">
        <v>1.85258873027522</v>
      </c>
      <c r="AN34">
        <v>1.8340000000000001</v>
      </c>
      <c r="AO34">
        <v>0</v>
      </c>
      <c r="AP34">
        <v>0</v>
      </c>
      <c r="AQ34">
        <v>0</v>
      </c>
    </row>
    <row r="35" spans="2:43" x14ac:dyDescent="0.2">
      <c r="B35" s="40">
        <v>60</v>
      </c>
      <c r="C35" s="41" t="s">
        <v>100</v>
      </c>
      <c r="D35" s="42">
        <f t="shared" si="1"/>
        <v>0.76300000000000001</v>
      </c>
      <c r="E35" s="42"/>
      <c r="F35" s="43">
        <f t="shared" si="2"/>
        <v>0.76300000000000001</v>
      </c>
      <c r="G35" s="44"/>
      <c r="J35" s="50">
        <f ca="1"/>
        <v>43089</v>
      </c>
      <c r="K35" s="51">
        <f ca="1"/>
        <v>0.97855577710151864</v>
      </c>
      <c r="P35" s="31">
        <f t="shared" si="0"/>
        <v>0.76300000000000001</v>
      </c>
      <c r="R35" s="31">
        <f t="shared" si="3"/>
        <v>0.76300000000000001</v>
      </c>
      <c r="S35" s="31">
        <f t="shared" si="4"/>
        <v>0.76300000000000001</v>
      </c>
      <c r="U35" t="s">
        <v>164</v>
      </c>
      <c r="V35">
        <f>_xll.RtGet($Z$4,$Z$6&amp;$U35&amp;$AA$6,V$2)</f>
        <v>0.72799999999999998</v>
      </c>
      <c r="W35">
        <f>_xll.RtGet($Z$4,$Z$6&amp;$U35&amp;$AA$6,W$2)</f>
        <v>0.79800000000000004</v>
      </c>
      <c r="AC35" t="str">
        <f>_xll.xlShmInterpDisc($N$5,AH35)</f>
        <v>Curve (EONIA) is not present in shared memory.</v>
      </c>
      <c r="AD35" t="e">
        <f t="shared" si="5"/>
        <v>#VALUE!</v>
      </c>
      <c r="AE35" t="s">
        <v>118</v>
      </c>
      <c r="AF35" s="49">
        <v>39995</v>
      </c>
      <c r="AG35" t="s">
        <v>199</v>
      </c>
      <c r="AH35" s="49">
        <v>41456</v>
      </c>
      <c r="AI35" s="49" t="s">
        <v>163</v>
      </c>
      <c r="AJ35">
        <v>0.91378264614830895</v>
      </c>
      <c r="AK35" s="49">
        <v>2.2494413829358502</v>
      </c>
      <c r="AN35">
        <v>2.2210000000000001</v>
      </c>
      <c r="AO35">
        <v>0</v>
      </c>
      <c r="AP35">
        <v>0</v>
      </c>
      <c r="AQ35">
        <v>0</v>
      </c>
    </row>
    <row r="36" spans="2:43" x14ac:dyDescent="0.2">
      <c r="B36" s="40">
        <v>72</v>
      </c>
      <c r="C36" s="41" t="s">
        <v>100</v>
      </c>
      <c r="D36" s="42">
        <f t="shared" si="1"/>
        <v>0.98399999999999999</v>
      </c>
      <c r="E36" s="42"/>
      <c r="F36" s="43">
        <f t="shared" si="2"/>
        <v>0.98399999999999999</v>
      </c>
      <c r="G36" s="44"/>
      <c r="J36" s="50">
        <f ca="1"/>
        <v>43454</v>
      </c>
      <c r="K36" s="51">
        <f ca="1"/>
        <v>0.96186623634024837</v>
      </c>
      <c r="P36" s="31">
        <f t="shared" si="0"/>
        <v>0.98399999999999999</v>
      </c>
      <c r="R36" s="31">
        <f t="shared" si="3"/>
        <v>0.98399999999999999</v>
      </c>
      <c r="S36" s="31">
        <f t="shared" si="4"/>
        <v>0.98399999999999999</v>
      </c>
      <c r="U36" t="s">
        <v>165</v>
      </c>
      <c r="V36">
        <f>_xll.RtGet($Z$4,$Z$6&amp;$U36&amp;$AA$6,V$2)</f>
        <v>0.94899999999999995</v>
      </c>
      <c r="W36">
        <f>_xll.RtGet($Z$4,$Z$6&amp;$U36&amp;$AA$6,W$2)</f>
        <v>1.0189999999999999</v>
      </c>
      <c r="AC36" t="str">
        <f>_xll.xlShmInterpDisc($N$5,AH36)</f>
        <v>Curve (EONIA) is not present in shared memory.</v>
      </c>
      <c r="AD36" t="e">
        <f t="shared" ref="AD36:AD64" si="6">IF(AJ36&gt;0,AC36-AJ36,0)</f>
        <v>#VALUE!</v>
      </c>
      <c r="AE36" t="s">
        <v>118</v>
      </c>
      <c r="AF36" s="49">
        <v>39995</v>
      </c>
      <c r="AG36" t="s">
        <v>199</v>
      </c>
      <c r="AH36" s="49">
        <v>41821</v>
      </c>
      <c r="AI36" s="49" t="s">
        <v>164</v>
      </c>
      <c r="AJ36">
        <v>0.87993520200419895</v>
      </c>
      <c r="AK36" s="49">
        <v>2.5539419058466901</v>
      </c>
      <c r="AN36">
        <v>2.5150000000000001</v>
      </c>
      <c r="AO36">
        <v>0</v>
      </c>
      <c r="AP36">
        <v>0</v>
      </c>
      <c r="AQ36">
        <v>0</v>
      </c>
    </row>
    <row r="37" spans="2:43" x14ac:dyDescent="0.2">
      <c r="B37" s="40">
        <v>84</v>
      </c>
      <c r="C37" s="41" t="s">
        <v>100</v>
      </c>
      <c r="D37" s="42">
        <f t="shared" si="1"/>
        <v>1.1890000000000001</v>
      </c>
      <c r="E37" s="42"/>
      <c r="F37" s="43">
        <f t="shared" si="2"/>
        <v>1.1890000000000001</v>
      </c>
      <c r="G37" s="44"/>
      <c r="J37" s="50">
        <f ca="1"/>
        <v>43819</v>
      </c>
      <c r="K37" s="51">
        <f ca="1"/>
        <v>0.94143196540058294</v>
      </c>
      <c r="P37" s="31">
        <f t="shared" si="0"/>
        <v>1.1890000000000001</v>
      </c>
      <c r="R37" s="31">
        <f t="shared" si="3"/>
        <v>1.1890000000000001</v>
      </c>
      <c r="S37" s="31">
        <f t="shared" si="4"/>
        <v>1.1890000000000001</v>
      </c>
      <c r="U37" t="s">
        <v>166</v>
      </c>
      <c r="V37">
        <f>_xll.RtGet($Z$4,$Z$6&amp;$U37&amp;$AA$6,V$2)</f>
        <v>1.1539999999999999</v>
      </c>
      <c r="W37">
        <f>_xll.RtGet($Z$4,$Z$6&amp;$U37&amp;$AA$6,W$2)</f>
        <v>1.224</v>
      </c>
      <c r="AC37" t="str">
        <f>_xll.xlShmInterpDisc($N$5,AH37)</f>
        <v>Curve (EONIA) is not present in shared memory.</v>
      </c>
      <c r="AD37" t="e">
        <f t="shared" si="6"/>
        <v>#VALUE!</v>
      </c>
      <c r="AE37" t="s">
        <v>118</v>
      </c>
      <c r="AF37" s="49">
        <v>39995</v>
      </c>
      <c r="AG37" t="s">
        <v>199</v>
      </c>
      <c r="AH37" s="49">
        <v>42186</v>
      </c>
      <c r="AI37" s="49" t="s">
        <v>165</v>
      </c>
      <c r="AJ37">
        <v>0.84498977968198297</v>
      </c>
      <c r="AK37" s="49">
        <v>2.8033389225857301</v>
      </c>
      <c r="AN37">
        <v>2.7530000000000001</v>
      </c>
      <c r="AO37">
        <v>0</v>
      </c>
      <c r="AP37">
        <v>0</v>
      </c>
      <c r="AQ37">
        <v>0</v>
      </c>
    </row>
    <row r="38" spans="2:43" x14ac:dyDescent="0.2">
      <c r="B38" s="40">
        <v>96</v>
      </c>
      <c r="C38" s="41" t="s">
        <v>100</v>
      </c>
      <c r="D38" s="42">
        <f t="shared" si="1"/>
        <v>1.375</v>
      </c>
      <c r="E38" s="42"/>
      <c r="F38" s="43">
        <f t="shared" si="2"/>
        <v>1.375</v>
      </c>
      <c r="G38" s="44"/>
      <c r="J38" s="50">
        <f ca="1"/>
        <v>44186</v>
      </c>
      <c r="K38" s="51">
        <f ca="1"/>
        <v>0.91810420250119806</v>
      </c>
      <c r="P38" s="31">
        <f t="shared" si="0"/>
        <v>1.375</v>
      </c>
      <c r="R38" s="31">
        <f t="shared" si="3"/>
        <v>1.375</v>
      </c>
      <c r="S38" s="31">
        <f t="shared" si="4"/>
        <v>1.375</v>
      </c>
      <c r="U38" t="s">
        <v>167</v>
      </c>
      <c r="V38">
        <f>_xll.RtGet($Z$4,$Z$6&amp;$U38&amp;$AA$6,V$2)</f>
        <v>1.34</v>
      </c>
      <c r="W38">
        <f>_xll.RtGet($Z$4,$Z$6&amp;$U38&amp;$AA$6,W$2)</f>
        <v>1.41</v>
      </c>
      <c r="AC38" t="str">
        <f>_xll.xlShmInterpDisc($N$5,AH38)</f>
        <v>Curve (EONIA) is not present in shared memory.</v>
      </c>
      <c r="AD38" t="e">
        <f t="shared" si="6"/>
        <v>#VALUE!</v>
      </c>
      <c r="AE38" t="s">
        <v>118</v>
      </c>
      <c r="AF38" s="49">
        <v>39995</v>
      </c>
      <c r="AG38" t="s">
        <v>199</v>
      </c>
      <c r="AH38" s="49">
        <v>42552</v>
      </c>
      <c r="AI38" s="49" t="s">
        <v>166</v>
      </c>
      <c r="AJ38">
        <v>0.80999334467807405</v>
      </c>
      <c r="AK38" s="49">
        <v>3.0057122101124198</v>
      </c>
      <c r="AN38">
        <v>2.944</v>
      </c>
      <c r="AO38">
        <v>0</v>
      </c>
      <c r="AP38">
        <v>0</v>
      </c>
      <c r="AQ38">
        <v>0</v>
      </c>
    </row>
    <row r="39" spans="2:43" x14ac:dyDescent="0.2">
      <c r="B39" s="40">
        <v>108</v>
      </c>
      <c r="C39" s="41" t="s">
        <v>100</v>
      </c>
      <c r="D39" s="42">
        <f t="shared" si="1"/>
        <v>1.5449999999999999</v>
      </c>
      <c r="E39" s="42"/>
      <c r="F39" s="43">
        <f t="shared" si="2"/>
        <v>1.5449999999999999</v>
      </c>
      <c r="G39" s="44"/>
      <c r="J39" s="50">
        <f ca="1"/>
        <v>44550</v>
      </c>
      <c r="K39" s="51">
        <f ca="1"/>
        <v>0.89288121306598323</v>
      </c>
      <c r="P39" s="31">
        <f t="shared" si="0"/>
        <v>1.5449999999999999</v>
      </c>
      <c r="R39" s="31">
        <f t="shared" si="3"/>
        <v>1.5449999999999999</v>
      </c>
      <c r="S39" s="31">
        <f t="shared" si="4"/>
        <v>1.5449999999999999</v>
      </c>
      <c r="U39" t="s">
        <v>168</v>
      </c>
      <c r="V39">
        <f>_xll.RtGet($Z$4,$Z$6&amp;$U39&amp;$AA$6,V$2)</f>
        <v>1.51</v>
      </c>
      <c r="W39">
        <f>_xll.RtGet($Z$4,$Z$6&amp;$U39&amp;$AA$6,W$2)</f>
        <v>1.58</v>
      </c>
      <c r="AC39" t="str">
        <f>_xll.xlShmInterpDisc($N$5,AH39)</f>
        <v>Curve (EONIA) is not present in shared memory.</v>
      </c>
      <c r="AD39" t="e">
        <f t="shared" si="6"/>
        <v>#VALUE!</v>
      </c>
      <c r="AE39" t="s">
        <v>118</v>
      </c>
      <c r="AF39" s="49">
        <v>39995</v>
      </c>
      <c r="AG39" t="s">
        <v>199</v>
      </c>
      <c r="AH39" s="49">
        <v>42919</v>
      </c>
      <c r="AI39" s="49" t="s">
        <v>167</v>
      </c>
      <c r="AJ39">
        <v>0.77577196361527401</v>
      </c>
      <c r="AK39" s="49">
        <v>3.1672003458582898</v>
      </c>
      <c r="AN39">
        <v>3.0950000000000002</v>
      </c>
      <c r="AO39">
        <v>0</v>
      </c>
      <c r="AP39">
        <v>0</v>
      </c>
      <c r="AQ39">
        <v>0</v>
      </c>
    </row>
    <row r="40" spans="2:43" x14ac:dyDescent="0.2">
      <c r="B40" s="40">
        <v>120</v>
      </c>
      <c r="C40" s="41" t="s">
        <v>100</v>
      </c>
      <c r="D40" s="42">
        <f t="shared" si="1"/>
        <v>1.6970000000000001</v>
      </c>
      <c r="E40" s="42"/>
      <c r="F40" s="43">
        <f t="shared" si="2"/>
        <v>1.6970000000000001</v>
      </c>
      <c r="G40" s="44"/>
      <c r="J40" s="50">
        <f ca="1"/>
        <v>44915</v>
      </c>
      <c r="K40" s="51">
        <f ca="1"/>
        <v>0.86607221775620791</v>
      </c>
      <c r="P40" s="31">
        <f t="shared" si="0"/>
        <v>1.6970000000000001</v>
      </c>
      <c r="R40" s="31">
        <f t="shared" si="3"/>
        <v>1.6970000000000001</v>
      </c>
      <c r="S40" s="31">
        <f t="shared" si="4"/>
        <v>1.6970000000000001</v>
      </c>
      <c r="U40" t="s">
        <v>169</v>
      </c>
      <c r="V40">
        <f>_xll.RtGet($Z$4,$Z$6&amp;$U40&amp;$AA$6,V$2)</f>
        <v>1.6619999999999999</v>
      </c>
      <c r="W40">
        <f>_xll.RtGet($Z$4,$Z$6&amp;$U40&amp;$AA$6,W$2)</f>
        <v>1.732</v>
      </c>
      <c r="AC40" t="str">
        <f>_xll.xlShmInterpDisc($N$5,AH40)</f>
        <v>Curve (EONIA) is not present in shared memory.</v>
      </c>
      <c r="AD40" t="e">
        <f t="shared" si="6"/>
        <v>#VALUE!</v>
      </c>
      <c r="AE40" t="s">
        <v>118</v>
      </c>
      <c r="AF40" s="49">
        <v>39995</v>
      </c>
      <c r="AG40" t="s">
        <v>199</v>
      </c>
      <c r="AH40" s="49">
        <v>43283</v>
      </c>
      <c r="AI40" s="49" t="s">
        <v>168</v>
      </c>
      <c r="AJ40">
        <v>0.74246393382050702</v>
      </c>
      <c r="AK40" s="49">
        <v>3.3036492091238698</v>
      </c>
      <c r="AN40">
        <v>3.2210000000000001</v>
      </c>
      <c r="AO40">
        <v>0</v>
      </c>
      <c r="AP40">
        <v>0</v>
      </c>
      <c r="AQ40">
        <v>0</v>
      </c>
    </row>
    <row r="41" spans="2:43" x14ac:dyDescent="0.2">
      <c r="B41" s="40">
        <v>132</v>
      </c>
      <c r="C41" s="41" t="s">
        <v>100</v>
      </c>
      <c r="D41" s="42">
        <f t="shared" si="1"/>
        <v>1.8260000000000001</v>
      </c>
      <c r="E41" s="42"/>
      <c r="F41" s="43">
        <f t="shared" si="2"/>
        <v>1.8260000000000001</v>
      </c>
      <c r="G41" s="44"/>
      <c r="J41" s="50">
        <f ca="1"/>
        <v>45280</v>
      </c>
      <c r="K41" s="51">
        <f ca="1"/>
        <v>0.8384708260976792</v>
      </c>
      <c r="P41" s="31">
        <f t="shared" si="0"/>
        <v>1.8260000000000001</v>
      </c>
      <c r="R41" s="31">
        <f t="shared" si="3"/>
        <v>1.8260000000000001</v>
      </c>
      <c r="S41" s="31">
        <f t="shared" si="4"/>
        <v>1.8260000000000001</v>
      </c>
      <c r="U41" t="s">
        <v>170</v>
      </c>
      <c r="V41">
        <f>_xll.RtGet($Z$4,$Z$6&amp;$U41&amp;$AA$6,V$2)</f>
        <v>1.7909999999999999</v>
      </c>
      <c r="W41">
        <f>_xll.RtGet($Z$4,$Z$6&amp;$U41&amp;$AA$6,W$2)</f>
        <v>1.861</v>
      </c>
      <c r="AC41" t="str">
        <f>_xll.xlShmInterpDisc($N$5,AH41)</f>
        <v>Curve (EONIA) is not present in shared memory.</v>
      </c>
      <c r="AD41" t="e">
        <f t="shared" si="6"/>
        <v>#VALUE!</v>
      </c>
      <c r="AE41" t="s">
        <v>118</v>
      </c>
      <c r="AF41" s="49">
        <v>39995</v>
      </c>
      <c r="AG41" t="s">
        <v>199</v>
      </c>
      <c r="AH41" s="49">
        <v>43647</v>
      </c>
      <c r="AI41" s="49" t="s">
        <v>169</v>
      </c>
      <c r="AJ41">
        <v>0.70976470160120098</v>
      </c>
      <c r="AK41" s="49">
        <v>3.4244648629854502</v>
      </c>
      <c r="AN41">
        <v>3.331</v>
      </c>
      <c r="AO41">
        <v>0</v>
      </c>
      <c r="AP41">
        <v>0</v>
      </c>
      <c r="AQ41">
        <v>0</v>
      </c>
    </row>
    <row r="42" spans="2:43" ht="13.5" thickBot="1" x14ac:dyDescent="0.25">
      <c r="B42" s="71">
        <v>144</v>
      </c>
      <c r="C42" s="72" t="s">
        <v>100</v>
      </c>
      <c r="D42" s="73">
        <f t="shared" si="1"/>
        <v>1.9380000000000002</v>
      </c>
      <c r="E42" s="73"/>
      <c r="F42" s="74">
        <f t="shared" si="2"/>
        <v>1.9380000000000002</v>
      </c>
      <c r="G42" s="75"/>
      <c r="J42" s="50">
        <f ca="1"/>
        <v>45646</v>
      </c>
      <c r="K42" s="51">
        <f ca="1"/>
        <v>0.81113465640892923</v>
      </c>
      <c r="P42" s="31">
        <f t="shared" si="0"/>
        <v>1.9380000000000002</v>
      </c>
      <c r="R42" s="31">
        <f t="shared" si="3"/>
        <v>1.9380000000000002</v>
      </c>
      <c r="S42" s="31">
        <f t="shared" si="4"/>
        <v>1.9380000000000002</v>
      </c>
      <c r="U42" t="s">
        <v>171</v>
      </c>
      <c r="V42">
        <f>_xll.RtGet($Z$4,$Z$6&amp;$U42&amp;$AA$6,V$2)</f>
        <v>1.903</v>
      </c>
      <c r="W42">
        <f>_xll.RtGet($Z$4,$Z$6&amp;$U42&amp;$AA$6,W$2)</f>
        <v>1.9730000000000001</v>
      </c>
      <c r="AC42" t="str">
        <f>_xll.xlShmInterpDisc($N$5,AH42)</f>
        <v>Curve (EONIA) is not present in shared memory.</v>
      </c>
      <c r="AD42" t="e">
        <f t="shared" si="6"/>
        <v>#VALUE!</v>
      </c>
      <c r="AE42" t="s">
        <v>118</v>
      </c>
      <c r="AF42" s="49">
        <v>39995</v>
      </c>
      <c r="AG42" t="s">
        <v>199</v>
      </c>
      <c r="AH42" s="49">
        <v>44013</v>
      </c>
      <c r="AI42" s="49" t="s">
        <v>170</v>
      </c>
      <c r="AJ42">
        <v>0.67724083091450604</v>
      </c>
      <c r="AK42" s="49">
        <v>3.5385781829914</v>
      </c>
      <c r="AN42">
        <v>3.4329999999999998</v>
      </c>
      <c r="AO42">
        <v>0</v>
      </c>
      <c r="AP42">
        <v>0</v>
      </c>
      <c r="AQ42">
        <v>0</v>
      </c>
    </row>
    <row r="43" spans="2:43" ht="13.5" thickBot="1" x14ac:dyDescent="0.25">
      <c r="G43" s="30" t="s">
        <v>112</v>
      </c>
      <c r="J43" s="50">
        <f ca="1"/>
        <v>46013</v>
      </c>
      <c r="K43" s="51">
        <f ca="1"/>
        <v>0.78406052614738331</v>
      </c>
      <c r="P43" s="31"/>
      <c r="R43" s="31"/>
      <c r="S43" s="31">
        <f t="shared" si="4"/>
        <v>0</v>
      </c>
      <c r="AC43" t="str">
        <f>_xll.xlShmInterpDisc($N$5,AH43)</f>
        <v>Curve (EONIA) is not present in shared memory.</v>
      </c>
      <c r="AD43" t="e">
        <f t="shared" si="6"/>
        <v>#VALUE!</v>
      </c>
      <c r="AE43" t="s">
        <v>118</v>
      </c>
      <c r="AF43" s="49">
        <v>39995</v>
      </c>
      <c r="AG43" t="s">
        <v>199</v>
      </c>
      <c r="AH43" s="49">
        <v>44378</v>
      </c>
      <c r="AI43" s="49" t="s">
        <v>171</v>
      </c>
      <c r="AJ43">
        <v>0.64561835617843299</v>
      </c>
      <c r="AK43" s="49">
        <v>3.6420651393246199</v>
      </c>
      <c r="AN43">
        <v>3.524</v>
      </c>
      <c r="AO43">
        <v>0</v>
      </c>
      <c r="AP43">
        <v>0</v>
      </c>
      <c r="AQ43">
        <v>0</v>
      </c>
    </row>
    <row r="44" spans="2:43" x14ac:dyDescent="0.2">
      <c r="C44" s="76">
        <v>13</v>
      </c>
      <c r="D44" s="77">
        <f t="shared" ref="D44:D64" si="7">F44+G44+E44</f>
        <v>2.0259100000000001</v>
      </c>
      <c r="E44" s="77"/>
      <c r="F44" s="77">
        <f t="shared" ref="F44:F64" si="8">P44</f>
        <v>2.351</v>
      </c>
      <c r="G44" s="77">
        <v>-0.32508999999999999</v>
      </c>
      <c r="J44" s="50">
        <f ca="1"/>
        <v>46377</v>
      </c>
      <c r="K44" s="51">
        <f ca="1"/>
        <v>0.76211077939745409</v>
      </c>
      <c r="P44" s="31">
        <f t="shared" ref="P44:P64" si="9">IF(Q44="",R44,Q44)</f>
        <v>2.351</v>
      </c>
      <c r="R44" s="31">
        <f t="shared" ref="R44:R64" si="10">AVERAGE(V44:W44)</f>
        <v>2.351</v>
      </c>
      <c r="S44" s="31">
        <f t="shared" ref="S44:S64" si="11">R44-Q44+G44</f>
        <v>2.0259100000000001</v>
      </c>
      <c r="U44">
        <v>13</v>
      </c>
      <c r="V44">
        <f>_xll.RtGet($Z$45,$Z$46&amp;$U44&amp;$AA$46,V$2)</f>
        <v>2.351</v>
      </c>
      <c r="W44">
        <f>_xll.RtGet($Z$45,$Z$46&amp;$U44&amp;$AA$46,W$2)</f>
        <v>2.351</v>
      </c>
      <c r="Y44" s="6" t="s">
        <v>136</v>
      </c>
      <c r="AC44" t="str">
        <f>_xll.xlShmInterpDisc($N$5,AH44)</f>
        <v>Curve (EONIA) is not present in shared memory.</v>
      </c>
      <c r="AD44" t="e">
        <f t="shared" si="6"/>
        <v>#VALUE!</v>
      </c>
      <c r="AE44" t="s">
        <v>118</v>
      </c>
      <c r="AF44" s="49">
        <v>39995</v>
      </c>
      <c r="AG44" t="s">
        <v>199</v>
      </c>
      <c r="AH44" s="49">
        <v>44743</v>
      </c>
      <c r="AI44" s="49" t="s">
        <v>174</v>
      </c>
      <c r="AJ44">
        <v>0.61502535664801805</v>
      </c>
      <c r="AK44" s="49">
        <v>3.7352315862638901</v>
      </c>
      <c r="AN44">
        <v>3.6047039999999999</v>
      </c>
      <c r="AO44">
        <v>0</v>
      </c>
      <c r="AP44">
        <v>0</v>
      </c>
      <c r="AQ44">
        <v>0</v>
      </c>
    </row>
    <row r="45" spans="2:43" x14ac:dyDescent="0.2">
      <c r="C45" s="76">
        <v>14</v>
      </c>
      <c r="D45" s="77">
        <f t="shared" si="7"/>
        <v>2.1074290000000002</v>
      </c>
      <c r="E45" s="77"/>
      <c r="F45" s="77">
        <f t="shared" si="8"/>
        <v>2.4220000000000002</v>
      </c>
      <c r="G45" s="77">
        <v>-0.31457099999999999</v>
      </c>
      <c r="J45" s="50">
        <f ca="1"/>
        <v>46741</v>
      </c>
      <c r="K45" s="51">
        <f ca="1"/>
        <v>0.73704936604720539</v>
      </c>
      <c r="P45" s="31">
        <f t="shared" si="9"/>
        <v>2.4220000000000002</v>
      </c>
      <c r="R45" s="31">
        <f t="shared" si="10"/>
        <v>2.4220000000000002</v>
      </c>
      <c r="S45" s="31">
        <f t="shared" si="11"/>
        <v>2.1074290000000002</v>
      </c>
      <c r="U45">
        <v>14</v>
      </c>
      <c r="V45">
        <f>_xll.RtGet($Z$45,$Z$46&amp;$U45&amp;$AA$46,V$2)</f>
        <v>2.4220000000000002</v>
      </c>
      <c r="W45">
        <f>_xll.RtGet($Z$45,$Z$46&amp;$U45&amp;$AA$46,W$2)</f>
        <v>2.4220000000000002</v>
      </c>
      <c r="Y45" t="s">
        <v>175</v>
      </c>
      <c r="Z45" t="s">
        <v>115</v>
      </c>
      <c r="AC45" t="str">
        <f>_xll.xlShmInterpDisc($N$5,AH45)</f>
        <v>Curve (EONIA) is not present in shared memory.</v>
      </c>
      <c r="AD45" t="e">
        <f t="shared" si="6"/>
        <v>#VALUE!</v>
      </c>
      <c r="AE45" t="s">
        <v>118</v>
      </c>
      <c r="AF45" s="49">
        <v>39995</v>
      </c>
      <c r="AG45" t="s">
        <v>199</v>
      </c>
      <c r="AH45" s="49">
        <v>45110</v>
      </c>
      <c r="AI45" s="49" t="s">
        <v>176</v>
      </c>
      <c r="AJ45">
        <v>0.58550529006766505</v>
      </c>
      <c r="AK45" s="49">
        <v>3.81819859763656</v>
      </c>
      <c r="AN45">
        <v>3.6756859999999998</v>
      </c>
      <c r="AO45">
        <v>0</v>
      </c>
      <c r="AP45">
        <v>0</v>
      </c>
      <c r="AQ45">
        <v>0</v>
      </c>
    </row>
    <row r="46" spans="2:43" x14ac:dyDescent="0.2">
      <c r="C46" s="76">
        <v>15</v>
      </c>
      <c r="D46" s="77">
        <f t="shared" si="7"/>
        <v>2.1732080000000003</v>
      </c>
      <c r="E46" s="77"/>
      <c r="F46" s="77">
        <f t="shared" si="8"/>
        <v>2.4790000000000001</v>
      </c>
      <c r="G46" s="77">
        <v>-0.30579200000000001</v>
      </c>
      <c r="J46" s="50">
        <f ca="1"/>
        <v>47107</v>
      </c>
      <c r="K46" s="51">
        <f ca="1"/>
        <v>0.71333991459688439</v>
      </c>
      <c r="P46" s="31">
        <f t="shared" si="9"/>
        <v>2.4790000000000001</v>
      </c>
      <c r="R46" s="31">
        <f t="shared" si="10"/>
        <v>2.4790000000000001</v>
      </c>
      <c r="S46" s="31">
        <f t="shared" si="11"/>
        <v>2.1732080000000003</v>
      </c>
      <c r="U46">
        <v>15</v>
      </c>
      <c r="V46">
        <f>_xll.RtGet($Z$45,$Z$46&amp;$U46&amp;$AA$46,V$2)</f>
        <v>2.4790000000000001</v>
      </c>
      <c r="W46">
        <f>_xll.RtGet($Z$45,$Z$46&amp;$U46&amp;$AA$46,W$2)</f>
        <v>2.4790000000000001</v>
      </c>
      <c r="Y46" t="s">
        <v>177</v>
      </c>
      <c r="Z46" t="s">
        <v>178</v>
      </c>
      <c r="AA46" t="s">
        <v>179</v>
      </c>
      <c r="AC46" t="str">
        <f>_xll.xlShmInterpDisc($N$5,AH46)</f>
        <v>Curve (EONIA) is not present in shared memory.</v>
      </c>
      <c r="AD46" t="e">
        <f t="shared" si="6"/>
        <v>#VALUE!</v>
      </c>
      <c r="AE46" t="s">
        <v>118</v>
      </c>
      <c r="AF46" s="49">
        <v>39995</v>
      </c>
      <c r="AG46" t="s">
        <v>199</v>
      </c>
      <c r="AH46" s="49">
        <v>45474</v>
      </c>
      <c r="AI46" s="49" t="s">
        <v>180</v>
      </c>
      <c r="AJ46">
        <v>0.557525293862563</v>
      </c>
      <c r="AK46" s="49">
        <v>3.8907189091537902</v>
      </c>
      <c r="AN46">
        <v>3.7370000000000001</v>
      </c>
      <c r="AO46">
        <v>0</v>
      </c>
      <c r="AP46">
        <v>0</v>
      </c>
      <c r="AQ46">
        <v>0</v>
      </c>
    </row>
    <row r="47" spans="2:43" x14ac:dyDescent="0.2">
      <c r="C47" s="76">
        <v>16</v>
      </c>
      <c r="D47" s="77">
        <f t="shared" si="7"/>
        <v>2.2257410000000002</v>
      </c>
      <c r="E47" s="77"/>
      <c r="F47" s="77">
        <f t="shared" si="8"/>
        <v>2.524</v>
      </c>
      <c r="G47" s="77">
        <v>-0.298259</v>
      </c>
      <c r="J47" s="50">
        <f ca="1"/>
        <v>47472</v>
      </c>
      <c r="K47" s="51">
        <f ca="1"/>
        <v>0.69103021390125496</v>
      </c>
      <c r="P47" s="31">
        <f t="shared" si="9"/>
        <v>2.524</v>
      </c>
      <c r="R47" s="31">
        <f t="shared" si="10"/>
        <v>2.524</v>
      </c>
      <c r="S47" s="31">
        <f t="shared" si="11"/>
        <v>2.2257410000000002</v>
      </c>
      <c r="U47">
        <v>16</v>
      </c>
      <c r="V47">
        <f>_xll.RtGet($Z$45,$Z$46&amp;$U47&amp;$AA$46,V$2)</f>
        <v>2.524</v>
      </c>
      <c r="W47">
        <f>_xll.RtGet($Z$45,$Z$46&amp;$U47&amp;$AA$46,W$2)</f>
        <v>2.524</v>
      </c>
      <c r="AC47" t="str">
        <f>_xll.xlShmInterpDisc($N$5,AH47)</f>
        <v>Curve (EONIA) is not present in shared memory.</v>
      </c>
      <c r="AD47" t="e">
        <f t="shared" si="6"/>
        <v>#VALUE!</v>
      </c>
      <c r="AE47" t="s">
        <v>118</v>
      </c>
      <c r="AF47" s="49">
        <v>39995</v>
      </c>
      <c r="AG47" t="s">
        <v>199</v>
      </c>
      <c r="AH47" s="49">
        <v>45839</v>
      </c>
      <c r="AI47" s="49" t="s">
        <v>181</v>
      </c>
      <c r="AJ47">
        <v>0.53100398212519195</v>
      </c>
      <c r="AK47" s="49">
        <v>3.9521006136943799</v>
      </c>
      <c r="AN47">
        <v>3.7887209999999998</v>
      </c>
      <c r="AO47">
        <v>0</v>
      </c>
      <c r="AP47">
        <v>0</v>
      </c>
      <c r="AQ47">
        <v>0</v>
      </c>
    </row>
    <row r="48" spans="2:43" x14ac:dyDescent="0.2">
      <c r="C48" s="76">
        <v>17</v>
      </c>
      <c r="D48" s="77">
        <f t="shared" si="7"/>
        <v>2.265663</v>
      </c>
      <c r="E48" s="77"/>
      <c r="F48" s="77">
        <f t="shared" si="8"/>
        <v>2.5569999999999999</v>
      </c>
      <c r="G48" s="77">
        <v>-0.29133700000000001</v>
      </c>
      <c r="J48" s="50">
        <f ca="1"/>
        <v>47837</v>
      </c>
      <c r="K48" s="51">
        <f ca="1"/>
        <v>0.67030180703824516</v>
      </c>
      <c r="P48" s="31">
        <f t="shared" si="9"/>
        <v>2.5569999999999999</v>
      </c>
      <c r="R48" s="31">
        <f t="shared" si="10"/>
        <v>2.5569999999999999</v>
      </c>
      <c r="S48" s="31">
        <f t="shared" si="11"/>
        <v>2.265663</v>
      </c>
      <c r="U48">
        <v>17</v>
      </c>
      <c r="V48">
        <f>_xll.RtGet($Z$45,$Z$46&amp;$U48&amp;$AA$46,V$2)</f>
        <v>2.5569999999999999</v>
      </c>
      <c r="W48">
        <f>_xll.RtGet($Z$45,$Z$46&amp;$U48&amp;$AA$46,W$2)</f>
        <v>2.5569999999999999</v>
      </c>
      <c r="AC48" t="str">
        <f>_xll.xlShmInterpDisc($N$5,AH48)</f>
        <v>Curve (EONIA) is not present in shared memory.</v>
      </c>
      <c r="AD48" t="e">
        <f t="shared" si="6"/>
        <v>#VALUE!</v>
      </c>
      <c r="AE48" t="s">
        <v>118</v>
      </c>
      <c r="AF48" s="49">
        <v>39995</v>
      </c>
      <c r="AG48" t="s">
        <v>199</v>
      </c>
      <c r="AH48" s="49">
        <v>46204</v>
      </c>
      <c r="AI48" s="49" t="s">
        <v>182</v>
      </c>
      <c r="AJ48">
        <v>0.50611144081010395</v>
      </c>
      <c r="AK48" s="49">
        <v>4.0020031279963204</v>
      </c>
      <c r="AN48">
        <v>3.8310059999999999</v>
      </c>
      <c r="AO48">
        <v>0</v>
      </c>
      <c r="AP48">
        <v>0</v>
      </c>
      <c r="AQ48">
        <v>0</v>
      </c>
    </row>
    <row r="49" spans="3:43" x14ac:dyDescent="0.2">
      <c r="C49" s="76">
        <v>18</v>
      </c>
      <c r="D49" s="77">
        <f t="shared" si="7"/>
        <v>2.2969499999999998</v>
      </c>
      <c r="E49" s="77"/>
      <c r="F49" s="77">
        <f t="shared" si="8"/>
        <v>2.5819999999999999</v>
      </c>
      <c r="G49" s="77">
        <v>-0.28505000000000003</v>
      </c>
      <c r="J49" s="50">
        <f ca="1"/>
        <v>48204</v>
      </c>
      <c r="K49" s="51">
        <f ca="1"/>
        <v>0.65071936328365798</v>
      </c>
      <c r="P49" s="31">
        <f t="shared" si="9"/>
        <v>2.5819999999999999</v>
      </c>
      <c r="R49" s="31">
        <f t="shared" si="10"/>
        <v>2.5819999999999999</v>
      </c>
      <c r="S49" s="31">
        <f t="shared" si="11"/>
        <v>2.2969499999999998</v>
      </c>
      <c r="U49">
        <v>18</v>
      </c>
      <c r="V49">
        <f>_xll.RtGet($Z$45,$Z$46&amp;$U49&amp;$AA$46,V$2)</f>
        <v>2.5819999999999999</v>
      </c>
      <c r="W49">
        <f>_xll.RtGet($Z$45,$Z$46&amp;$U49&amp;$AA$46,W$2)</f>
        <v>2.5819999999999999</v>
      </c>
      <c r="AC49" t="str">
        <f>_xll.xlShmInterpDisc($N$5,AH49)</f>
        <v>Curve (EONIA) is not present in shared memory.</v>
      </c>
      <c r="AD49" t="e">
        <f t="shared" si="6"/>
        <v>#VALUE!</v>
      </c>
      <c r="AE49" t="s">
        <v>118</v>
      </c>
      <c r="AF49" s="49">
        <v>39995</v>
      </c>
      <c r="AG49" t="s">
        <v>199</v>
      </c>
      <c r="AH49" s="49">
        <v>46569</v>
      </c>
      <c r="AI49" s="49" t="s">
        <v>183</v>
      </c>
      <c r="AJ49">
        <v>0.48293432702530298</v>
      </c>
      <c r="AK49" s="49">
        <v>4.0400582467088002</v>
      </c>
      <c r="AN49">
        <v>3.8640300000000001</v>
      </c>
      <c r="AO49">
        <v>0</v>
      </c>
      <c r="AP49">
        <v>0</v>
      </c>
      <c r="AQ49">
        <v>0</v>
      </c>
    </row>
    <row r="50" spans="3:43" x14ac:dyDescent="0.2">
      <c r="C50" s="76">
        <v>19</v>
      </c>
      <c r="D50" s="77">
        <f t="shared" si="7"/>
        <v>2.3205800000000001</v>
      </c>
      <c r="E50" s="77"/>
      <c r="F50" s="77">
        <f t="shared" si="8"/>
        <v>2.6</v>
      </c>
      <c r="G50" s="77">
        <v>-0.27942</v>
      </c>
      <c r="J50" s="50">
        <f ca="1"/>
        <v>48568</v>
      </c>
      <c r="K50" s="51">
        <f ca="1"/>
        <v>0.63252943431163111</v>
      </c>
      <c r="P50" s="31">
        <f t="shared" si="9"/>
        <v>2.6</v>
      </c>
      <c r="R50" s="31">
        <f t="shared" si="10"/>
        <v>2.6</v>
      </c>
      <c r="S50" s="31">
        <f t="shared" si="11"/>
        <v>2.3205800000000001</v>
      </c>
      <c r="U50">
        <v>19</v>
      </c>
      <c r="V50">
        <f>_xll.RtGet($Z$45,$Z$46&amp;$U50&amp;$AA$46,V$2)</f>
        <v>2.6</v>
      </c>
      <c r="W50">
        <f>_xll.RtGet($Z$45,$Z$46&amp;$U50&amp;$AA$46,W$2)</f>
        <v>2.6</v>
      </c>
      <c r="AC50" t="str">
        <f>_xll.xlShmInterpDisc($N$5,AH50)</f>
        <v>Curve (EONIA) is not present in shared memory.</v>
      </c>
      <c r="AD50" t="e">
        <f t="shared" si="6"/>
        <v>#VALUE!</v>
      </c>
      <c r="AE50" t="s">
        <v>118</v>
      </c>
      <c r="AF50" s="49">
        <v>39995</v>
      </c>
      <c r="AG50" t="s">
        <v>199</v>
      </c>
      <c r="AH50" s="49">
        <v>46937</v>
      </c>
      <c r="AI50" s="49" t="s">
        <v>184</v>
      </c>
      <c r="AJ50">
        <v>0.46139359220987902</v>
      </c>
      <c r="AK50" s="49">
        <v>4.0657962949937803</v>
      </c>
      <c r="AN50">
        <v>3.887969</v>
      </c>
      <c r="AO50">
        <v>0</v>
      </c>
      <c r="AP50">
        <v>0</v>
      </c>
      <c r="AQ50">
        <v>0</v>
      </c>
    </row>
    <row r="51" spans="3:43" x14ac:dyDescent="0.2">
      <c r="C51" s="76">
        <v>20</v>
      </c>
      <c r="D51" s="77">
        <f t="shared" si="7"/>
        <v>2.337529</v>
      </c>
      <c r="E51" s="77"/>
      <c r="F51" s="77">
        <f t="shared" si="8"/>
        <v>2.6120000000000001</v>
      </c>
      <c r="G51" s="77">
        <v>-0.27447100000000002</v>
      </c>
      <c r="J51" s="50">
        <f ca="1"/>
        <v>48933</v>
      </c>
      <c r="K51" s="51">
        <f ca="1"/>
        <v>0.61545906220835378</v>
      </c>
      <c r="P51" s="31">
        <f t="shared" si="9"/>
        <v>2.6120000000000001</v>
      </c>
      <c r="R51" s="31">
        <f t="shared" si="10"/>
        <v>2.6120000000000001</v>
      </c>
      <c r="S51" s="31">
        <f t="shared" si="11"/>
        <v>2.337529</v>
      </c>
      <c r="U51">
        <v>20</v>
      </c>
      <c r="V51">
        <f>_xll.RtGet($Z$45,$Z$46&amp;$U51&amp;$AA$46,V$2)</f>
        <v>2.6120000000000001</v>
      </c>
      <c r="W51">
        <f>_xll.RtGet($Z$45,$Z$46&amp;$U51&amp;$AA$46,W$2)</f>
        <v>2.6120000000000001</v>
      </c>
      <c r="AC51" t="str">
        <f>_xll.xlShmInterpDisc($N$5,AH51)</f>
        <v>Curve (EONIA) is not present in shared memory.</v>
      </c>
      <c r="AD51" t="e">
        <f t="shared" si="6"/>
        <v>#VALUE!</v>
      </c>
      <c r="AE51" t="s">
        <v>118</v>
      </c>
      <c r="AF51" s="49">
        <v>39995</v>
      </c>
      <c r="AG51" t="s">
        <v>199</v>
      </c>
      <c r="AH51" s="49">
        <v>47301</v>
      </c>
      <c r="AI51" s="49" t="s">
        <v>185</v>
      </c>
      <c r="AJ51">
        <v>0.441873468358632</v>
      </c>
      <c r="AK51" s="49">
        <v>4.0791882002067297</v>
      </c>
      <c r="AN51">
        <v>3.903</v>
      </c>
      <c r="AO51">
        <v>0</v>
      </c>
      <c r="AP51">
        <v>0</v>
      </c>
      <c r="AQ51">
        <v>0</v>
      </c>
    </row>
    <row r="52" spans="3:43" x14ac:dyDescent="0.2">
      <c r="C52" s="76">
        <v>21</v>
      </c>
      <c r="D52" s="77">
        <f t="shared" si="7"/>
        <v>2.350876</v>
      </c>
      <c r="E52" s="77"/>
      <c r="F52" s="77">
        <f t="shared" si="8"/>
        <v>2.621</v>
      </c>
      <c r="G52" s="77">
        <v>-0.27012399999999998</v>
      </c>
      <c r="J52" s="50">
        <f ca="1"/>
        <v>49298</v>
      </c>
      <c r="K52" s="51">
        <f ca="1"/>
        <v>0.59917752718835204</v>
      </c>
      <c r="P52" s="31">
        <f t="shared" si="9"/>
        <v>2.621</v>
      </c>
      <c r="R52" s="31">
        <f t="shared" si="10"/>
        <v>2.621</v>
      </c>
      <c r="S52" s="31">
        <f t="shared" si="11"/>
        <v>2.350876</v>
      </c>
      <c r="U52">
        <v>21</v>
      </c>
      <c r="V52">
        <f>_xll.RtGet($Z$45,$Z$46&amp;$U52&amp;$AA$46,V$2)</f>
        <v>2.621</v>
      </c>
      <c r="W52">
        <f>_xll.RtGet($Z$45,$Z$46&amp;$U52&amp;$AA$46,W$2)</f>
        <v>2.621</v>
      </c>
      <c r="AC52" t="str">
        <f>_xll.xlShmInterpDisc($N$5,AH52)</f>
        <v>Curve (EONIA) is not present in shared memory.</v>
      </c>
      <c r="AD52" t="e">
        <f t="shared" si="6"/>
        <v>#VALUE!</v>
      </c>
      <c r="AE52" t="s">
        <v>118</v>
      </c>
      <c r="AF52" s="49">
        <v>39995</v>
      </c>
      <c r="AG52" t="s">
        <v>199</v>
      </c>
      <c r="AH52" s="49">
        <v>47665</v>
      </c>
      <c r="AI52" s="49" t="s">
        <v>186</v>
      </c>
      <c r="AJ52">
        <v>0.42416736185179599</v>
      </c>
      <c r="AK52" s="49">
        <v>4.0802127326498603</v>
      </c>
      <c r="AN52">
        <v>3.9095650000000002</v>
      </c>
      <c r="AO52">
        <v>0</v>
      </c>
      <c r="AP52">
        <v>0</v>
      </c>
      <c r="AQ52">
        <v>0</v>
      </c>
    </row>
    <row r="53" spans="3:43" x14ac:dyDescent="0.2">
      <c r="C53" s="76">
        <v>22</v>
      </c>
      <c r="D53" s="77">
        <f t="shared" si="7"/>
        <v>2.3607749999999998</v>
      </c>
      <c r="E53" s="77"/>
      <c r="F53" s="77">
        <f t="shared" si="8"/>
        <v>2.6269999999999998</v>
      </c>
      <c r="G53" s="77">
        <v>-0.26622499999999999</v>
      </c>
      <c r="J53" s="50">
        <f ca="1"/>
        <v>49663</v>
      </c>
      <c r="K53" s="51">
        <f ca="1"/>
        <v>0.58370973134159732</v>
      </c>
      <c r="P53" s="31">
        <f t="shared" si="9"/>
        <v>2.6269999999999998</v>
      </c>
      <c r="R53" s="31">
        <f t="shared" si="10"/>
        <v>2.6269999999999998</v>
      </c>
      <c r="S53" s="31">
        <f t="shared" si="11"/>
        <v>2.3607749999999998</v>
      </c>
      <c r="U53">
        <v>22</v>
      </c>
      <c r="V53">
        <f>_xll.RtGet($Z$45,$Z$46&amp;$U53&amp;$AA$46,V$2)</f>
        <v>2.6269999999999998</v>
      </c>
      <c r="W53">
        <f>_xll.RtGet($Z$45,$Z$46&amp;$U53&amp;$AA$46,W$2)</f>
        <v>2.6269999999999998</v>
      </c>
      <c r="AC53" t="str">
        <f>_xll.xlShmInterpDisc($N$5,AH53)</f>
        <v>Curve (EONIA) is not present in shared memory.</v>
      </c>
      <c r="AD53" t="e">
        <f t="shared" si="6"/>
        <v>#VALUE!</v>
      </c>
      <c r="AE53" t="s">
        <v>118</v>
      </c>
      <c r="AF53" s="49">
        <v>39995</v>
      </c>
      <c r="AG53" t="s">
        <v>199</v>
      </c>
      <c r="AH53" s="49">
        <v>48030</v>
      </c>
      <c r="AI53" s="49" t="s">
        <v>187</v>
      </c>
      <c r="AJ53">
        <v>0.40805223202048702</v>
      </c>
      <c r="AK53" s="49">
        <v>4.0708154041800801</v>
      </c>
      <c r="AN53">
        <v>3.9091719999999999</v>
      </c>
      <c r="AO53">
        <v>0</v>
      </c>
      <c r="AP53">
        <v>0</v>
      </c>
      <c r="AQ53">
        <v>0</v>
      </c>
    </row>
    <row r="54" spans="3:43" x14ac:dyDescent="0.2">
      <c r="C54" s="76">
        <v>23</v>
      </c>
      <c r="D54" s="77">
        <f t="shared" si="7"/>
        <v>2.369319</v>
      </c>
      <c r="E54" s="77"/>
      <c r="F54" s="77">
        <f t="shared" si="8"/>
        <v>2.6320000000000001</v>
      </c>
      <c r="G54" s="77">
        <v>-0.262681</v>
      </c>
      <c r="J54" s="50">
        <f ca="1"/>
        <v>50031</v>
      </c>
      <c r="K54" s="51">
        <f ca="1"/>
        <v>0.56865505282235285</v>
      </c>
      <c r="P54" s="31">
        <f t="shared" si="9"/>
        <v>2.6320000000000001</v>
      </c>
      <c r="R54" s="31">
        <f t="shared" si="10"/>
        <v>2.6320000000000001</v>
      </c>
      <c r="S54" s="31">
        <f t="shared" si="11"/>
        <v>2.369319</v>
      </c>
      <c r="U54">
        <v>23</v>
      </c>
      <c r="V54">
        <f>_xll.RtGet($Z$45,$Z$46&amp;$U54&amp;$AA$46,V$2)</f>
        <v>2.6320000000000001</v>
      </c>
      <c r="W54">
        <f>_xll.RtGet($Z$45,$Z$46&amp;$U54&amp;$AA$46,W$2)</f>
        <v>2.6320000000000001</v>
      </c>
      <c r="AC54" t="str">
        <f>_xll.xlShmInterpDisc($N$5,AH54)</f>
        <v>Curve (EONIA) is not present in shared memory.</v>
      </c>
      <c r="AD54" t="e">
        <f t="shared" si="6"/>
        <v>#VALUE!</v>
      </c>
      <c r="AE54" t="s">
        <v>118</v>
      </c>
      <c r="AF54" s="49">
        <v>39995</v>
      </c>
      <c r="AG54" t="s">
        <v>199</v>
      </c>
      <c r="AH54" s="49">
        <v>48396</v>
      </c>
      <c r="AI54" s="49" t="s">
        <v>188</v>
      </c>
      <c r="AJ54">
        <v>0.393288137706443</v>
      </c>
      <c r="AK54" s="49">
        <v>4.0535839317905502</v>
      </c>
      <c r="AN54">
        <v>3.903597</v>
      </c>
      <c r="AO54">
        <v>0</v>
      </c>
      <c r="AP54">
        <v>0</v>
      </c>
      <c r="AQ54">
        <v>0</v>
      </c>
    </row>
    <row r="55" spans="3:43" x14ac:dyDescent="0.2">
      <c r="C55" s="76">
        <v>24</v>
      </c>
      <c r="D55" s="77">
        <f t="shared" si="7"/>
        <v>2.3735979999999999</v>
      </c>
      <c r="E55" s="77"/>
      <c r="F55" s="77">
        <f t="shared" si="8"/>
        <v>2.633</v>
      </c>
      <c r="G55" s="77">
        <v>-0.25940200000000002</v>
      </c>
      <c r="J55" s="50">
        <f ca="1"/>
        <v>50395</v>
      </c>
      <c r="K55" s="51">
        <f ca="1"/>
        <v>0.5547452178914053</v>
      </c>
      <c r="P55" s="31">
        <f t="shared" si="9"/>
        <v>2.633</v>
      </c>
      <c r="R55" s="31">
        <f t="shared" si="10"/>
        <v>2.633</v>
      </c>
      <c r="S55" s="31">
        <f t="shared" si="11"/>
        <v>2.3735979999999999</v>
      </c>
      <c r="U55">
        <v>24</v>
      </c>
      <c r="V55">
        <f>_xll.RtGet($Z$45,$Z$46&amp;$U55&amp;$AA$46,V$2)</f>
        <v>2.633</v>
      </c>
      <c r="W55">
        <f>_xll.RtGet($Z$45,$Z$46&amp;$U55&amp;$AA$46,W$2)</f>
        <v>2.633</v>
      </c>
      <c r="AC55" t="str">
        <f>_xll.xlShmInterpDisc($N$5,AH55)</f>
        <v>Curve (EONIA) is not present in shared memory.</v>
      </c>
      <c r="AD55" t="e">
        <f t="shared" si="6"/>
        <v>#VALUE!</v>
      </c>
      <c r="AE55" t="s">
        <v>118</v>
      </c>
      <c r="AF55" s="49">
        <v>39995</v>
      </c>
      <c r="AG55" t="s">
        <v>199</v>
      </c>
      <c r="AH55" s="49">
        <v>48761</v>
      </c>
      <c r="AI55" s="49" t="s">
        <v>189</v>
      </c>
      <c r="AJ55">
        <v>0.379691360329798</v>
      </c>
      <c r="AK55" s="49">
        <v>4.0313041357180204</v>
      </c>
      <c r="AN55">
        <v>3.8946139999999998</v>
      </c>
      <c r="AO55">
        <v>0</v>
      </c>
      <c r="AP55">
        <v>0</v>
      </c>
      <c r="AQ55">
        <v>0</v>
      </c>
    </row>
    <row r="56" spans="3:43" x14ac:dyDescent="0.2">
      <c r="C56" s="76">
        <v>25</v>
      </c>
      <c r="D56" s="77">
        <f t="shared" si="7"/>
        <v>2.3767040000000001</v>
      </c>
      <c r="E56" s="77"/>
      <c r="F56" s="77">
        <f t="shared" si="8"/>
        <v>2.633</v>
      </c>
      <c r="G56" s="77">
        <v>-0.25629600000000002</v>
      </c>
      <c r="J56" s="50">
        <f ca="1"/>
        <v>50759</v>
      </c>
      <c r="K56" s="51">
        <f ca="1"/>
        <v>0.54133245804175467</v>
      </c>
      <c r="P56" s="31">
        <f t="shared" si="9"/>
        <v>2.633</v>
      </c>
      <c r="R56" s="31">
        <f t="shared" si="10"/>
        <v>2.633</v>
      </c>
      <c r="S56" s="31">
        <f t="shared" si="11"/>
        <v>2.3767040000000001</v>
      </c>
      <c r="U56">
        <v>25</v>
      </c>
      <c r="V56">
        <f>_xll.RtGet($Z$45,$Z$46&amp;$U56&amp;$AA$46,V$2)</f>
        <v>2.633</v>
      </c>
      <c r="W56">
        <f>_xll.RtGet($Z$45,$Z$46&amp;$U56&amp;$AA$46,W$2)</f>
        <v>2.633</v>
      </c>
      <c r="AC56" t="str">
        <f>_xll.xlShmInterpDisc($N$5,AH56)</f>
        <v>Curve (EONIA) is not present in shared memory.</v>
      </c>
      <c r="AD56" t="e">
        <f t="shared" si="6"/>
        <v>#VALUE!</v>
      </c>
      <c r="AE56" t="s">
        <v>118</v>
      </c>
      <c r="AF56" s="49">
        <v>39995</v>
      </c>
      <c r="AG56" t="s">
        <v>199</v>
      </c>
      <c r="AH56" s="49">
        <v>49128</v>
      </c>
      <c r="AI56" s="49" t="s">
        <v>190</v>
      </c>
      <c r="AJ56">
        <v>0.36685607659138603</v>
      </c>
      <c r="AK56" s="49">
        <v>4.0067517186719401</v>
      </c>
      <c r="AN56">
        <v>3.8839999999999999</v>
      </c>
      <c r="AO56">
        <v>0</v>
      </c>
      <c r="AP56">
        <v>0</v>
      </c>
      <c r="AQ56">
        <v>0</v>
      </c>
    </row>
    <row r="57" spans="3:43" x14ac:dyDescent="0.2">
      <c r="C57" s="76">
        <v>26</v>
      </c>
      <c r="D57" s="77">
        <f t="shared" si="7"/>
        <v>2.3776349999999997</v>
      </c>
      <c r="E57" s="77"/>
      <c r="F57" s="77">
        <f t="shared" si="8"/>
        <v>2.6309999999999998</v>
      </c>
      <c r="G57" s="77">
        <v>-0.25336500000000001</v>
      </c>
      <c r="J57" s="50">
        <f ca="1"/>
        <v>51124</v>
      </c>
      <c r="K57" s="51">
        <f ca="1"/>
        <v>0.52858497253129066</v>
      </c>
      <c r="P57" s="31">
        <f t="shared" si="9"/>
        <v>2.6309999999999998</v>
      </c>
      <c r="R57" s="31">
        <f t="shared" si="10"/>
        <v>2.6309999999999998</v>
      </c>
      <c r="S57" s="31">
        <f t="shared" si="11"/>
        <v>2.3776349999999997</v>
      </c>
      <c r="U57">
        <v>26</v>
      </c>
      <c r="V57">
        <f>_xll.RtGet($Z$45,$Z$46&amp;$U57&amp;$AA$46,V$2)</f>
        <v>2.6309999999999998</v>
      </c>
      <c r="W57">
        <f>_xll.RtGet($Z$45,$Z$46&amp;$U57&amp;$AA$46,W$2)</f>
        <v>2.6309999999999998</v>
      </c>
      <c r="AC57" t="str">
        <f>_xll.xlShmInterpDisc($N$5,AH57)</f>
        <v>Curve (EONIA) is not present in shared memory.</v>
      </c>
      <c r="AD57" t="e">
        <f t="shared" si="6"/>
        <v>#VALUE!</v>
      </c>
      <c r="AE57" t="s">
        <v>118</v>
      </c>
      <c r="AF57" s="49">
        <v>39995</v>
      </c>
      <c r="AG57" t="s">
        <v>199</v>
      </c>
      <c r="AH57" s="49">
        <v>49492</v>
      </c>
      <c r="AI57" s="49" t="s">
        <v>191</v>
      </c>
      <c r="AJ57">
        <v>0.354720211638543</v>
      </c>
      <c r="AK57" s="49">
        <v>3.9824767540753898</v>
      </c>
      <c r="AN57">
        <v>3.8732280000000001</v>
      </c>
      <c r="AO57">
        <v>0</v>
      </c>
      <c r="AP57">
        <v>0</v>
      </c>
      <c r="AQ57">
        <v>0</v>
      </c>
    </row>
    <row r="58" spans="3:43" x14ac:dyDescent="0.2">
      <c r="C58" s="76">
        <v>27</v>
      </c>
      <c r="D58" s="77">
        <f t="shared" si="7"/>
        <v>2.3773629999999999</v>
      </c>
      <c r="E58" s="77"/>
      <c r="F58" s="77">
        <f t="shared" si="8"/>
        <v>2.6280000000000001</v>
      </c>
      <c r="G58" s="77">
        <v>-0.250637</v>
      </c>
      <c r="J58" s="50">
        <f ca="1"/>
        <v>51490</v>
      </c>
      <c r="K58" s="51">
        <f ca="1"/>
        <v>0.51636307607325516</v>
      </c>
      <c r="P58" s="31">
        <f t="shared" si="9"/>
        <v>2.6280000000000001</v>
      </c>
      <c r="R58" s="31">
        <f t="shared" si="10"/>
        <v>2.6280000000000001</v>
      </c>
      <c r="S58" s="31">
        <f t="shared" si="11"/>
        <v>2.3773629999999999</v>
      </c>
      <c r="U58">
        <v>27</v>
      </c>
      <c r="V58">
        <f>_xll.RtGet($Z$45,$Z$46&amp;$U58&amp;$AA$46,V$2)</f>
        <v>2.6280000000000001</v>
      </c>
      <c r="W58">
        <f>_xll.RtGet($Z$45,$Z$46&amp;$U58&amp;$AA$46,W$2)</f>
        <v>2.6280000000000001</v>
      </c>
      <c r="AC58" t="str">
        <f>_xll.xlShmInterpDisc($N$5,AH58)</f>
        <v>Curve (EONIA) is not present in shared memory.</v>
      </c>
      <c r="AD58" t="e">
        <f t="shared" si="6"/>
        <v>#VALUE!</v>
      </c>
      <c r="AE58" t="s">
        <v>118</v>
      </c>
      <c r="AF58" s="49">
        <v>39995</v>
      </c>
      <c r="AG58" t="s">
        <v>199</v>
      </c>
      <c r="AH58" s="49">
        <v>49857</v>
      </c>
      <c r="AI58" s="49" t="s">
        <v>192</v>
      </c>
      <c r="AJ58">
        <v>0.34306060244039499</v>
      </c>
      <c r="AK58" s="49">
        <v>3.9587852786758702</v>
      </c>
      <c r="AN58">
        <v>3.862571</v>
      </c>
      <c r="AO58">
        <v>0</v>
      </c>
      <c r="AP58">
        <v>0</v>
      </c>
      <c r="AQ58">
        <v>0</v>
      </c>
    </row>
    <row r="59" spans="3:43" x14ac:dyDescent="0.2">
      <c r="C59" s="76">
        <v>28</v>
      </c>
      <c r="D59" s="77">
        <f t="shared" si="7"/>
        <v>2.376938</v>
      </c>
      <c r="E59" s="77"/>
      <c r="F59" s="77">
        <f t="shared" si="8"/>
        <v>2.625</v>
      </c>
      <c r="G59" s="77">
        <v>-0.248062</v>
      </c>
      <c r="J59" s="50">
        <f ca="1"/>
        <v>51855</v>
      </c>
      <c r="K59" s="51">
        <f ca="1"/>
        <v>0.5044588592010375</v>
      </c>
      <c r="P59" s="31">
        <f t="shared" si="9"/>
        <v>2.625</v>
      </c>
      <c r="R59" s="31">
        <f t="shared" si="10"/>
        <v>2.625</v>
      </c>
      <c r="S59" s="31">
        <f t="shared" si="11"/>
        <v>2.376938</v>
      </c>
      <c r="U59">
        <v>28</v>
      </c>
      <c r="V59">
        <f>_xll.RtGet($Z$45,$Z$46&amp;$U59&amp;$AA$46,V$2)</f>
        <v>2.625</v>
      </c>
      <c r="W59">
        <f>_xll.RtGet($Z$45,$Z$46&amp;$U59&amp;$AA$46,W$2)</f>
        <v>2.625</v>
      </c>
      <c r="AC59" t="str">
        <f>_xll.xlShmInterpDisc($N$5,AH59)</f>
        <v>Curve (EONIA) is not present in shared memory.</v>
      </c>
      <c r="AD59" t="e">
        <f t="shared" si="6"/>
        <v>#VALUE!</v>
      </c>
      <c r="AE59" t="s">
        <v>118</v>
      </c>
      <c r="AF59" s="49">
        <v>39995</v>
      </c>
      <c r="AG59" t="s">
        <v>199</v>
      </c>
      <c r="AH59" s="49">
        <v>50222</v>
      </c>
      <c r="AI59" t="s">
        <v>193</v>
      </c>
      <c r="AJ59">
        <v>0.33189622804051</v>
      </c>
      <c r="AK59">
        <v>3.9355803862359098</v>
      </c>
      <c r="AN59">
        <v>3.8519999999999999</v>
      </c>
      <c r="AO59">
        <v>0</v>
      </c>
      <c r="AP59">
        <v>0</v>
      </c>
      <c r="AQ59">
        <v>0</v>
      </c>
    </row>
    <row r="60" spans="3:43" x14ac:dyDescent="0.2">
      <c r="C60" s="76">
        <v>29</v>
      </c>
      <c r="D60" s="77">
        <f t="shared" si="7"/>
        <v>2.3754119999999999</v>
      </c>
      <c r="E60" s="77"/>
      <c r="F60" s="77">
        <f t="shared" si="8"/>
        <v>2.621</v>
      </c>
      <c r="G60" s="77">
        <v>-0.245588</v>
      </c>
      <c r="J60" s="50">
        <f ca="1"/>
        <v>52222</v>
      </c>
      <c r="K60" s="51">
        <f ca="1"/>
        <v>0.49300112246680505</v>
      </c>
      <c r="P60" s="31">
        <f t="shared" si="9"/>
        <v>2.621</v>
      </c>
      <c r="R60" s="31">
        <f t="shared" si="10"/>
        <v>2.621</v>
      </c>
      <c r="S60" s="31">
        <f t="shared" si="11"/>
        <v>2.3754119999999999</v>
      </c>
      <c r="U60">
        <v>29</v>
      </c>
      <c r="V60">
        <f>_xll.RtGet($Z$45,$Z$46&amp;$U60&amp;$AA$46,V$2)</f>
        <v>2.621</v>
      </c>
      <c r="W60">
        <f>_xll.RtGet($Z$45,$Z$46&amp;$U60&amp;$AA$46,W$2)</f>
        <v>2.621</v>
      </c>
      <c r="AC60" t="str">
        <f>_xll.xlShmInterpDisc($N$5,AH60)</f>
        <v>Curve (EONIA) is not present in shared memory.</v>
      </c>
      <c r="AD60" t="e">
        <f t="shared" si="6"/>
        <v>#VALUE!</v>
      </c>
      <c r="AE60" t="s">
        <v>118</v>
      </c>
      <c r="AF60" s="49">
        <v>39995</v>
      </c>
      <c r="AG60" t="s">
        <v>199</v>
      </c>
      <c r="AH60" s="49">
        <v>50587</v>
      </c>
      <c r="AI60" t="s">
        <v>194</v>
      </c>
      <c r="AJ60">
        <v>0.32120933409875901</v>
      </c>
      <c r="AK60">
        <v>3.9127498268434202</v>
      </c>
      <c r="AN60">
        <v>3.841485</v>
      </c>
      <c r="AO60">
        <v>0</v>
      </c>
      <c r="AP60">
        <v>0</v>
      </c>
      <c r="AQ60">
        <v>0</v>
      </c>
    </row>
    <row r="61" spans="3:43" x14ac:dyDescent="0.2">
      <c r="C61" s="76">
        <v>30</v>
      </c>
      <c r="D61" s="77">
        <f t="shared" si="7"/>
        <v>2.374835</v>
      </c>
      <c r="E61" s="77"/>
      <c r="F61" s="77">
        <f t="shared" si="8"/>
        <v>2.6179999999999999</v>
      </c>
      <c r="G61" s="77">
        <v>-0.24316499999999999</v>
      </c>
      <c r="J61" s="50">
        <f ca="1"/>
        <v>52586</v>
      </c>
      <c r="K61" s="51">
        <f ca="1"/>
        <v>0.48171608773308205</v>
      </c>
      <c r="P61" s="31">
        <f t="shared" si="9"/>
        <v>2.6179999999999999</v>
      </c>
      <c r="R61" s="31">
        <f t="shared" si="10"/>
        <v>2.6179999999999999</v>
      </c>
      <c r="S61" s="31">
        <f t="shared" si="11"/>
        <v>2.374835</v>
      </c>
      <c r="U61">
        <v>30</v>
      </c>
      <c r="V61">
        <f>_xll.RtGet($Z$45,$Z$46&amp;$U61&amp;$AA$46,V$2)</f>
        <v>2.6179999999999999</v>
      </c>
      <c r="W61">
        <f>_xll.RtGet($Z$45,$Z$46&amp;$U61&amp;$AA$46,W$2)</f>
        <v>2.6179999999999999</v>
      </c>
      <c r="AC61" t="str">
        <f>_xll.xlShmInterpDisc($N$5,AH61)</f>
        <v>Curve (EONIA) is not present in shared memory.</v>
      </c>
      <c r="AD61" t="e">
        <f t="shared" si="6"/>
        <v>#VALUE!</v>
      </c>
      <c r="AE61" t="s">
        <v>118</v>
      </c>
      <c r="AF61" s="49">
        <v>39995</v>
      </c>
      <c r="AG61" t="s">
        <v>199</v>
      </c>
      <c r="AH61" s="49">
        <v>50952</v>
      </c>
      <c r="AI61" t="s">
        <v>195</v>
      </c>
      <c r="AJ61">
        <v>0.31098275191733799</v>
      </c>
      <c r="AK61">
        <v>3.89019534111535</v>
      </c>
      <c r="AN61">
        <v>3.831</v>
      </c>
      <c r="AO61">
        <v>0</v>
      </c>
      <c r="AP61">
        <v>0</v>
      </c>
      <c r="AQ61">
        <v>0</v>
      </c>
    </row>
    <row r="62" spans="3:43" x14ac:dyDescent="0.2">
      <c r="C62" s="76">
        <v>40</v>
      </c>
      <c r="D62" s="77">
        <f t="shared" si="7"/>
        <v>2.3959999999999999</v>
      </c>
      <c r="E62" s="77"/>
      <c r="F62" s="77">
        <f t="shared" si="8"/>
        <v>2.6160000000000001</v>
      </c>
      <c r="G62" s="77">
        <v>-0.22</v>
      </c>
      <c r="J62" s="50">
        <f ca="1"/>
        <v>56240</v>
      </c>
      <c r="K62" s="51">
        <f ca="1"/>
        <v>0.37607215242485825</v>
      </c>
      <c r="P62" s="31">
        <f t="shared" si="9"/>
        <v>2.6160000000000001</v>
      </c>
      <c r="R62" s="31">
        <f t="shared" si="10"/>
        <v>2.6160000000000001</v>
      </c>
      <c r="S62" s="31">
        <f t="shared" si="11"/>
        <v>2.3959999999999999</v>
      </c>
      <c r="U62">
        <v>40</v>
      </c>
      <c r="V62">
        <f>_xll.RtGet($Z$45,$Z$46&amp;$U62&amp;$AA$46,V$2)</f>
        <v>2.6160000000000001</v>
      </c>
      <c r="W62">
        <f>_xll.RtGet($Z$45,$Z$46&amp;$U62&amp;$AA$46,W$2)</f>
        <v>2.6160000000000001</v>
      </c>
      <c r="AC62" t="str">
        <f>_xll.xlShmInterpDisc($N$5,AH62)</f>
        <v>Curve (EONIA) is not present in shared memory.</v>
      </c>
      <c r="AD62" t="e">
        <f t="shared" si="6"/>
        <v>#VALUE!</v>
      </c>
      <c r="AE62" t="s">
        <v>172</v>
      </c>
      <c r="AF62" s="49">
        <v>39864</v>
      </c>
      <c r="AG62" t="s">
        <v>173</v>
      </c>
      <c r="AH62" s="49">
        <v>54476</v>
      </c>
      <c r="AI62" t="s">
        <v>196</v>
      </c>
      <c r="AJ62">
        <v>0.329733711734228</v>
      </c>
      <c r="AK62">
        <v>2.7710175712826302</v>
      </c>
      <c r="AM62">
        <v>1</v>
      </c>
      <c r="AN62">
        <v>2.9969999999999999</v>
      </c>
      <c r="AO62">
        <v>-0.22</v>
      </c>
      <c r="AP62">
        <v>-0.22</v>
      </c>
      <c r="AQ62">
        <v>-0.22</v>
      </c>
    </row>
    <row r="63" spans="3:43" x14ac:dyDescent="0.2">
      <c r="C63" s="76">
        <v>50</v>
      </c>
      <c r="D63" s="77">
        <f t="shared" si="7"/>
        <v>2.4020000000000001</v>
      </c>
      <c r="E63" s="77"/>
      <c r="F63" s="77">
        <f t="shared" si="8"/>
        <v>2.617</v>
      </c>
      <c r="G63" s="77">
        <v>-0.215</v>
      </c>
      <c r="J63" s="50">
        <f ca="1"/>
        <v>59890</v>
      </c>
      <c r="K63" s="51">
        <f ca="1"/>
        <v>0.29528740520369884</v>
      </c>
      <c r="P63" s="31">
        <f t="shared" si="9"/>
        <v>2.617</v>
      </c>
      <c r="R63" s="31">
        <f t="shared" si="10"/>
        <v>2.617</v>
      </c>
      <c r="S63" s="31">
        <f t="shared" si="11"/>
        <v>2.4020000000000001</v>
      </c>
      <c r="U63">
        <v>50</v>
      </c>
      <c r="V63">
        <f>_xll.RtGet($Z$45,$Z$46&amp;$U63&amp;$AA$46,V$2)</f>
        <v>2.617</v>
      </c>
      <c r="W63">
        <f>_xll.RtGet($Z$45,$Z$46&amp;$U63&amp;$AA$46,W$2)</f>
        <v>2.617</v>
      </c>
      <c r="AC63" t="str">
        <f>_xll.xlShmInterpDisc($N$5,AH63)</f>
        <v>Curve (EONIA) is not present in shared memory.</v>
      </c>
      <c r="AD63" t="e">
        <f t="shared" si="6"/>
        <v>#VALUE!</v>
      </c>
      <c r="AE63" t="s">
        <v>172</v>
      </c>
      <c r="AF63" s="49">
        <v>39864</v>
      </c>
      <c r="AG63" t="s">
        <v>173</v>
      </c>
      <c r="AH63" s="49">
        <v>58126</v>
      </c>
      <c r="AI63" t="s">
        <v>197</v>
      </c>
      <c r="AJ63">
        <v>0.27410128892123697</v>
      </c>
      <c r="AK63">
        <v>2.5865309588595999</v>
      </c>
      <c r="AM63">
        <v>1</v>
      </c>
      <c r="AN63">
        <v>2.8650000000000002</v>
      </c>
      <c r="AO63">
        <v>-0.215</v>
      </c>
      <c r="AP63">
        <v>-0.215</v>
      </c>
      <c r="AQ63">
        <v>-0.215</v>
      </c>
    </row>
    <row r="64" spans="3:43" ht="13.5" thickBot="1" x14ac:dyDescent="0.25">
      <c r="C64" s="76">
        <v>60</v>
      </c>
      <c r="D64" s="77">
        <f t="shared" si="7"/>
        <v>2.4239999999999999</v>
      </c>
      <c r="E64" s="77"/>
      <c r="F64" s="77">
        <f t="shared" si="8"/>
        <v>2.6339999999999999</v>
      </c>
      <c r="G64" s="77">
        <v>-0.21</v>
      </c>
      <c r="J64" s="78">
        <f ca="1"/>
        <v>63543</v>
      </c>
      <c r="K64" s="79">
        <f ca="1"/>
        <v>0.22672384565459749</v>
      </c>
      <c r="P64" s="31">
        <f t="shared" si="9"/>
        <v>2.6339999999999999</v>
      </c>
      <c r="R64" s="31">
        <f t="shared" si="10"/>
        <v>2.6339999999999999</v>
      </c>
      <c r="S64" s="31">
        <f t="shared" si="11"/>
        <v>2.4239999999999999</v>
      </c>
      <c r="U64">
        <v>60</v>
      </c>
      <c r="V64">
        <f>_xll.RtGet($Z$45,$Z$46&amp;$U64&amp;$AA$46,V$2)</f>
        <v>2.6339999999999999</v>
      </c>
      <c r="W64">
        <f>_xll.RtGet($Z$45,$Z$46&amp;$U64&amp;$AA$46,W$2)</f>
        <v>2.6339999999999999</v>
      </c>
      <c r="AC64" t="str">
        <f>_xll.xlShmInterpDisc($N$5,AH64)</f>
        <v>Curve (EONIA) is not present in shared memory.</v>
      </c>
      <c r="AD64" t="e">
        <f t="shared" si="6"/>
        <v>#VALUE!</v>
      </c>
      <c r="AE64" t="s">
        <v>172</v>
      </c>
      <c r="AF64" s="49">
        <v>39864</v>
      </c>
      <c r="AG64" t="s">
        <v>173</v>
      </c>
      <c r="AH64" s="49">
        <v>61779</v>
      </c>
      <c r="AI64" t="s">
        <v>198</v>
      </c>
      <c r="AJ64">
        <v>0.22192254641374201</v>
      </c>
      <c r="AK64">
        <v>2.5070985974581701</v>
      </c>
      <c r="AM64">
        <v>1</v>
      </c>
      <c r="AN64">
        <v>2.8010000000000002</v>
      </c>
      <c r="AO64">
        <v>-0.21</v>
      </c>
      <c r="AP64">
        <v>-0.21</v>
      </c>
      <c r="AQ64">
        <v>-0.21</v>
      </c>
    </row>
    <row r="65" spans="3:11" x14ac:dyDescent="0.2">
      <c r="C65" s="76"/>
      <c r="D65" s="77"/>
      <c r="E65" s="77"/>
      <c r="F65" s="77"/>
      <c r="G65" s="77"/>
    </row>
    <row r="66" spans="3:11" x14ac:dyDescent="0.2">
      <c r="C66" s="76"/>
      <c r="D66" s="77"/>
      <c r="E66" s="77"/>
      <c r="F66" s="77"/>
      <c r="G66" s="77"/>
    </row>
    <row r="67" spans="3:11" x14ac:dyDescent="0.2">
      <c r="C67" s="76"/>
      <c r="D67" s="77"/>
      <c r="E67" s="77"/>
      <c r="F67" s="77"/>
      <c r="G67" s="77"/>
    </row>
    <row r="68" spans="3:11" x14ac:dyDescent="0.2">
      <c r="C68" s="76"/>
      <c r="D68" s="77"/>
      <c r="E68" s="77"/>
      <c r="F68" s="77"/>
      <c r="G68" s="77"/>
    </row>
    <row r="69" spans="3:11" x14ac:dyDescent="0.2">
      <c r="C69" s="76"/>
      <c r="D69" s="77"/>
      <c r="E69" s="77"/>
      <c r="F69" s="77"/>
      <c r="G69" s="77"/>
    </row>
    <row r="70" spans="3:11" x14ac:dyDescent="0.2">
      <c r="C70" s="76"/>
      <c r="D70" s="77"/>
      <c r="E70" s="77"/>
      <c r="F70" s="77"/>
      <c r="G70" s="77"/>
    </row>
    <row r="71" spans="3:11" x14ac:dyDescent="0.2">
      <c r="C71" s="76"/>
      <c r="D71" s="77"/>
      <c r="E71" s="77"/>
      <c r="F71" s="77"/>
      <c r="G71" s="77"/>
    </row>
    <row r="72" spans="3:11" x14ac:dyDescent="0.2">
      <c r="C72" s="76"/>
      <c r="D72" s="77"/>
      <c r="E72" s="77"/>
      <c r="F72" s="77"/>
      <c r="G72" s="77"/>
      <c r="K72" s="80"/>
    </row>
    <row r="73" spans="3:11" x14ac:dyDescent="0.2">
      <c r="C73" s="76"/>
      <c r="D73" s="77"/>
      <c r="E73" s="77"/>
      <c r="F73" s="77"/>
      <c r="G73" s="77"/>
    </row>
    <row r="74" spans="3:11" x14ac:dyDescent="0.2">
      <c r="C74" s="76"/>
      <c r="D74" s="77"/>
      <c r="E74" s="77"/>
      <c r="F74" s="77"/>
      <c r="G74" s="77"/>
    </row>
    <row r="75" spans="3:11" x14ac:dyDescent="0.2">
      <c r="C75" s="76"/>
      <c r="D75" s="77"/>
      <c r="E75" s="77"/>
      <c r="F75" s="77"/>
      <c r="G75" s="77"/>
    </row>
    <row r="76" spans="3:11" x14ac:dyDescent="0.2">
      <c r="C76" s="76"/>
      <c r="D76" s="77"/>
      <c r="E76" s="77"/>
      <c r="F76" s="77"/>
      <c r="G76" s="77"/>
    </row>
    <row r="77" spans="3:11" x14ac:dyDescent="0.2">
      <c r="C77" s="76"/>
      <c r="D77" s="77"/>
      <c r="E77" s="77"/>
      <c r="F77" s="77"/>
      <c r="G77" s="77"/>
    </row>
    <row r="78" spans="3:11" x14ac:dyDescent="0.2">
      <c r="C78" s="76"/>
      <c r="D78" s="77"/>
      <c r="E78" s="77"/>
      <c r="F78" s="77"/>
      <c r="G78" s="77"/>
    </row>
    <row r="79" spans="3:11" x14ac:dyDescent="0.2">
      <c r="C79" s="76"/>
      <c r="D79" s="77"/>
      <c r="E79" s="77"/>
      <c r="F79" s="77"/>
      <c r="G79" s="77"/>
    </row>
    <row r="80" spans="3:11" x14ac:dyDescent="0.2">
      <c r="C80" s="76"/>
      <c r="D80" s="77"/>
      <c r="E80" s="77"/>
      <c r="F80" s="77"/>
      <c r="G80" s="77"/>
    </row>
    <row r="81" spans="3:7" x14ac:dyDescent="0.2">
      <c r="C81" s="76"/>
      <c r="D81" s="77"/>
      <c r="E81" s="77"/>
      <c r="F81" s="77"/>
      <c r="G81" s="77"/>
    </row>
    <row r="82" spans="3:7" x14ac:dyDescent="0.2">
      <c r="C82" s="76"/>
      <c r="D82" s="77"/>
      <c r="E82" s="77"/>
      <c r="F82" s="77"/>
      <c r="G82" s="77"/>
    </row>
    <row r="83" spans="3:7" x14ac:dyDescent="0.2">
      <c r="C83" s="76"/>
      <c r="D83" s="77"/>
      <c r="E83" s="77"/>
      <c r="F83" s="77"/>
      <c r="G83" s="77"/>
    </row>
    <row r="84" spans="3:7" x14ac:dyDescent="0.2">
      <c r="C84" s="76"/>
      <c r="D84" s="77"/>
      <c r="E84" s="77"/>
      <c r="F84" s="77"/>
      <c r="G84" s="77"/>
    </row>
    <row r="85" spans="3:7" x14ac:dyDescent="0.2">
      <c r="C85" s="76"/>
      <c r="D85" s="77"/>
      <c r="E85" s="77"/>
      <c r="F85" s="77"/>
      <c r="G85" s="77"/>
    </row>
    <row r="86" spans="3:7" ht="13.5" thickBot="1" x14ac:dyDescent="0.25">
      <c r="C86" s="81"/>
      <c r="D86" s="82"/>
      <c r="E86" s="82"/>
      <c r="F86" s="82"/>
      <c r="G86" s="82"/>
    </row>
  </sheetData>
  <mergeCells count="3">
    <mergeCell ref="M24:N24"/>
    <mergeCell ref="J2:K2"/>
    <mergeCell ref="M2:N2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_xludf.run">
                <anchor moveWithCells="1" sizeWithCells="1">
                  <from>
                    <xdr:col>14</xdr:col>
                    <xdr:colOff>47625</xdr:colOff>
                    <xdr:row>2</xdr:row>
                    <xdr:rowOff>38100</xdr:rowOff>
                  </from>
                  <to>
                    <xdr:col>14</xdr:col>
                    <xdr:colOff>752475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Freeze">
                <anchor moveWithCells="1" sizeWithCells="1">
                  <from>
                    <xdr:col>14</xdr:col>
                    <xdr:colOff>47625</xdr:colOff>
                    <xdr:row>1</xdr:row>
                    <xdr:rowOff>19050</xdr:rowOff>
                  </from>
                  <to>
                    <xdr:col>14</xdr:col>
                    <xdr:colOff>752475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06"/>
  <sheetViews>
    <sheetView topLeftCell="A72" workbookViewId="0">
      <selection activeCell="C94" sqref="C94"/>
    </sheetView>
  </sheetViews>
  <sheetFormatPr defaultRowHeight="12.75" x14ac:dyDescent="0.2"/>
  <cols>
    <col min="1" max="1" width="9.140625" style="88"/>
    <col min="2" max="2" width="15.28515625" style="88" bestFit="1" customWidth="1"/>
    <col min="3" max="3" width="22.140625" bestFit="1" customWidth="1"/>
    <col min="4" max="4" width="12.5703125" style="133" bestFit="1" customWidth="1"/>
    <col min="6" max="6" width="11.7109375" style="147" bestFit="1" customWidth="1"/>
    <col min="8" max="8" width="9.42578125" customWidth="1"/>
    <col min="9" max="9" width="10.140625" customWidth="1"/>
    <col min="10" max="10" width="7.7109375" customWidth="1"/>
    <col min="11" max="11" width="10.28515625" customWidth="1"/>
    <col min="12" max="12" width="10.7109375" bestFit="1" customWidth="1"/>
    <col min="13" max="13" width="9.42578125" bestFit="1" customWidth="1"/>
  </cols>
  <sheetData>
    <row r="1" spans="2:11" ht="14.25" x14ac:dyDescent="0.2">
      <c r="C1" s="91" t="s">
        <v>213</v>
      </c>
      <c r="D1" s="132" t="s">
        <v>214</v>
      </c>
      <c r="E1" s="91"/>
      <c r="F1" s="146" t="s">
        <v>215</v>
      </c>
    </row>
    <row r="2" spans="2:11" ht="15" x14ac:dyDescent="0.25">
      <c r="F2"/>
      <c r="H2" s="183"/>
      <c r="I2" s="183"/>
      <c r="K2" s="99"/>
    </row>
    <row r="3" spans="2:11" ht="15" x14ac:dyDescent="0.25">
      <c r="F3"/>
      <c r="H3" s="183"/>
      <c r="I3" s="183"/>
      <c r="K3" s="99"/>
    </row>
    <row r="4" spans="2:11" ht="15" x14ac:dyDescent="0.25">
      <c r="F4"/>
      <c r="H4" s="183"/>
      <c r="I4" s="183"/>
      <c r="K4" s="99"/>
    </row>
    <row r="5" spans="2:11" ht="15" x14ac:dyDescent="0.25">
      <c r="B5" s="88" t="s">
        <v>470</v>
      </c>
      <c r="C5" t="s">
        <v>439</v>
      </c>
      <c r="D5" s="133">
        <v>1.4970000000000001</v>
      </c>
      <c r="F5">
        <v>99.991910000000004</v>
      </c>
      <c r="H5" s="183" t="str">
        <f>_xll.RData(_xll.RData($B5,"EJV.C.RICS","CN:TWEB BT:NGB",,,H5),"PRIM ACT 1",,,,H5)</f>
        <v>No instrument defined.</v>
      </c>
      <c r="I5" s="183" t="str">
        <f>_xll.RData(_xll.RData($B5,"EJV.C.RICS","CN:TWEB BT:NGB",,,I5),"SECOND ACTIVY 1",,,,I5)</f>
        <v>No instrument defined.</v>
      </c>
      <c r="J5" t="e">
        <f t="shared" ref="J5:J39" si="0">(I5+H5)/2</f>
        <v>#VALUE!</v>
      </c>
      <c r="K5" s="99" t="e">
        <f>-((F5-J5)*D5*10)</f>
        <v>#VALUE!</v>
      </c>
    </row>
    <row r="6" spans="2:11" ht="15" x14ac:dyDescent="0.25">
      <c r="B6" s="88" t="s">
        <v>471</v>
      </c>
      <c r="C6" t="s">
        <v>440</v>
      </c>
      <c r="D6" s="133">
        <v>0.44399999999999601</v>
      </c>
      <c r="F6">
        <v>100.24550000000001</v>
      </c>
      <c r="H6" s="183" t="str">
        <f>_xll.RData(_xll.RData($B6,"EJV.C.RICS","CN:TWEB BT:NGB",,,H6),"PRIM ACT 1",,,,H6)</f>
        <v>Invalid Instrument Name.</v>
      </c>
      <c r="I6" s="183" t="str">
        <f>_xll.RData(_xll.RData($B6,"EJV.C.RICS","CN:TWEB BT:NGB",,,I6),"SECOND ACTIVY 1",,,,I6)</f>
        <v>Invalid Instrument Name.</v>
      </c>
      <c r="J6" t="e">
        <f t="shared" si="0"/>
        <v>#VALUE!</v>
      </c>
      <c r="K6" s="99" t="e">
        <f t="shared" ref="K6:K39" si="1">-((F6-J6)*D6*10)</f>
        <v>#VALUE!</v>
      </c>
    </row>
    <row r="7" spans="2:11" ht="15" x14ac:dyDescent="0.25">
      <c r="B7" s="88" t="s">
        <v>472</v>
      </c>
      <c r="C7" t="s">
        <v>441</v>
      </c>
      <c r="D7" s="133">
        <v>2.4679999999999902</v>
      </c>
      <c r="F7">
        <v>99.984714999999994</v>
      </c>
      <c r="H7" s="183" t="str">
        <f>_xll.RData(_xll.RData($B7,"EJV.C.RICS","CN:TWEB BT:NGB",,,H7),"PRIM ACT 1",,,,H7)</f>
        <v>Invalid Instrument Name.</v>
      </c>
      <c r="I7" s="183" t="str">
        <f>_xll.RData(_xll.RData($B7,"EJV.C.RICS","CN:TWEB BT:NGB",,,I7),"SECOND ACTIVY 1",,,,I7)</f>
        <v>Invalid Instrument Name.</v>
      </c>
      <c r="J7" t="e">
        <f t="shared" si="0"/>
        <v>#VALUE!</v>
      </c>
      <c r="K7" s="99" t="e">
        <f t="shared" si="1"/>
        <v>#VALUE!</v>
      </c>
    </row>
    <row r="8" spans="2:11" ht="15" x14ac:dyDescent="0.25">
      <c r="B8" s="88" t="s">
        <v>473</v>
      </c>
      <c r="C8" t="s">
        <v>442</v>
      </c>
      <c r="D8" s="133">
        <v>-8.2449999999999992</v>
      </c>
      <c r="F8">
        <v>99.970804999999999</v>
      </c>
      <c r="H8" s="183" t="str">
        <f>_xll.RData(_xll.RData($B8,"EJV.C.RICS","CN:TWEB BT:NGB",,,H8),"PRIM ACT 1",,,,H8)</f>
        <v>Invalid Instrument Name.</v>
      </c>
      <c r="I8" s="183" t="str">
        <f>_xll.RData(_xll.RData($B8,"EJV.C.RICS","CN:TWEB BT:NGB",,,I8),"SECOND ACTIVY 1",,,,I8)</f>
        <v>Invalid Instrument Name.</v>
      </c>
      <c r="J8" t="e">
        <f t="shared" si="0"/>
        <v>#VALUE!</v>
      </c>
      <c r="K8" s="99" t="e">
        <f t="shared" si="1"/>
        <v>#VALUE!</v>
      </c>
    </row>
    <row r="9" spans="2:11" ht="15" x14ac:dyDescent="0.25">
      <c r="B9" s="88" t="s">
        <v>474</v>
      </c>
      <c r="C9" t="s">
        <v>443</v>
      </c>
      <c r="D9" s="133">
        <v>-0.86100000000000698</v>
      </c>
      <c r="F9">
        <v>100.1925</v>
      </c>
      <c r="H9" s="183" t="str">
        <f>_xll.RData(_xll.RData($B9,"EJV.C.RICS","CN:TWEB BT:NGB",,,H9),"PRIM ACT 1",,,,H9)</f>
        <v>Invalid Instrument Name.</v>
      </c>
      <c r="I9" s="183" t="str">
        <f>_xll.RData(_xll.RData($B9,"EJV.C.RICS","CN:TWEB BT:NGB",,,I9),"SECOND ACTIVY 1",,,,I9)</f>
        <v>Invalid Instrument Name.</v>
      </c>
      <c r="J9" t="e">
        <f t="shared" si="0"/>
        <v>#VALUE!</v>
      </c>
      <c r="K9" s="99" t="e">
        <f t="shared" si="1"/>
        <v>#VALUE!</v>
      </c>
    </row>
    <row r="10" spans="2:11" ht="15" x14ac:dyDescent="0.25">
      <c r="B10" s="88" t="s">
        <v>475</v>
      </c>
      <c r="C10" t="s">
        <v>444</v>
      </c>
      <c r="D10" s="133">
        <v>0.431999999999996</v>
      </c>
      <c r="F10">
        <v>100.928</v>
      </c>
      <c r="H10" s="183" t="str">
        <f>_xll.RData(_xll.RData($B10,"EJV.C.RICS","CN:TWEB BT:NGB",,,H10),"PRIM ACT 1",,,,H10)</f>
        <v>Invalid Instrument Name.</v>
      </c>
      <c r="I10" s="183" t="str">
        <f>_xll.RData(_xll.RData($B10,"EJV.C.RICS","CN:TWEB BT:NGB",,,I10),"SECOND ACTIVY 1",,,,I10)</f>
        <v>Invalid Instrument Name.</v>
      </c>
      <c r="J10" t="e">
        <f t="shared" si="0"/>
        <v>#VALUE!</v>
      </c>
      <c r="K10" s="99" t="e">
        <f t="shared" si="1"/>
        <v>#VALUE!</v>
      </c>
    </row>
    <row r="11" spans="2:11" ht="15" x14ac:dyDescent="0.25">
      <c r="B11" s="88" t="s">
        <v>515</v>
      </c>
      <c r="C11" t="s">
        <v>509</v>
      </c>
      <c r="D11" s="133">
        <v>25.071999999999999</v>
      </c>
      <c r="F11">
        <v>99.821674999999999</v>
      </c>
      <c r="H11" s="183" t="str">
        <f>_xll.RData(_xll.RData($B11,"EJV.C.RICS","CN:TWEB BT:NGB",,,H11),"PRIM ACT 1",,,,H11)</f>
        <v>Invalid Instrument Name.</v>
      </c>
      <c r="I11" s="183" t="str">
        <f>_xll.RData(_xll.RData($B11,"EJV.C.RICS","CN:TWEB BT:NGB",,,I11),"SECOND ACTIVY 1",,,,I11)</f>
        <v>Invalid Instrument Name.</v>
      </c>
      <c r="J11" t="e">
        <f t="shared" si="0"/>
        <v>#VALUE!</v>
      </c>
      <c r="K11" s="99" t="e">
        <f t="shared" si="1"/>
        <v>#VALUE!</v>
      </c>
    </row>
    <row r="12" spans="2:11" ht="15" x14ac:dyDescent="0.25">
      <c r="B12" s="88" t="s">
        <v>476</v>
      </c>
      <c r="C12" t="s">
        <v>445</v>
      </c>
      <c r="D12" s="133">
        <v>-1.5640000000000001</v>
      </c>
      <c r="F12">
        <v>99.761859999999999</v>
      </c>
      <c r="H12" s="183" t="str">
        <f>_xll.RData(_xll.RData($B12,"EJV.C.RICS","CN:TWEB BT:NGB",,,H12),"PRIM ACT 1",,,,H12)</f>
        <v>Invalid Instrument Name.</v>
      </c>
      <c r="I12" s="183" t="str">
        <f>_xll.RData(_xll.RData($B12,"EJV.C.RICS","CN:TWEB BT:NGB",,,I12),"SECOND ACTIVY 1",,,,I12)</f>
        <v>Invalid Instrument Name.</v>
      </c>
      <c r="J12" t="e">
        <f t="shared" si="0"/>
        <v>#VALUE!</v>
      </c>
      <c r="K12" s="99" t="e">
        <f t="shared" si="1"/>
        <v>#VALUE!</v>
      </c>
    </row>
    <row r="13" spans="2:11" ht="15" x14ac:dyDescent="0.25">
      <c r="B13" s="88" t="s">
        <v>477</v>
      </c>
      <c r="C13" t="s">
        <v>446</v>
      </c>
      <c r="D13" s="133">
        <v>-1.1749999999999801</v>
      </c>
      <c r="F13">
        <v>99.716499999999996</v>
      </c>
      <c r="H13" s="183" t="str">
        <f>_xll.RData(_xll.RData($B13,"EJV.C.RICS","CN:TWEB BT:NGB",,,H13),"PRIM ACT 1",,,,H13)</f>
        <v>Invalid Instrument Name.</v>
      </c>
      <c r="I13" s="183" t="str">
        <f>_xll.RData(_xll.RData($B13,"EJV.C.RICS","CN:TWEB BT:NGB",,,I13),"SECOND ACTIVY 1",,,,I13)</f>
        <v>Invalid Instrument Name.</v>
      </c>
      <c r="J13" t="e">
        <f t="shared" si="0"/>
        <v>#VALUE!</v>
      </c>
      <c r="K13" s="99" t="e">
        <f t="shared" si="1"/>
        <v>#VALUE!</v>
      </c>
    </row>
    <row r="14" spans="2:11" ht="15" x14ac:dyDescent="0.25">
      <c r="B14" s="88" t="s">
        <v>478</v>
      </c>
      <c r="C14" t="s">
        <v>447</v>
      </c>
      <c r="D14" s="133">
        <v>0.47199999999998199</v>
      </c>
      <c r="F14">
        <v>101.554</v>
      </c>
      <c r="H14" s="183" t="str">
        <f>_xll.RData(_xll.RData($B14,"EJV.C.RICS","CN:TWEB BT:NGB",,,H14),"PRIM ACT 1",,,,H14)</f>
        <v>Invalid Instrument Name.</v>
      </c>
      <c r="I14" s="183" t="str">
        <f>_xll.RData(_xll.RData($B14,"EJV.C.RICS","CN:TWEB BT:NGB",,,I14),"SECOND ACTIVY 1",,,,I14)</f>
        <v>Invalid Instrument Name.</v>
      </c>
      <c r="J14" t="e">
        <f t="shared" si="0"/>
        <v>#VALUE!</v>
      </c>
      <c r="K14" s="99" t="e">
        <f t="shared" si="1"/>
        <v>#VALUE!</v>
      </c>
    </row>
    <row r="15" spans="2:11" ht="15" x14ac:dyDescent="0.25">
      <c r="B15" s="88" t="s">
        <v>479</v>
      </c>
      <c r="C15" t="s">
        <v>448</v>
      </c>
      <c r="D15" s="133">
        <v>-10.113</v>
      </c>
      <c r="F15">
        <v>99.70675</v>
      </c>
      <c r="H15" s="183" t="str">
        <f>_xll.RData(_xll.RData($B15,"EJV.C.RICS","CN:TWEB BT:NGB",,,H15),"PRIM ACT 1",,,,H15)</f>
        <v>Invalid Instrument Name.</v>
      </c>
      <c r="I15" s="183" t="str">
        <f>_xll.RData(_xll.RData($B15,"EJV.C.RICS","CN:TWEB BT:NGB",,,I15),"SECOND ACTIVY 1",,,,I15)</f>
        <v>Invalid Instrument Name.</v>
      </c>
      <c r="J15" t="e">
        <f t="shared" si="0"/>
        <v>#VALUE!</v>
      </c>
      <c r="K15" s="99" t="e">
        <f t="shared" si="1"/>
        <v>#VALUE!</v>
      </c>
    </row>
    <row r="16" spans="2:11" ht="15" x14ac:dyDescent="0.25">
      <c r="B16" s="88" t="s">
        <v>480</v>
      </c>
      <c r="C16" t="s">
        <v>449</v>
      </c>
      <c r="D16" s="133">
        <v>0.33599999999999502</v>
      </c>
      <c r="F16">
        <v>99.646240000000006</v>
      </c>
      <c r="H16" s="183" t="str">
        <f>_xll.RData(_xll.RData($B16,"EJV.C.RICS","CN:TWEB BT:NGB",,,H16),"PRIM ACT 1",,,,H16)</f>
        <v>Invalid Instrument Name.</v>
      </c>
      <c r="I16" s="183" t="str">
        <f>_xll.RData(_xll.RData($B16,"EJV.C.RICS","CN:TWEB BT:NGB",,,I16),"SECOND ACTIVY 1",,,,I16)</f>
        <v>Invalid Instrument Name.</v>
      </c>
      <c r="J16" t="e">
        <f t="shared" si="0"/>
        <v>#VALUE!</v>
      </c>
      <c r="K16" s="99" t="e">
        <f t="shared" si="1"/>
        <v>#VALUE!</v>
      </c>
    </row>
    <row r="17" spans="2:11" ht="15" x14ac:dyDescent="0.25">
      <c r="B17" s="88" t="s">
        <v>481</v>
      </c>
      <c r="C17" t="s">
        <v>450</v>
      </c>
      <c r="D17" s="133">
        <v>19.913</v>
      </c>
      <c r="F17">
        <v>102.5265</v>
      </c>
      <c r="H17" s="183" t="str">
        <f>_xll.RData(_xll.RData($B17,"EJV.C.RICS","CN:TWEB BT:NGB",,,H17),"PRIM ACT 1",,,,H17)</f>
        <v>Invalid Instrument Name.</v>
      </c>
      <c r="I17" s="183" t="str">
        <f>_xll.RData(_xll.RData($B17,"EJV.C.RICS","CN:TWEB BT:NGB",,,I17),"SECOND ACTIVY 1",,,,I17)</f>
        <v>Invalid Instrument Name.</v>
      </c>
      <c r="J17" t="e">
        <f t="shared" si="0"/>
        <v>#VALUE!</v>
      </c>
      <c r="K17" s="99" t="e">
        <f t="shared" si="1"/>
        <v>#VALUE!</v>
      </c>
    </row>
    <row r="18" spans="2:11" ht="15" x14ac:dyDescent="0.25">
      <c r="B18" s="88" t="s">
        <v>506</v>
      </c>
      <c r="C18" t="s">
        <v>502</v>
      </c>
      <c r="D18" s="133">
        <v>1.0649999999999999</v>
      </c>
      <c r="F18">
        <v>99.56626</v>
      </c>
      <c r="H18" s="183" t="str">
        <f>_xll.RData(_xll.RData($B18,"EJV.C.RICS","CN:TWEB BT:NGB",,,H18),"PRIM ACT 1",,,,H18)</f>
        <v>Invalid Instrument Name.</v>
      </c>
      <c r="I18" s="183" t="str">
        <f>_xll.RData(_xll.RData($B18,"EJV.C.RICS","CN:TWEB BT:NGB",,,I18),"SECOND ACTIVY 1",,,,I18)</f>
        <v>Invalid Instrument Name.</v>
      </c>
      <c r="J18" t="e">
        <f t="shared" si="0"/>
        <v>#VALUE!</v>
      </c>
      <c r="K18" s="99" t="e">
        <f t="shared" si="1"/>
        <v>#VALUE!</v>
      </c>
    </row>
    <row r="19" spans="2:11" ht="15" x14ac:dyDescent="0.25">
      <c r="B19" s="88" t="s">
        <v>482</v>
      </c>
      <c r="C19" t="s">
        <v>451</v>
      </c>
      <c r="D19" s="133">
        <v>1.25899999999993</v>
      </c>
      <c r="F19">
        <v>99.504559999999998</v>
      </c>
      <c r="H19" s="183" t="str">
        <f>_xll.RData(_xll.RData($B19,"EJV.C.RICS","CN:TWEB BT:NGB",,,H19),"PRIM ACT 1",,,,H19)</f>
        <v>Invalid Instrument Name.</v>
      </c>
      <c r="I19" s="183" t="str">
        <f>_xll.RData(_xll.RData($B19,"EJV.C.RICS","CN:TWEB BT:NGB",,,I19),"SECOND ACTIVY 1",,,,I19)</f>
        <v>Invalid Instrument Name.</v>
      </c>
      <c r="J19" t="e">
        <f t="shared" si="0"/>
        <v>#VALUE!</v>
      </c>
      <c r="K19" s="99" t="e">
        <f t="shared" si="1"/>
        <v>#VALUE!</v>
      </c>
    </row>
    <row r="20" spans="2:11" ht="15" x14ac:dyDescent="0.25">
      <c r="B20" s="88" t="s">
        <v>516</v>
      </c>
      <c r="C20" t="s">
        <v>510</v>
      </c>
      <c r="D20" s="133">
        <v>5.10299999999999</v>
      </c>
      <c r="F20">
        <v>99.436499999999995</v>
      </c>
      <c r="H20" s="183" t="str">
        <f>_xll.RData(_xll.RData($B20,"EJV.C.RICS","CN:TWEB BT:NGB",,,H20),"PRIM ACT 1",,,,H20)</f>
        <v>Invalid Instrument Name.</v>
      </c>
      <c r="I20" s="183" t="str">
        <f>_xll.RData(_xll.RData($B20,"EJV.C.RICS","CN:TWEB BT:NGB",,,I20),"SECOND ACTIVY 1",,,,I20)</f>
        <v>Invalid Instrument Name.</v>
      </c>
      <c r="J20" t="e">
        <f t="shared" si="0"/>
        <v>#VALUE!</v>
      </c>
      <c r="K20" s="99" t="e">
        <f t="shared" si="1"/>
        <v>#VALUE!</v>
      </c>
    </row>
    <row r="21" spans="2:11" ht="15" x14ac:dyDescent="0.25">
      <c r="B21" s="88" t="s">
        <v>483</v>
      </c>
      <c r="C21" t="s">
        <v>452</v>
      </c>
      <c r="D21" s="133">
        <v>47.5</v>
      </c>
      <c r="F21">
        <v>99.445755000000005</v>
      </c>
      <c r="H21" s="183" t="str">
        <f>_xll.RData(_xll.RData($B21,"EJV.C.RICS","CN:TWEB BT:NGB",,,H21),"PRIM ACT 1",,,,H21)</f>
        <v>Invalid Instrument Name.</v>
      </c>
      <c r="I21" s="183" t="str">
        <f>_xll.RData(_xll.RData($B21,"EJV.C.RICS","CN:TWEB BT:NGB",,,I21),"SECOND ACTIVY 1",,,,I21)</f>
        <v>Invalid Instrument Name.</v>
      </c>
      <c r="J21" t="e">
        <f t="shared" si="0"/>
        <v>#VALUE!</v>
      </c>
      <c r="K21" s="99" t="e">
        <f t="shared" si="1"/>
        <v>#VALUE!</v>
      </c>
    </row>
    <row r="22" spans="2:11" ht="15" x14ac:dyDescent="0.25">
      <c r="B22" s="88" t="s">
        <v>517</v>
      </c>
      <c r="C22" t="s">
        <v>511</v>
      </c>
      <c r="D22" s="133">
        <v>98.13</v>
      </c>
      <c r="F22">
        <v>99.336084999999997</v>
      </c>
      <c r="H22" s="183" t="str">
        <f>_xll.RData(_xll.RData($B22,"EJV.C.RICS","CN:TWEB BT:NGB",,,H22),"PRIM ACT 1",,,,H22)</f>
        <v>Invalid Instrument Name.</v>
      </c>
      <c r="I22" s="183" t="str">
        <f>_xll.RData(_xll.RData($B22,"EJV.C.RICS","CN:TWEB BT:NGB",,,I22),"SECOND ACTIVY 1",,,,I22)</f>
        <v>Invalid Instrument Name.</v>
      </c>
      <c r="J22" t="e">
        <f t="shared" si="0"/>
        <v>#VALUE!</v>
      </c>
      <c r="K22" s="99" t="e">
        <f t="shared" si="1"/>
        <v>#VALUE!</v>
      </c>
    </row>
    <row r="23" spans="2:11" ht="15" x14ac:dyDescent="0.25">
      <c r="B23" s="88" t="s">
        <v>484</v>
      </c>
      <c r="C23" t="s">
        <v>453</v>
      </c>
      <c r="D23" s="133">
        <v>10.217000000000001</v>
      </c>
      <c r="F23">
        <v>105.255</v>
      </c>
      <c r="H23" s="183" t="str">
        <f>_xll.RData(_xll.RData($B23,"EJV.C.RICS","CN:TWEB BT:NGB",,,H23),"PRIM ACT 1",,,,H23)</f>
        <v>Invalid Instrument Name.</v>
      </c>
      <c r="I23" s="183" t="str">
        <f>_xll.RData(_xll.RData($B23,"EJV.C.RICS","CN:TWEB BT:NGB",,,I23),"SECOND ACTIVY 1",,,,I23)</f>
        <v>Invalid Instrument Name.</v>
      </c>
      <c r="J23" t="e">
        <f t="shared" si="0"/>
        <v>#VALUE!</v>
      </c>
      <c r="K23" s="99" t="e">
        <f t="shared" si="1"/>
        <v>#VALUE!</v>
      </c>
    </row>
    <row r="24" spans="2:11" ht="15" x14ac:dyDescent="0.25">
      <c r="B24" s="88" t="s">
        <v>485</v>
      </c>
      <c r="C24" t="s">
        <v>454</v>
      </c>
      <c r="D24" s="133">
        <v>0.46</v>
      </c>
      <c r="F24">
        <v>100.04600000000001</v>
      </c>
      <c r="H24" s="183" t="str">
        <f>_xll.RData(_xll.RData($B24,"EJV.C.RICS","CN:TWEB BT:NGB",,,H24),"PRIM ACT 1",,,,H24)</f>
        <v>Invalid Instrument Name.</v>
      </c>
      <c r="I24" s="183" t="str">
        <f>_xll.RData(_xll.RData($B24,"EJV.C.RICS","CN:TWEB BT:NGB",,,I24),"SECOND ACTIVY 1",,,,I24)</f>
        <v>Invalid Instrument Name.</v>
      </c>
      <c r="J24" t="e">
        <f t="shared" si="0"/>
        <v>#VALUE!</v>
      </c>
      <c r="K24" s="99" t="e">
        <f t="shared" si="1"/>
        <v>#VALUE!</v>
      </c>
    </row>
    <row r="25" spans="2:11" ht="15" x14ac:dyDescent="0.25">
      <c r="B25" s="88" t="s">
        <v>486</v>
      </c>
      <c r="C25" t="s">
        <v>455</v>
      </c>
      <c r="D25" s="133">
        <v>87.254999999999896</v>
      </c>
      <c r="F25">
        <v>99.170500000000004</v>
      </c>
      <c r="H25" s="183" t="str">
        <f>_xll.RData(_xll.RData($B25,"EJV.C.RICS","CN:TWEB BT:NGB",,,H25),"PRIM ACT 1",,,,H25)</f>
        <v>Invalid Instrument Name.</v>
      </c>
      <c r="I25" s="183" t="str">
        <f>_xll.RData(_xll.RData($B25,"EJV.C.RICS","CN:TWEB BT:NGB",,,I25),"SECOND ACTIVY 1",,,,I25)</f>
        <v>Invalid Instrument Name.</v>
      </c>
      <c r="J25" t="e">
        <f t="shared" si="0"/>
        <v>#VALUE!</v>
      </c>
      <c r="K25" s="99" t="e">
        <f t="shared" si="1"/>
        <v>#VALUE!</v>
      </c>
    </row>
    <row r="26" spans="2:11" ht="15" x14ac:dyDescent="0.25">
      <c r="B26" s="88" t="s">
        <v>487</v>
      </c>
      <c r="C26" t="s">
        <v>456</v>
      </c>
      <c r="D26" s="133">
        <v>4.6440000000000197</v>
      </c>
      <c r="F26">
        <v>104.161</v>
      </c>
      <c r="H26" s="183" t="str">
        <f>_xll.RData(_xll.RData($B26,"EJV.C.RICS","CN:TWEB BT:NGB",,,H26),"PRIM ACT 1",,,,H26)</f>
        <v>Invalid Instrument Name.</v>
      </c>
      <c r="I26" s="183" t="str">
        <f>_xll.RData(_xll.RData($B26,"EJV.C.RICS","CN:TWEB BT:NGB",,,I26),"SECOND ACTIVY 1",,,,I26)</f>
        <v>Invalid Instrument Name.</v>
      </c>
      <c r="J26" t="e">
        <f t="shared" si="0"/>
        <v>#VALUE!</v>
      </c>
      <c r="K26" s="99" t="e">
        <f t="shared" si="1"/>
        <v>#VALUE!</v>
      </c>
    </row>
    <row r="27" spans="2:11" ht="15" x14ac:dyDescent="0.25">
      <c r="B27" s="88" t="s">
        <v>488</v>
      </c>
      <c r="C27" t="s">
        <v>457</v>
      </c>
      <c r="D27" s="133">
        <v>-20.946999999999999</v>
      </c>
      <c r="F27">
        <v>102.8985</v>
      </c>
      <c r="H27" s="183" t="str">
        <f>_xll.RData(_xll.RData($B27,"EJV.C.RICS","CN:TWEB BT:NGB",,,H27),"PRIM ACT 1",,,,H27)</f>
        <v>Invalid Instrument Name.</v>
      </c>
      <c r="I27" s="183" t="str">
        <f>_xll.RData(_xll.RData($B27,"EJV.C.RICS","CN:TWEB BT:NGB",,,I27),"SECOND ACTIVY 1",,,,I27)</f>
        <v>Invalid Instrument Name.</v>
      </c>
      <c r="J27" t="e">
        <f t="shared" si="0"/>
        <v>#VALUE!</v>
      </c>
      <c r="K27" s="99" t="e">
        <f t="shared" si="1"/>
        <v>#VALUE!</v>
      </c>
    </row>
    <row r="28" spans="2:11" ht="15" x14ac:dyDescent="0.25">
      <c r="B28" s="88" t="s">
        <v>489</v>
      </c>
      <c r="C28" t="s">
        <v>458</v>
      </c>
      <c r="D28" s="133">
        <v>92.344999999999999</v>
      </c>
      <c r="F28">
        <v>103.027</v>
      </c>
      <c r="H28" s="183" t="str">
        <f>_xll.RData(_xll.RData($B28,"EJV.C.RICS","CN:TWEB BT:NGB",,,H28),"PRIM ACT 1",,,,H28)</f>
        <v>Invalid Instrument Name.</v>
      </c>
      <c r="I28" s="183" t="str">
        <f>_xll.RData(_xll.RData($B28,"EJV.C.RICS","CN:TWEB BT:NGB",,,I28),"SECOND ACTIVY 1",,,,I28)</f>
        <v>Invalid Instrument Name.</v>
      </c>
      <c r="J28" t="e">
        <f t="shared" si="0"/>
        <v>#VALUE!</v>
      </c>
      <c r="K28" s="99" t="e">
        <f t="shared" si="1"/>
        <v>#VALUE!</v>
      </c>
    </row>
    <row r="29" spans="2:11" ht="15" x14ac:dyDescent="0.25">
      <c r="B29" t="s">
        <v>490</v>
      </c>
      <c r="C29" t="s">
        <v>459</v>
      </c>
      <c r="D29" s="133">
        <v>-66.198999999999998</v>
      </c>
      <c r="F29">
        <v>98.197500000000005</v>
      </c>
      <c r="H29" s="183" t="str">
        <f>_xll.RData(_xll.RData($B29,"EJV.C.RICS","CN:TWEB BT:NGB",,,H29),"PRIM ACT 1",,,,H29)</f>
        <v>Invalid Instrument Name.</v>
      </c>
      <c r="I29" s="183" t="str">
        <f>_xll.RData(_xll.RData($B29,"EJV.C.RICS","CN:TWEB BT:NGB",,,I29),"SECOND ACTIVY 1",,,,I29)</f>
        <v>Invalid Instrument Name.</v>
      </c>
      <c r="J29" t="e">
        <f t="shared" ref="J29" si="2">(I29+H29)/2</f>
        <v>#VALUE!</v>
      </c>
      <c r="K29" s="99" t="e">
        <f t="shared" si="1"/>
        <v>#VALUE!</v>
      </c>
    </row>
    <row r="30" spans="2:11" ht="15" x14ac:dyDescent="0.25">
      <c r="B30" s="88" t="s">
        <v>491</v>
      </c>
      <c r="C30" t="s">
        <v>460</v>
      </c>
      <c r="D30" s="133">
        <v>96.346000000000004</v>
      </c>
      <c r="F30">
        <v>105.495</v>
      </c>
      <c r="H30" s="183" t="str">
        <f>_xll.RData(_xll.RData($B30,"EJV.C.RICS","CN:TWEB BT:NGB",,,H30),"PRIM ACT 1",,,,H30)</f>
        <v>Invalid Instrument Name.</v>
      </c>
      <c r="I30" s="183" t="str">
        <f>_xll.RData(_xll.RData($B30,"EJV.C.RICS","CN:TWEB BT:NGB",,,I30),"SECOND ACTIVY 1",,,,I30)</f>
        <v>Invalid Instrument Name.</v>
      </c>
      <c r="J30" t="e">
        <f t="shared" si="0"/>
        <v>#VALUE!</v>
      </c>
      <c r="K30" s="99" t="e">
        <f t="shared" si="1"/>
        <v>#VALUE!</v>
      </c>
    </row>
    <row r="31" spans="2:11" ht="15" x14ac:dyDescent="0.25">
      <c r="B31" s="88" t="s">
        <v>492</v>
      </c>
      <c r="C31" t="s">
        <v>461</v>
      </c>
      <c r="D31" s="133">
        <v>-59.336000000000098</v>
      </c>
      <c r="F31">
        <v>104.38249999999999</v>
      </c>
      <c r="H31" s="183" t="str">
        <f>_xll.RData(_xll.RData($B31,"EJV.C.RICS","CN:TWEB BT:NGB",,,H31),"PRIM ACT 1",,,,H31)</f>
        <v>Invalid Instrument Name.</v>
      </c>
      <c r="I31" s="183" t="str">
        <f>_xll.RData(_xll.RData($B31,"EJV.C.RICS","CN:TWEB BT:NGB",,,I31),"SECOND ACTIVY 1",,,,I31)</f>
        <v>Invalid Instrument Name.</v>
      </c>
      <c r="J31" t="e">
        <f t="shared" si="0"/>
        <v>#VALUE!</v>
      </c>
      <c r="K31" s="99" t="e">
        <f t="shared" si="1"/>
        <v>#VALUE!</v>
      </c>
    </row>
    <row r="32" spans="2:11" ht="15" x14ac:dyDescent="0.25">
      <c r="B32" s="88" t="s">
        <v>518</v>
      </c>
      <c r="C32" t="s">
        <v>512</v>
      </c>
      <c r="D32" s="133">
        <v>-9.5449999999999608</v>
      </c>
      <c r="F32">
        <v>103.5</v>
      </c>
      <c r="H32" s="183" t="str">
        <f>_xll.RData(_xll.RData($B32,"EJV.C.RICS","CN:TWEB BT:NGB",,,H32),"PRIM ACT 1",,,,H32)</f>
        <v>Invalid Instrument Name.</v>
      </c>
      <c r="I32" s="183" t="str">
        <f>_xll.RData(_xll.RData($B32,"EJV.C.RICS","CN:TWEB BT:NGB",,,I32),"SECOND ACTIVY 1",,,,I32)</f>
        <v>Invalid Instrument Name.</v>
      </c>
      <c r="J32" t="e">
        <f t="shared" si="0"/>
        <v>#VALUE!</v>
      </c>
      <c r="K32" s="99" t="e">
        <f t="shared" si="1"/>
        <v>#VALUE!</v>
      </c>
    </row>
    <row r="33" spans="2:11" ht="15" x14ac:dyDescent="0.25">
      <c r="B33" t="s">
        <v>493</v>
      </c>
      <c r="C33" t="s">
        <v>503</v>
      </c>
      <c r="D33" s="133">
        <v>-9.3789999999999996</v>
      </c>
      <c r="F33">
        <v>103</v>
      </c>
      <c r="H33" s="183" t="str">
        <f>_xll.RData(_xll.RData($B33,"EJV.C.RICS","CN:TWEB BT:NGB",,,H33),"PRIM ACT 1",,,,H33)</f>
        <v>Invalid Instrument Name.</v>
      </c>
      <c r="I33" s="183" t="str">
        <f>_xll.RData(_xll.RData($B33,"EJV.C.RICS","CN:TWEB BT:NGB",,,I33),"SECOND ACTIVY 1",,,,I33)</f>
        <v>Invalid Instrument Name.</v>
      </c>
      <c r="J33" t="e">
        <f t="shared" ref="J33" si="3">(I33+H33)/2</f>
        <v>#VALUE!</v>
      </c>
      <c r="K33" s="99" t="e">
        <f t="shared" si="1"/>
        <v>#VALUE!</v>
      </c>
    </row>
    <row r="34" spans="2:11" ht="15" x14ac:dyDescent="0.25">
      <c r="B34" s="88" t="s">
        <v>494</v>
      </c>
      <c r="C34" t="s">
        <v>462</v>
      </c>
      <c r="D34" s="133">
        <v>-85.731000000000094</v>
      </c>
      <c r="F34">
        <v>105.485</v>
      </c>
      <c r="H34" s="183" t="str">
        <f>_xll.RData(_xll.RData($B34,"EJV.C.RICS","CN:TWEB BT:NGB",,,H34),"PRIM ACT 1",,,,H34)</f>
        <v>Invalid Instrument Name.</v>
      </c>
      <c r="I34" s="183" t="str">
        <f>_xll.RData(_xll.RData($B34,"EJV.C.RICS","CN:TWEB BT:NGB",,,I34),"SECOND ACTIVY 1",,,,I34)</f>
        <v>Invalid Instrument Name.</v>
      </c>
      <c r="J34" t="e">
        <f t="shared" si="0"/>
        <v>#VALUE!</v>
      </c>
      <c r="K34" s="99" t="e">
        <f t="shared" si="1"/>
        <v>#VALUE!</v>
      </c>
    </row>
    <row r="35" spans="2:11" ht="15" x14ac:dyDescent="0.25">
      <c r="B35" s="88" t="s">
        <v>495</v>
      </c>
      <c r="C35" t="s">
        <v>463</v>
      </c>
      <c r="D35" s="133">
        <v>10.6000000000002</v>
      </c>
      <c r="F35">
        <v>101.87</v>
      </c>
      <c r="H35" s="183" t="str">
        <f>_xll.RData(_xll.RData($B35,"EJV.C.RICS","CN:TWEB BT:NGB",,,H35),"PRIM ACT 1",,,,H35)</f>
        <v>Invalid Instrument Name.</v>
      </c>
      <c r="I35" s="183" t="str">
        <f>_xll.RData(_xll.RData($B35,"EJV.C.RICS","CN:TWEB BT:NGB",,,I35),"SECOND ACTIVY 1",,,,I35)</f>
        <v>Invalid Instrument Name.</v>
      </c>
      <c r="J35" t="e">
        <f t="shared" si="0"/>
        <v>#VALUE!</v>
      </c>
      <c r="K35" s="99" t="e">
        <f t="shared" si="1"/>
        <v>#VALUE!</v>
      </c>
    </row>
    <row r="36" spans="2:11" ht="15" x14ac:dyDescent="0.25">
      <c r="B36" s="88" t="s">
        <v>496</v>
      </c>
      <c r="C36" t="s">
        <v>464</v>
      </c>
      <c r="D36" s="133">
        <v>-55.289000000000101</v>
      </c>
      <c r="F36">
        <v>105.69750000000001</v>
      </c>
      <c r="H36" s="183" t="str">
        <f>_xll.RData(_xll.RData($B36,"EJV.C.RICS","CN:TWEB BT:NGB",,,H36),"PRIM ACT 1",,,,H36)</f>
        <v>Invalid Instrument Name.</v>
      </c>
      <c r="I36" s="183" t="str">
        <f>_xll.RData(_xll.RData($B36,"EJV.C.RICS","CN:TWEB BT:NGB",,,I36),"SECOND ACTIVY 1",,,,I36)</f>
        <v>Invalid Instrument Name.</v>
      </c>
      <c r="J36" t="e">
        <f t="shared" si="0"/>
        <v>#VALUE!</v>
      </c>
      <c r="K36" s="99" t="e">
        <f t="shared" si="1"/>
        <v>#VALUE!</v>
      </c>
    </row>
    <row r="37" spans="2:11" ht="15" x14ac:dyDescent="0.25">
      <c r="B37" s="88" t="s">
        <v>497</v>
      </c>
      <c r="C37" t="s">
        <v>465</v>
      </c>
      <c r="D37" s="133">
        <v>-49.0429999999999</v>
      </c>
      <c r="F37">
        <v>108.495</v>
      </c>
      <c r="H37" s="183" t="str">
        <f>_xll.RData(_xll.RData($B37,"EJV.C.RICS","CN:TWEB BT:NGB",,,H37),"PRIM ACT 1",,,,H37)</f>
        <v>Invalid Instrument Name.</v>
      </c>
      <c r="I37" s="183" t="str">
        <f>_xll.RData(_xll.RData($B37,"EJV.C.RICS","CN:TWEB BT:NGB",,,I37),"SECOND ACTIVY 1",,,,I37)</f>
        <v>Invalid Instrument Name.</v>
      </c>
      <c r="J37" t="e">
        <f t="shared" si="0"/>
        <v>#VALUE!</v>
      </c>
      <c r="K37" s="99" t="e">
        <f t="shared" si="1"/>
        <v>#VALUE!</v>
      </c>
    </row>
    <row r="38" spans="2:11" ht="15" x14ac:dyDescent="0.25">
      <c r="B38" s="88" t="s">
        <v>498</v>
      </c>
      <c r="C38" t="s">
        <v>466</v>
      </c>
      <c r="D38" s="133">
        <v>-20.22</v>
      </c>
      <c r="F38">
        <v>102.845</v>
      </c>
      <c r="H38" s="183" t="str">
        <f>_xll.RData(_xll.RData($B38,"EJV.C.RICS","CN:TWEB BT:NGB",,,H38),"PRIM ACT 1",,,,H38)</f>
        <v>Invalid Instrument Name.</v>
      </c>
      <c r="I38" s="183" t="str">
        <f>_xll.RData(_xll.RData($B38,"EJV.C.RICS","CN:TWEB BT:NGB",,,I38),"SECOND ACTIVY 1",,,,I38)</f>
        <v>Invalid Instrument Name.</v>
      </c>
      <c r="J38" t="e">
        <f t="shared" si="0"/>
        <v>#VALUE!</v>
      </c>
      <c r="K38" s="99" t="e">
        <f t="shared" si="1"/>
        <v>#VALUE!</v>
      </c>
    </row>
    <row r="39" spans="2:11" ht="15" x14ac:dyDescent="0.25">
      <c r="B39" s="88" t="s">
        <v>519</v>
      </c>
      <c r="C39" t="s">
        <v>513</v>
      </c>
      <c r="D39" s="133">
        <v>0.97899999999999199</v>
      </c>
      <c r="F39">
        <v>106.54349999999999</v>
      </c>
      <c r="H39" s="183" t="str">
        <f>_xll.RData(_xll.RData($B39,"EJV.C.RICS","CN:TWEB BT:NGB",,,H39),"PRIM ACT 1",,,,H39)</f>
        <v>Invalid Instrument Name.</v>
      </c>
      <c r="I39" s="183" t="str">
        <f>_xll.RData(_xll.RData($B39,"EJV.C.RICS","CN:TWEB BT:NGB",,,I39),"SECOND ACTIVY 1",,,,I39)</f>
        <v>Invalid Instrument Name.</v>
      </c>
      <c r="J39" t="e">
        <f t="shared" si="0"/>
        <v>#VALUE!</v>
      </c>
      <c r="K39" s="99" t="e">
        <f t="shared" si="1"/>
        <v>#VALUE!</v>
      </c>
    </row>
    <row r="40" spans="2:11" ht="15" x14ac:dyDescent="0.25">
      <c r="B40" s="88" t="s">
        <v>507</v>
      </c>
      <c r="C40" t="s">
        <v>504</v>
      </c>
      <c r="D40" s="133">
        <v>4.609</v>
      </c>
      <c r="F40">
        <v>110.89700000000001</v>
      </c>
      <c r="H40" s="183" t="str">
        <f>_xll.RData(_xll.RData($B40,"EJV.C.RICS","CN:TWEB BT:NGB",,,H40),"PRIM ACT 1",,,,H40)</f>
        <v>Invalid Instrument Name.</v>
      </c>
      <c r="I40" s="183" t="str">
        <f>_xll.RData(_xll.RData($B40,"EJV.C.RICS","CN:TWEB BT:NGB",,,I40),"SECOND ACTIVY 1",,,,I40)</f>
        <v>Invalid Instrument Name.</v>
      </c>
      <c r="J40" t="e">
        <f t="shared" ref="J40:J45" si="4">(I40+H40)/2</f>
        <v>#VALUE!</v>
      </c>
      <c r="K40" s="99" t="e">
        <f t="shared" ref="K40:K45" si="5">-((F40-J40)*D40*10)</f>
        <v>#VALUE!</v>
      </c>
    </row>
    <row r="41" spans="2:11" ht="15" x14ac:dyDescent="0.25">
      <c r="B41" s="88" t="s">
        <v>499</v>
      </c>
      <c r="C41" t="s">
        <v>467</v>
      </c>
      <c r="D41" s="133">
        <v>-7.3730000000000198</v>
      </c>
      <c r="F41">
        <v>104.74</v>
      </c>
      <c r="H41" s="183" t="str">
        <f>_xll.RData(_xll.RData($B41,"EJV.C.RICS","CN:TWEB BT:NGB",,,H41),"PRIM ACT 1",,,,H41)</f>
        <v>Invalid Instrument Name.</v>
      </c>
      <c r="I41" s="183" t="str">
        <f>_xll.RData(_xll.RData($B41,"EJV.C.RICS","CN:TWEB BT:NGB",,,I41),"SECOND ACTIVY 1",,,,I41)</f>
        <v>Invalid Instrument Name.</v>
      </c>
      <c r="J41" t="e">
        <f t="shared" si="4"/>
        <v>#VALUE!</v>
      </c>
      <c r="K41" s="99" t="e">
        <f t="shared" si="5"/>
        <v>#VALUE!</v>
      </c>
    </row>
    <row r="42" spans="2:11" ht="15" x14ac:dyDescent="0.25">
      <c r="B42" s="88" t="s">
        <v>508</v>
      </c>
      <c r="C42" t="s">
        <v>505</v>
      </c>
      <c r="D42" s="133">
        <v>0.53200000000000403</v>
      </c>
      <c r="F42">
        <v>108.715</v>
      </c>
      <c r="H42" s="183" t="str">
        <f>_xll.RData(_xll.RData($B42,"EJV.C.RICS","CN:TWEB BT:NGB",,,H42),"PRIM ACT 1",,,,H42)</f>
        <v>Invalid Instrument Name.</v>
      </c>
      <c r="I42" s="183" t="str">
        <f>_xll.RData(_xll.RData($B42,"EJV.C.RICS","CN:TWEB BT:NGB",,,I42),"SECOND ACTIVY 1",,,,I42)</f>
        <v>Invalid Instrument Name.</v>
      </c>
      <c r="J42" t="e">
        <f t="shared" si="4"/>
        <v>#VALUE!</v>
      </c>
      <c r="K42" s="99" t="e">
        <f t="shared" si="5"/>
        <v>#VALUE!</v>
      </c>
    </row>
    <row r="43" spans="2:11" ht="15" x14ac:dyDescent="0.25">
      <c r="B43" s="88" t="s">
        <v>520</v>
      </c>
      <c r="C43" t="s">
        <v>514</v>
      </c>
      <c r="D43" s="133">
        <v>-8.1679999999999993</v>
      </c>
      <c r="F43">
        <v>107.27200000000001</v>
      </c>
      <c r="H43" s="183" t="str">
        <f>_xll.RData(_xll.RData($B43,"EJV.C.RICS","CN:TWEB BT:NGB",,,H43),"PRIM ACT 1",,,,H43)</f>
        <v>Invalid Instrument Name.</v>
      </c>
      <c r="I43" s="183" t="str">
        <f>_xll.RData(_xll.RData($B43,"EJV.C.RICS","CN:TWEB BT:NGB",,,I43),"SECOND ACTIVY 1",,,,I43)</f>
        <v>Invalid Instrument Name.</v>
      </c>
      <c r="J43" t="e">
        <f t="shared" si="4"/>
        <v>#VALUE!</v>
      </c>
      <c r="K43" s="99" t="e">
        <f t="shared" si="5"/>
        <v>#VALUE!</v>
      </c>
    </row>
    <row r="44" spans="2:11" ht="15" x14ac:dyDescent="0.25">
      <c r="B44" s="88" t="s">
        <v>500</v>
      </c>
      <c r="C44" t="s">
        <v>468</v>
      </c>
      <c r="D44" s="133">
        <v>70.844999999999999</v>
      </c>
      <c r="F44">
        <v>109.76</v>
      </c>
      <c r="H44" s="183" t="str">
        <f>_xll.RData(_xll.RData($B44,"EJV.C.RICS","CN:TWEB BT:NGB",,,H44),"PRIM ACT 1",,,,H44)</f>
        <v>Invalid Instrument Name.</v>
      </c>
      <c r="I44" s="183" t="str">
        <f>_xll.RData(_xll.RData($B44,"EJV.C.RICS","CN:TWEB BT:NGB",,,I44),"SECOND ACTIVY 1",,,,I44)</f>
        <v>Invalid Instrument Name.</v>
      </c>
      <c r="J44" t="e">
        <f t="shared" si="4"/>
        <v>#VALUE!</v>
      </c>
      <c r="K44" s="99" t="e">
        <f t="shared" si="5"/>
        <v>#VALUE!</v>
      </c>
    </row>
    <row r="45" spans="2:11" x14ac:dyDescent="0.2">
      <c r="B45" t="s">
        <v>501</v>
      </c>
      <c r="C45" t="s">
        <v>437</v>
      </c>
      <c r="D45" s="133">
        <v>-5</v>
      </c>
      <c r="F45">
        <v>115.685</v>
      </c>
      <c r="H45" t="str">
        <f>_xll.RData(B45,"BID","RTFEED:IDN")</f>
        <v>The record could not be found</v>
      </c>
      <c r="I45" t="str">
        <f>_xll.RData(B45,"ASK","RTFEED:IDN")</f>
        <v>The record could not be found</v>
      </c>
      <c r="J45" t="e">
        <f t="shared" si="4"/>
        <v>#VALUE!</v>
      </c>
      <c r="K45" s="99" t="e">
        <f t="shared" si="5"/>
        <v>#VALUE!</v>
      </c>
    </row>
    <row r="48" spans="2:11" x14ac:dyDescent="0.2">
      <c r="K48" s="99" t="e">
        <f>SUM(K5:K45)</f>
        <v>#VALUE!</v>
      </c>
    </row>
    <row r="50" spans="2:11" x14ac:dyDescent="0.2">
      <c r="B50"/>
      <c r="F50"/>
      <c r="K50" s="99"/>
    </row>
    <row r="51" spans="2:11" ht="15" x14ac:dyDescent="0.25">
      <c r="B51"/>
      <c r="F51"/>
      <c r="H51" s="183"/>
      <c r="I51" s="183"/>
      <c r="K51" s="99"/>
    </row>
    <row r="52" spans="2:11" ht="15" x14ac:dyDescent="0.25">
      <c r="B52" s="88" t="s">
        <v>469</v>
      </c>
      <c r="C52" t="s">
        <v>438</v>
      </c>
      <c r="D52" s="133">
        <v>-0.68599999999999905</v>
      </c>
      <c r="F52">
        <v>99.999975000000006</v>
      </c>
      <c r="H52" s="183" t="str">
        <f>_xll.RData(_xll.RData($B52,"EJV.C.RICS","CN:TWEB BT:NGB",,,H52),"PRIM ACT 1",,,,H52)</f>
        <v>No instrument defined.</v>
      </c>
      <c r="I52" s="183" t="str">
        <f>_xll.RData(_xll.RData($B52,"EJV.C.RICS","CN:TWEB BT:NGB",,,I52),"SECOND ACTIVY 1",,,,I52)</f>
        <v>No instrument defined.</v>
      </c>
      <c r="J52" t="e">
        <f t="shared" ref="J52:J92" si="6">(I52+H52)/2</f>
        <v>#VALUE!</v>
      </c>
      <c r="K52" s="99" t="e">
        <f t="shared" ref="K52:K92" si="7">-((F52-J52)*D52*10)</f>
        <v>#VALUE!</v>
      </c>
    </row>
    <row r="53" spans="2:11" ht="15" x14ac:dyDescent="0.25">
      <c r="B53" s="88" t="s">
        <v>470</v>
      </c>
      <c r="C53" t="s">
        <v>439</v>
      </c>
      <c r="D53" s="133">
        <v>1.4970000000000001</v>
      </c>
      <c r="F53">
        <v>99.992800000000003</v>
      </c>
      <c r="H53" s="183" t="str">
        <f>_xll.RData(_xll.RData($B53,"EJV.C.RICS","CN:TWEB BT:NGB",,,H53),"PRIM ACT 1",,,,H53)</f>
        <v>No instrument defined.</v>
      </c>
      <c r="I53" s="183" t="str">
        <f>_xll.RData(_xll.RData($B53,"EJV.C.RICS","CN:TWEB BT:NGB",,,I53),"SECOND ACTIVY 1",,,,I53)</f>
        <v>No instrument defined.</v>
      </c>
      <c r="J53" t="e">
        <f t="shared" si="6"/>
        <v>#VALUE!</v>
      </c>
      <c r="K53" s="99" t="e">
        <f t="shared" si="7"/>
        <v>#VALUE!</v>
      </c>
    </row>
    <row r="54" spans="2:11" ht="15" x14ac:dyDescent="0.25">
      <c r="B54" s="88" t="s">
        <v>471</v>
      </c>
      <c r="C54" t="s">
        <v>440</v>
      </c>
      <c r="D54" s="133">
        <v>45.444000000000003</v>
      </c>
      <c r="F54">
        <v>100.235</v>
      </c>
      <c r="H54" s="183" t="str">
        <f>_xll.RData(_xll.RData($B54,"EJV.C.RICS","CN:TWEB BT:NGB",,,H54),"PRIM ACT 1",,,,H54)</f>
        <v>Invalid Instrument Name.</v>
      </c>
      <c r="I54" s="183" t="str">
        <f>_xll.RData(_xll.RData($B54,"EJV.C.RICS","CN:TWEB BT:NGB",,,I54),"SECOND ACTIVY 1",,,,I54)</f>
        <v>Invalid Instrument Name.</v>
      </c>
      <c r="J54" t="e">
        <f t="shared" si="6"/>
        <v>#VALUE!</v>
      </c>
      <c r="K54" s="99" t="e">
        <f t="shared" si="7"/>
        <v>#VALUE!</v>
      </c>
    </row>
    <row r="55" spans="2:11" ht="15" x14ac:dyDescent="0.25">
      <c r="B55" s="88" t="s">
        <v>472</v>
      </c>
      <c r="C55" t="s">
        <v>441</v>
      </c>
      <c r="D55" s="133">
        <v>2.4679999999999902</v>
      </c>
      <c r="F55">
        <v>99.984920000000002</v>
      </c>
      <c r="H55" s="183" t="str">
        <f>_xll.RData(_xll.RData($B55,"EJV.C.RICS","CN:TWEB BT:NGB",,,H55),"PRIM ACT 1",,,,H55)</f>
        <v>Invalid Instrument Name.</v>
      </c>
      <c r="I55" s="183" t="str">
        <f>_xll.RData(_xll.RData($B55,"EJV.C.RICS","CN:TWEB BT:NGB",,,I55),"SECOND ACTIVY 1",,,,I55)</f>
        <v>Invalid Instrument Name.</v>
      </c>
      <c r="J55" t="e">
        <f t="shared" si="6"/>
        <v>#VALUE!</v>
      </c>
      <c r="K55" s="99" t="e">
        <f t="shared" si="7"/>
        <v>#VALUE!</v>
      </c>
    </row>
    <row r="56" spans="2:11" ht="15" x14ac:dyDescent="0.25">
      <c r="B56" s="88" t="s">
        <v>473</v>
      </c>
      <c r="C56" t="s">
        <v>442</v>
      </c>
      <c r="D56" s="133">
        <v>-8.2449999999999992</v>
      </c>
      <c r="F56">
        <v>99.974104999999994</v>
      </c>
      <c r="H56" s="183" t="str">
        <f>_xll.RData(_xll.RData($B56,"EJV.C.RICS","CN:TWEB BT:NGB",,,H56),"PRIM ACT 1",,,,H56)</f>
        <v>Invalid Instrument Name.</v>
      </c>
      <c r="I56" s="183" t="str">
        <f>_xll.RData(_xll.RData($B56,"EJV.C.RICS","CN:TWEB BT:NGB",,,I56),"SECOND ACTIVY 1",,,,I56)</f>
        <v>Invalid Instrument Name.</v>
      </c>
      <c r="J56" t="e">
        <f t="shared" si="6"/>
        <v>#VALUE!</v>
      </c>
      <c r="K56" s="99" t="e">
        <f t="shared" si="7"/>
        <v>#VALUE!</v>
      </c>
    </row>
    <row r="57" spans="2:11" ht="15" x14ac:dyDescent="0.25">
      <c r="B57" s="88" t="s">
        <v>522</v>
      </c>
      <c r="C57" t="s">
        <v>521</v>
      </c>
      <c r="D57" s="133">
        <v>4.7689999999999904</v>
      </c>
      <c r="F57">
        <v>99.914524999999998</v>
      </c>
      <c r="H57" s="183" t="str">
        <f>_xll.RData(_xll.RData($B57,"EJV.C.RICS","CN:TWEB BT:NGB",,,H57),"PRIM ACT 1",,,,H57)</f>
        <v>Invalid Instrument Name.</v>
      </c>
      <c r="I57" s="183" t="str">
        <f>_xll.RData(_xll.RData($B57,"EJV.C.RICS","CN:TWEB BT:NGB",,,I57),"SECOND ACTIVY 1",,,,I57)</f>
        <v>Invalid Instrument Name.</v>
      </c>
      <c r="J57" t="e">
        <f t="shared" si="6"/>
        <v>#VALUE!</v>
      </c>
      <c r="K57" s="99" t="e">
        <f t="shared" si="7"/>
        <v>#VALUE!</v>
      </c>
    </row>
    <row r="58" spans="2:11" ht="15" x14ac:dyDescent="0.25">
      <c r="B58" s="88" t="s">
        <v>474</v>
      </c>
      <c r="C58" t="s">
        <v>443</v>
      </c>
      <c r="D58" s="133">
        <v>-0.86099999999999999</v>
      </c>
      <c r="F58">
        <v>100.185</v>
      </c>
      <c r="H58" s="183" t="str">
        <f>_xll.RData(_xll.RData($B58,"EJV.C.RICS","CN:TWEB BT:NGB",,,H58),"PRIM ACT 1",,,,H58)</f>
        <v>Invalid Instrument Name.</v>
      </c>
      <c r="I58" s="183" t="str">
        <f>_xll.RData(_xll.RData($B58,"EJV.C.RICS","CN:TWEB BT:NGB",,,I58),"SECOND ACTIVY 1",,,,I58)</f>
        <v>Invalid Instrument Name.</v>
      </c>
      <c r="J58" t="e">
        <f t="shared" si="6"/>
        <v>#VALUE!</v>
      </c>
      <c r="K58" s="99" t="e">
        <f t="shared" si="7"/>
        <v>#VALUE!</v>
      </c>
    </row>
    <row r="59" spans="2:11" ht="15" x14ac:dyDescent="0.25">
      <c r="B59" s="88" t="s">
        <v>475</v>
      </c>
      <c r="C59" t="s">
        <v>444</v>
      </c>
      <c r="D59" s="133">
        <v>0.432</v>
      </c>
      <c r="F59">
        <v>100.92149999999999</v>
      </c>
      <c r="H59" s="183" t="str">
        <f>_xll.RData(_xll.RData($B59,"EJV.C.RICS","CN:TWEB BT:NGB",,,H59),"PRIM ACT 1",,,,H59)</f>
        <v>Invalid Instrument Name.</v>
      </c>
      <c r="I59" s="183" t="str">
        <f>_xll.RData(_xll.RData($B59,"EJV.C.RICS","CN:TWEB BT:NGB",,,I59),"SECOND ACTIVY 1",,,,I59)</f>
        <v>Invalid Instrument Name.</v>
      </c>
      <c r="J59" t="e">
        <f t="shared" si="6"/>
        <v>#VALUE!</v>
      </c>
      <c r="K59" s="99" t="e">
        <f t="shared" si="7"/>
        <v>#VALUE!</v>
      </c>
    </row>
    <row r="60" spans="2:11" ht="15" x14ac:dyDescent="0.25">
      <c r="B60" s="88" t="s">
        <v>515</v>
      </c>
      <c r="C60" t="s">
        <v>509</v>
      </c>
      <c r="D60" s="133">
        <v>25.071999999999999</v>
      </c>
      <c r="F60">
        <v>99.817025000000001</v>
      </c>
      <c r="H60" s="183" t="str">
        <f>_xll.RData(_xll.RData($B60,"EJV.C.RICS","CN:TWEB BT:NGB",,,H60),"PRIM ACT 1",,,,H60)</f>
        <v>Invalid Instrument Name.</v>
      </c>
      <c r="I60" s="183" t="str">
        <f>_xll.RData(_xll.RData($B60,"EJV.C.RICS","CN:TWEB BT:NGB",,,I60),"SECOND ACTIVY 1",,,,I60)</f>
        <v>Invalid Instrument Name.</v>
      </c>
      <c r="J60" t="e">
        <f t="shared" si="6"/>
        <v>#VALUE!</v>
      </c>
      <c r="K60" s="99" t="e">
        <f t="shared" si="7"/>
        <v>#VALUE!</v>
      </c>
    </row>
    <row r="61" spans="2:11" ht="15" x14ac:dyDescent="0.25">
      <c r="B61" s="88" t="s">
        <v>476</v>
      </c>
      <c r="C61" t="s">
        <v>445</v>
      </c>
      <c r="D61" s="133">
        <v>-1.5640000000000001</v>
      </c>
      <c r="F61">
        <v>99.761989999999997</v>
      </c>
      <c r="H61" s="183" t="str">
        <f>_xll.RData(_xll.RData($B61,"EJV.C.RICS","CN:TWEB BT:NGB",,,H61),"PRIM ACT 1",,,,H61)</f>
        <v>Invalid Instrument Name.</v>
      </c>
      <c r="I61" s="183" t="str">
        <f>_xll.RData(_xll.RData($B61,"EJV.C.RICS","CN:TWEB BT:NGB",,,I61),"SECOND ACTIVY 1",,,,I61)</f>
        <v>Invalid Instrument Name.</v>
      </c>
      <c r="J61" t="e">
        <f t="shared" si="6"/>
        <v>#VALUE!</v>
      </c>
      <c r="K61" s="99" t="e">
        <f t="shared" si="7"/>
        <v>#VALUE!</v>
      </c>
    </row>
    <row r="62" spans="2:11" ht="15" x14ac:dyDescent="0.25">
      <c r="B62" s="88" t="s">
        <v>477</v>
      </c>
      <c r="C62" t="s">
        <v>446</v>
      </c>
      <c r="D62" s="133">
        <v>-1.17500000000001</v>
      </c>
      <c r="F62">
        <v>99.713499999999996</v>
      </c>
      <c r="H62" s="183" t="str">
        <f>_xll.RData(_xll.RData($B62,"EJV.C.RICS","CN:TWEB BT:NGB",,,H62),"PRIM ACT 1",,,,H62)</f>
        <v>Invalid Instrument Name.</v>
      </c>
      <c r="I62" s="183" t="str">
        <f>_xll.RData(_xll.RData($B62,"EJV.C.RICS","CN:TWEB BT:NGB",,,I62),"SECOND ACTIVY 1",,,,I62)</f>
        <v>Invalid Instrument Name.</v>
      </c>
      <c r="J62" t="e">
        <f t="shared" si="6"/>
        <v>#VALUE!</v>
      </c>
      <c r="K62" s="99" t="e">
        <f t="shared" si="7"/>
        <v>#VALUE!</v>
      </c>
    </row>
    <row r="63" spans="2:11" ht="15" x14ac:dyDescent="0.25">
      <c r="B63" s="88" t="s">
        <v>478</v>
      </c>
      <c r="C63" t="s">
        <v>447</v>
      </c>
      <c r="D63" s="133">
        <v>0.47200000000001802</v>
      </c>
      <c r="F63">
        <v>101.54900000000001</v>
      </c>
      <c r="H63" s="183" t="str">
        <f>_xll.RData(_xll.RData($B63,"EJV.C.RICS","CN:TWEB BT:NGB",,,H63),"PRIM ACT 1",,,,H63)</f>
        <v>Invalid Instrument Name.</v>
      </c>
      <c r="I63" s="183" t="str">
        <f>_xll.RData(_xll.RData($B63,"EJV.C.RICS","CN:TWEB BT:NGB",,,I63),"SECOND ACTIVY 1",,,,I63)</f>
        <v>Invalid Instrument Name.</v>
      </c>
      <c r="J63" t="e">
        <f t="shared" si="6"/>
        <v>#VALUE!</v>
      </c>
      <c r="K63" s="99" t="e">
        <f t="shared" si="7"/>
        <v>#VALUE!</v>
      </c>
    </row>
    <row r="64" spans="2:11" ht="15" x14ac:dyDescent="0.25">
      <c r="B64" s="88" t="s">
        <v>479</v>
      </c>
      <c r="C64" t="s">
        <v>448</v>
      </c>
      <c r="D64" s="133">
        <v>-10.113</v>
      </c>
      <c r="F64">
        <v>99.707880000000003</v>
      </c>
      <c r="H64" s="183" t="str">
        <f>_xll.RData(_xll.RData($B64,"EJV.C.RICS","CN:TWEB BT:NGB",,,H64),"PRIM ACT 1",,,,H64)</f>
        <v>Invalid Instrument Name.</v>
      </c>
      <c r="I64" s="183" t="str">
        <f>_xll.RData(_xll.RData($B64,"EJV.C.RICS","CN:TWEB BT:NGB",,,I64),"SECOND ACTIVY 1",,,,I64)</f>
        <v>Invalid Instrument Name.</v>
      </c>
      <c r="J64" t="e">
        <f t="shared" si="6"/>
        <v>#VALUE!</v>
      </c>
      <c r="K64" s="99" t="e">
        <f t="shared" si="7"/>
        <v>#VALUE!</v>
      </c>
    </row>
    <row r="65" spans="2:11" ht="15" x14ac:dyDescent="0.25">
      <c r="B65" s="88" t="s">
        <v>480</v>
      </c>
      <c r="C65" t="s">
        <v>449</v>
      </c>
      <c r="D65" s="133">
        <v>0.33600000000000901</v>
      </c>
      <c r="F65">
        <v>99.637590000000003</v>
      </c>
      <c r="H65" s="183" t="str">
        <f>_xll.RData(_xll.RData($B65,"EJV.C.RICS","CN:TWEB BT:NGB",,,H65),"PRIM ACT 1",,,,H65)</f>
        <v>Invalid Instrument Name.</v>
      </c>
      <c r="I65" s="183" t="str">
        <f>_xll.RData(_xll.RData($B65,"EJV.C.RICS","CN:TWEB BT:NGB",,,I65),"SECOND ACTIVY 1",,,,I65)</f>
        <v>Invalid Instrument Name.</v>
      </c>
      <c r="J65" t="e">
        <f t="shared" si="6"/>
        <v>#VALUE!</v>
      </c>
      <c r="K65" s="99" t="e">
        <f t="shared" si="7"/>
        <v>#VALUE!</v>
      </c>
    </row>
    <row r="66" spans="2:11" ht="15" x14ac:dyDescent="0.25">
      <c r="B66" s="88" t="s">
        <v>481</v>
      </c>
      <c r="C66" t="s">
        <v>450</v>
      </c>
      <c r="D66" s="133">
        <v>24.913</v>
      </c>
      <c r="F66">
        <v>102.508</v>
      </c>
      <c r="H66" s="183" t="str">
        <f>_xll.RData(_xll.RData($B66,"EJV.C.RICS","CN:TWEB BT:NGB",,,H66),"PRIM ACT 1",,,,H66)</f>
        <v>Invalid Instrument Name.</v>
      </c>
      <c r="I66" s="183" t="str">
        <f>_xll.RData(_xll.RData($B66,"EJV.C.RICS","CN:TWEB BT:NGB",,,I66),"SECOND ACTIVY 1",,,,I66)</f>
        <v>Invalid Instrument Name.</v>
      </c>
      <c r="J66" t="e">
        <f t="shared" si="6"/>
        <v>#VALUE!</v>
      </c>
      <c r="K66" s="99" t="e">
        <f t="shared" si="7"/>
        <v>#VALUE!</v>
      </c>
    </row>
    <row r="67" spans="2:11" ht="15" x14ac:dyDescent="0.25">
      <c r="B67" s="88" t="s">
        <v>506</v>
      </c>
      <c r="C67" t="s">
        <v>502</v>
      </c>
      <c r="D67" s="133">
        <v>1.0649999999999999</v>
      </c>
      <c r="F67">
        <v>99.557535000000001</v>
      </c>
      <c r="H67" s="183" t="str">
        <f>_xll.RData(_xll.RData($B67,"EJV.C.RICS","CN:TWEB BT:NGB",,,H67),"PRIM ACT 1",,,,H67)</f>
        <v>Invalid Instrument Name.</v>
      </c>
      <c r="I67" s="183" t="str">
        <f>_xll.RData(_xll.RData($B67,"EJV.C.RICS","CN:TWEB BT:NGB",,,I67),"SECOND ACTIVY 1",,,,I67)</f>
        <v>Invalid Instrument Name.</v>
      </c>
      <c r="J67" t="e">
        <f t="shared" si="6"/>
        <v>#VALUE!</v>
      </c>
      <c r="K67" s="99" t="e">
        <f t="shared" si="7"/>
        <v>#VALUE!</v>
      </c>
    </row>
    <row r="68" spans="2:11" ht="15" x14ac:dyDescent="0.25">
      <c r="B68" s="88" t="s">
        <v>482</v>
      </c>
      <c r="C68" t="s">
        <v>451</v>
      </c>
      <c r="D68" s="133">
        <v>1.2590000000000401</v>
      </c>
      <c r="F68">
        <v>99.483755000000002</v>
      </c>
      <c r="H68" s="183" t="str">
        <f>_xll.RData(_xll.RData($B68,"EJV.C.RICS","CN:TWEB BT:NGB",,,H68),"PRIM ACT 1",,,,H68)</f>
        <v>Invalid Instrument Name.</v>
      </c>
      <c r="I68" s="183" t="str">
        <f>_xll.RData(_xll.RData($B68,"EJV.C.RICS","CN:TWEB BT:NGB",,,I68),"SECOND ACTIVY 1",,,,I68)</f>
        <v>Invalid Instrument Name.</v>
      </c>
      <c r="J68" t="e">
        <f t="shared" si="6"/>
        <v>#VALUE!</v>
      </c>
      <c r="K68" s="99" t="e">
        <f t="shared" si="7"/>
        <v>#VALUE!</v>
      </c>
    </row>
    <row r="69" spans="2:11" ht="15" x14ac:dyDescent="0.25">
      <c r="B69" s="88" t="s">
        <v>516</v>
      </c>
      <c r="C69" t="s">
        <v>510</v>
      </c>
      <c r="D69" s="133">
        <v>10.103</v>
      </c>
      <c r="F69">
        <v>99.422499999999999</v>
      </c>
      <c r="H69" s="183" t="str">
        <f>_xll.RData(_xll.RData($B69,"EJV.C.RICS","CN:TWEB BT:NGB",,,H69),"PRIM ACT 1",,,,H69)</f>
        <v>Invalid Instrument Name.</v>
      </c>
      <c r="I69" s="183" t="str">
        <f>_xll.RData(_xll.RData($B69,"EJV.C.RICS","CN:TWEB BT:NGB",,,I69),"SECOND ACTIVY 1",,,,I69)</f>
        <v>Invalid Instrument Name.</v>
      </c>
      <c r="J69" t="e">
        <f t="shared" si="6"/>
        <v>#VALUE!</v>
      </c>
      <c r="K69" s="99" t="e">
        <f t="shared" si="7"/>
        <v>#VALUE!</v>
      </c>
    </row>
    <row r="70" spans="2:11" ht="15" x14ac:dyDescent="0.25">
      <c r="B70" s="88" t="s">
        <v>483</v>
      </c>
      <c r="C70" t="s">
        <v>452</v>
      </c>
      <c r="D70" s="133">
        <v>52.5</v>
      </c>
      <c r="F70">
        <v>99.423935</v>
      </c>
      <c r="H70" s="183" t="str">
        <f>_xll.RData(_xll.RData($B70,"EJV.C.RICS","CN:TWEB BT:NGB",,,H70),"PRIM ACT 1",,,,H70)</f>
        <v>Invalid Instrument Name.</v>
      </c>
      <c r="I70" s="183" t="str">
        <f>_xll.RData(_xll.RData($B70,"EJV.C.RICS","CN:TWEB BT:NGB",,,I70),"SECOND ACTIVY 1",,,,I70)</f>
        <v>Invalid Instrument Name.</v>
      </c>
      <c r="J70" t="e">
        <f t="shared" si="6"/>
        <v>#VALUE!</v>
      </c>
      <c r="K70" s="99" t="e">
        <f t="shared" si="7"/>
        <v>#VALUE!</v>
      </c>
    </row>
    <row r="71" spans="2:11" ht="15" x14ac:dyDescent="0.25">
      <c r="B71" s="88" t="s">
        <v>517</v>
      </c>
      <c r="C71" t="s">
        <v>511</v>
      </c>
      <c r="D71" s="133">
        <v>98.13</v>
      </c>
      <c r="F71">
        <v>99.31917</v>
      </c>
      <c r="H71" s="183" t="str">
        <f>_xll.RData(_xll.RData($B71,"EJV.C.RICS","CN:TWEB BT:NGB",,,H71),"PRIM ACT 1",,,,H71)</f>
        <v>Invalid Instrument Name.</v>
      </c>
      <c r="I71" s="183" t="str">
        <f>_xll.RData(_xll.RData($B71,"EJV.C.RICS","CN:TWEB BT:NGB",,,I71),"SECOND ACTIVY 1",,,,I71)</f>
        <v>Invalid Instrument Name.</v>
      </c>
      <c r="J71" t="e">
        <f t="shared" si="6"/>
        <v>#VALUE!</v>
      </c>
      <c r="K71" s="99" t="e">
        <f t="shared" si="7"/>
        <v>#VALUE!</v>
      </c>
    </row>
    <row r="72" spans="2:11" ht="15" x14ac:dyDescent="0.25">
      <c r="B72" s="88" t="s">
        <v>484</v>
      </c>
      <c r="C72" t="s">
        <v>453</v>
      </c>
      <c r="D72" s="133">
        <v>16.216999999999999</v>
      </c>
      <c r="F72">
        <v>105.214</v>
      </c>
      <c r="H72" s="183" t="str">
        <f>_xll.RData(_xll.RData($B72,"EJV.C.RICS","CN:TWEB BT:NGB",,,H72),"PRIM ACT 1",,,,H72)</f>
        <v>Invalid Instrument Name.</v>
      </c>
      <c r="I72" s="183" t="str">
        <f>_xll.RData(_xll.RData($B72,"EJV.C.RICS","CN:TWEB BT:NGB",,,I72),"SECOND ACTIVY 1",,,,I72)</f>
        <v>Invalid Instrument Name.</v>
      </c>
      <c r="J72" t="e">
        <f t="shared" si="6"/>
        <v>#VALUE!</v>
      </c>
      <c r="K72" s="99" t="e">
        <f t="shared" si="7"/>
        <v>#VALUE!</v>
      </c>
    </row>
    <row r="73" spans="2:11" ht="15" x14ac:dyDescent="0.25">
      <c r="B73" s="88" t="s">
        <v>485</v>
      </c>
      <c r="C73" t="s">
        <v>454</v>
      </c>
      <c r="D73" s="133">
        <v>0.46</v>
      </c>
      <c r="F73">
        <v>100.0585</v>
      </c>
      <c r="H73" s="183" t="str">
        <f>_xll.RData(_xll.RData($B73,"EJV.C.RICS","CN:TWEB BT:NGB",,,H73),"PRIM ACT 1",,,,H73)</f>
        <v>Invalid Instrument Name.</v>
      </c>
      <c r="I73" s="183" t="str">
        <f>_xll.RData(_xll.RData($B73,"EJV.C.RICS","CN:TWEB BT:NGB",,,I73),"SECOND ACTIVY 1",,,,I73)</f>
        <v>Invalid Instrument Name.</v>
      </c>
      <c r="J73" t="e">
        <f t="shared" si="6"/>
        <v>#VALUE!</v>
      </c>
      <c r="K73" s="99" t="e">
        <f t="shared" si="7"/>
        <v>#VALUE!</v>
      </c>
    </row>
    <row r="74" spans="2:11" ht="15" x14ac:dyDescent="0.25">
      <c r="B74" s="88" t="s">
        <v>486</v>
      </c>
      <c r="C74" t="s">
        <v>455</v>
      </c>
      <c r="D74" s="133">
        <v>92.254999999999896</v>
      </c>
      <c r="F74">
        <v>99.157499999999999</v>
      </c>
      <c r="H74" s="183" t="str">
        <f>_xll.RData(_xll.RData($B74,"EJV.C.RICS","CN:TWEB BT:NGB",,,H74),"PRIM ACT 1",,,,H74)</f>
        <v>Invalid Instrument Name.</v>
      </c>
      <c r="I74" s="183" t="str">
        <f>_xll.RData(_xll.RData($B74,"EJV.C.RICS","CN:TWEB BT:NGB",,,I74),"SECOND ACTIVY 1",,,,I74)</f>
        <v>Invalid Instrument Name.</v>
      </c>
      <c r="J74" t="e">
        <f t="shared" si="6"/>
        <v>#VALUE!</v>
      </c>
      <c r="K74" s="99" t="e">
        <f t="shared" si="7"/>
        <v>#VALUE!</v>
      </c>
    </row>
    <row r="75" spans="2:11" ht="15" x14ac:dyDescent="0.25">
      <c r="B75" s="88" t="s">
        <v>487</v>
      </c>
      <c r="C75" t="s">
        <v>456</v>
      </c>
      <c r="D75" s="133">
        <v>5.1929999999999996</v>
      </c>
      <c r="F75">
        <v>104.1305</v>
      </c>
      <c r="H75" s="183" t="str">
        <f>_xll.RData(_xll.RData($B75,"EJV.C.RICS","CN:TWEB BT:NGB",,,H75),"PRIM ACT 1",,,,H75)</f>
        <v>Invalid Instrument Name.</v>
      </c>
      <c r="I75" s="183" t="str">
        <f>_xll.RData(_xll.RData($B75,"EJV.C.RICS","CN:TWEB BT:NGB",,,I75),"SECOND ACTIVY 1",,,,I75)</f>
        <v>Invalid Instrument Name.</v>
      </c>
      <c r="J75" t="e">
        <f t="shared" si="6"/>
        <v>#VALUE!</v>
      </c>
      <c r="K75" s="99" t="e">
        <f t="shared" si="7"/>
        <v>#VALUE!</v>
      </c>
    </row>
    <row r="76" spans="2:11" ht="15" x14ac:dyDescent="0.25">
      <c r="B76" s="88" t="s">
        <v>488</v>
      </c>
      <c r="C76" t="s">
        <v>457</v>
      </c>
      <c r="D76" s="133">
        <v>-24.946999999999999</v>
      </c>
      <c r="F76">
        <v>102.892</v>
      </c>
      <c r="H76" s="183" t="str">
        <f>_xll.RData(_xll.RData($B76,"EJV.C.RICS","CN:TWEB BT:NGB",,,H76),"PRIM ACT 1",,,,H76)</f>
        <v>Invalid Instrument Name.</v>
      </c>
      <c r="I76" s="183" t="str">
        <f>_xll.RData(_xll.RData($B76,"EJV.C.RICS","CN:TWEB BT:NGB",,,I76),"SECOND ACTIVY 1",,,,I76)</f>
        <v>Invalid Instrument Name.</v>
      </c>
      <c r="J76" t="e">
        <f t="shared" si="6"/>
        <v>#VALUE!</v>
      </c>
      <c r="K76" s="99" t="e">
        <f t="shared" si="7"/>
        <v>#VALUE!</v>
      </c>
    </row>
    <row r="77" spans="2:11" ht="15" x14ac:dyDescent="0.25">
      <c r="B77" s="88" t="s">
        <v>489</v>
      </c>
      <c r="C77" t="s">
        <v>458</v>
      </c>
      <c r="D77" s="133">
        <v>87.344999999999999</v>
      </c>
      <c r="F77">
        <v>103.017</v>
      </c>
      <c r="H77" s="183" t="str">
        <f>_xll.RData(_xll.RData($B77,"EJV.C.RICS","CN:TWEB BT:NGB",,,H77),"PRIM ACT 1",,,,H77)</f>
        <v>Invalid Instrument Name.</v>
      </c>
      <c r="I77" s="183" t="str">
        <f>_xll.RData(_xll.RData($B77,"EJV.C.RICS","CN:TWEB BT:NGB",,,I77),"SECOND ACTIVY 1",,,,I77)</f>
        <v>Invalid Instrument Name.</v>
      </c>
      <c r="J77" t="e">
        <f t="shared" si="6"/>
        <v>#VALUE!</v>
      </c>
      <c r="K77" s="99" t="e">
        <f t="shared" si="7"/>
        <v>#VALUE!</v>
      </c>
    </row>
    <row r="78" spans="2:11" ht="15" x14ac:dyDescent="0.25">
      <c r="B78" s="88" t="s">
        <v>490</v>
      </c>
      <c r="C78" t="s">
        <v>459</v>
      </c>
      <c r="D78" s="133">
        <v>-60.161999999999999</v>
      </c>
      <c r="F78">
        <v>98.180999999999997</v>
      </c>
      <c r="H78" s="183" t="str">
        <f>_xll.RData(_xll.RData($B78,"EJV.C.RICS","CN:TWEB BT:NGB",,,H78),"PRIM ACT 1",,,,H78)</f>
        <v>Invalid Instrument Name.</v>
      </c>
      <c r="I78" s="183" t="str">
        <f>_xll.RData(_xll.RData($B78,"EJV.C.RICS","CN:TWEB BT:NGB",,,I78),"SECOND ACTIVY 1",,,,I78)</f>
        <v>Invalid Instrument Name.</v>
      </c>
      <c r="J78" t="e">
        <f t="shared" si="6"/>
        <v>#VALUE!</v>
      </c>
      <c r="K78" s="99" t="e">
        <f t="shared" si="7"/>
        <v>#VALUE!</v>
      </c>
    </row>
    <row r="79" spans="2:11" ht="15" x14ac:dyDescent="0.25">
      <c r="B79" s="88" t="s">
        <v>491</v>
      </c>
      <c r="C79" t="s">
        <v>460</v>
      </c>
      <c r="D79" s="133">
        <v>91.346000000000004</v>
      </c>
      <c r="F79">
        <v>105.47499999999999</v>
      </c>
      <c r="H79" s="183" t="str">
        <f>_xll.RData(_xll.RData($B79,"EJV.C.RICS","CN:TWEB BT:NGB",,,H79),"PRIM ACT 1",,,,H79)</f>
        <v>Invalid Instrument Name.</v>
      </c>
      <c r="I79" s="183" t="str">
        <f>_xll.RData(_xll.RData($B79,"EJV.C.RICS","CN:TWEB BT:NGB",,,I79),"SECOND ACTIVY 1",,,,I79)</f>
        <v>Invalid Instrument Name.</v>
      </c>
      <c r="J79" t="e">
        <f t="shared" si="6"/>
        <v>#VALUE!</v>
      </c>
      <c r="K79" s="99" t="e">
        <f t="shared" si="7"/>
        <v>#VALUE!</v>
      </c>
    </row>
    <row r="80" spans="2:11" ht="15" x14ac:dyDescent="0.25">
      <c r="B80" s="88" t="s">
        <v>492</v>
      </c>
      <c r="C80" t="s">
        <v>461</v>
      </c>
      <c r="D80" s="133">
        <v>-59.335999999999999</v>
      </c>
      <c r="F80">
        <v>104.3625</v>
      </c>
      <c r="H80" s="183" t="str">
        <f>_xll.RData(_xll.RData($B80,"EJV.C.RICS","CN:TWEB BT:NGB",,,H80),"PRIM ACT 1",,,,H80)</f>
        <v>Invalid Instrument Name.</v>
      </c>
      <c r="I80" s="183" t="str">
        <f>_xll.RData(_xll.RData($B80,"EJV.C.RICS","CN:TWEB BT:NGB",,,I80),"SECOND ACTIVY 1",,,,I80)</f>
        <v>Invalid Instrument Name.</v>
      </c>
      <c r="J80" t="e">
        <f t="shared" si="6"/>
        <v>#VALUE!</v>
      </c>
      <c r="K80" s="99" t="e">
        <f t="shared" si="7"/>
        <v>#VALUE!</v>
      </c>
    </row>
    <row r="81" spans="2:11" ht="15" x14ac:dyDescent="0.25">
      <c r="B81" s="88" t="s">
        <v>518</v>
      </c>
      <c r="C81" t="s">
        <v>512</v>
      </c>
      <c r="D81" s="133">
        <v>-25.545000000000002</v>
      </c>
      <c r="F81">
        <v>103.47499999999999</v>
      </c>
      <c r="H81" s="183" t="str">
        <f>_xll.RData(_xll.RData($B81,"EJV.C.RICS","CN:TWEB BT:NGB",,,H81),"PRIM ACT 1",,,,H81)</f>
        <v>Invalid Instrument Name.</v>
      </c>
      <c r="I81" s="183" t="str">
        <f>_xll.RData(_xll.RData($B81,"EJV.C.RICS","CN:TWEB BT:NGB",,,I81),"SECOND ACTIVY 1",,,,I81)</f>
        <v>Invalid Instrument Name.</v>
      </c>
      <c r="J81" t="e">
        <f t="shared" si="6"/>
        <v>#VALUE!</v>
      </c>
      <c r="K81" s="99" t="e">
        <f t="shared" si="7"/>
        <v>#VALUE!</v>
      </c>
    </row>
    <row r="82" spans="2:11" ht="15" x14ac:dyDescent="0.25">
      <c r="B82" t="s">
        <v>493</v>
      </c>
      <c r="C82" t="s">
        <v>503</v>
      </c>
      <c r="D82" s="133">
        <v>-9.3789999999999996</v>
      </c>
      <c r="F82">
        <v>102.995</v>
      </c>
      <c r="H82" s="183" t="str">
        <f>_xll.RData(_xll.RData($B82,"EJV.C.RICS","CN:TWEB BT:NGB",,,H82),"PRIM ACT 1",,,,H82)</f>
        <v>Invalid Instrument Name.</v>
      </c>
      <c r="I82" s="183" t="str">
        <f>_xll.RData(_xll.RData($B82,"EJV.C.RICS","CN:TWEB BT:NGB",,,I82),"SECOND ACTIVY 1",,,,I82)</f>
        <v>Invalid Instrument Name.</v>
      </c>
      <c r="J82" t="e">
        <f t="shared" si="6"/>
        <v>#VALUE!</v>
      </c>
      <c r="K82" s="99" t="e">
        <f t="shared" si="7"/>
        <v>#VALUE!</v>
      </c>
    </row>
    <row r="83" spans="2:11" ht="15" x14ac:dyDescent="0.25">
      <c r="B83" s="88" t="s">
        <v>494</v>
      </c>
      <c r="C83" t="s">
        <v>462</v>
      </c>
      <c r="D83" s="133">
        <v>-85.730999999999995</v>
      </c>
      <c r="F83">
        <v>105.435</v>
      </c>
      <c r="H83" s="183" t="str">
        <f>_xll.RData(_xll.RData($B83,"EJV.C.RICS","CN:TWEB BT:NGB",,,H83),"PRIM ACT 1",,,,H83)</f>
        <v>Invalid Instrument Name.</v>
      </c>
      <c r="I83" s="183" t="str">
        <f>_xll.RData(_xll.RData($B83,"EJV.C.RICS","CN:TWEB BT:NGB",,,I83),"SECOND ACTIVY 1",,,,I83)</f>
        <v>Invalid Instrument Name.</v>
      </c>
      <c r="J83" t="e">
        <f t="shared" si="6"/>
        <v>#VALUE!</v>
      </c>
      <c r="K83" s="99" t="e">
        <f t="shared" si="7"/>
        <v>#VALUE!</v>
      </c>
    </row>
    <row r="84" spans="2:11" ht="15" x14ac:dyDescent="0.25">
      <c r="B84" s="88" t="s">
        <v>495</v>
      </c>
      <c r="C84" t="s">
        <v>463</v>
      </c>
      <c r="D84" s="133">
        <v>0.43000000000002198</v>
      </c>
      <c r="F84">
        <v>101.83</v>
      </c>
      <c r="H84" s="183" t="str">
        <f>_xll.RData(_xll.RData($B84,"EJV.C.RICS","CN:TWEB BT:NGB",,,H84),"PRIM ACT 1",,,,H84)</f>
        <v>Invalid Instrument Name.</v>
      </c>
      <c r="I84" s="183" t="str">
        <f>_xll.RData(_xll.RData($B84,"EJV.C.RICS","CN:TWEB BT:NGB",,,I84),"SECOND ACTIVY 1",,,,I84)</f>
        <v>Invalid Instrument Name.</v>
      </c>
      <c r="J84" t="e">
        <f t="shared" si="6"/>
        <v>#VALUE!</v>
      </c>
      <c r="K84" s="99" t="e">
        <f t="shared" si="7"/>
        <v>#VALUE!</v>
      </c>
    </row>
    <row r="85" spans="2:11" ht="15" x14ac:dyDescent="0.25">
      <c r="B85" s="88" t="s">
        <v>496</v>
      </c>
      <c r="C85" t="s">
        <v>464</v>
      </c>
      <c r="D85" s="133">
        <v>-46.289000000000001</v>
      </c>
      <c r="F85">
        <v>105.6555</v>
      </c>
      <c r="H85" s="183" t="str">
        <f>_xll.RData(_xll.RData($B85,"EJV.C.RICS","CN:TWEB BT:NGB",,,H85),"PRIM ACT 1",,,,H85)</f>
        <v>Invalid Instrument Name.</v>
      </c>
      <c r="I85" s="183" t="str">
        <f>_xll.RData(_xll.RData($B85,"EJV.C.RICS","CN:TWEB BT:NGB",,,I85),"SECOND ACTIVY 1",,,,I85)</f>
        <v>Invalid Instrument Name.</v>
      </c>
      <c r="J85" t="e">
        <f t="shared" si="6"/>
        <v>#VALUE!</v>
      </c>
      <c r="K85" s="99" t="e">
        <f t="shared" si="7"/>
        <v>#VALUE!</v>
      </c>
    </row>
    <row r="86" spans="2:11" ht="15" x14ac:dyDescent="0.25">
      <c r="B86" s="88" t="s">
        <v>497</v>
      </c>
      <c r="C86" t="s">
        <v>465</v>
      </c>
      <c r="D86" s="133">
        <v>-34.042999999999999</v>
      </c>
      <c r="F86">
        <v>108.44</v>
      </c>
      <c r="H86" s="183" t="str">
        <f>_xll.RData(_xll.RData($B86,"EJV.C.RICS","CN:TWEB BT:NGB",,,H86),"PRIM ACT 1",,,,H86)</f>
        <v>Invalid Instrument Name.</v>
      </c>
      <c r="I86" s="183" t="str">
        <f>_xll.RData(_xll.RData($B86,"EJV.C.RICS","CN:TWEB BT:NGB",,,I86),"SECOND ACTIVY 1",,,,I86)</f>
        <v>Invalid Instrument Name.</v>
      </c>
      <c r="J86" t="e">
        <f t="shared" si="6"/>
        <v>#VALUE!</v>
      </c>
      <c r="K86" s="99" t="e">
        <f t="shared" si="7"/>
        <v>#VALUE!</v>
      </c>
    </row>
    <row r="87" spans="2:11" ht="15" x14ac:dyDescent="0.25">
      <c r="B87" s="88" t="s">
        <v>519</v>
      </c>
      <c r="C87" t="s">
        <v>513</v>
      </c>
      <c r="D87" s="133">
        <v>0.97899999999999898</v>
      </c>
      <c r="F87">
        <v>106.483</v>
      </c>
      <c r="H87" s="183" t="str">
        <f>_xll.RData(_xll.RData($B87,"EJV.C.RICS","CN:TWEB BT:NGB",,,H87),"PRIM ACT 1",,,,H87)</f>
        <v>Invalid Instrument Name.</v>
      </c>
      <c r="I87" s="183" t="str">
        <f>_xll.RData(_xll.RData($B87,"EJV.C.RICS","CN:TWEB BT:NGB",,,I87),"SECOND ACTIVY 1",,,,I87)</f>
        <v>Invalid Instrument Name.</v>
      </c>
      <c r="J87" t="e">
        <f t="shared" si="6"/>
        <v>#VALUE!</v>
      </c>
      <c r="K87" s="99" t="e">
        <f t="shared" si="7"/>
        <v>#VALUE!</v>
      </c>
    </row>
    <row r="88" spans="2:11" ht="15" x14ac:dyDescent="0.25">
      <c r="B88" s="88" t="s">
        <v>507</v>
      </c>
      <c r="C88" t="s">
        <v>504</v>
      </c>
      <c r="D88" s="133">
        <v>10.609</v>
      </c>
      <c r="F88">
        <v>110.8185</v>
      </c>
      <c r="H88" s="183" t="str">
        <f>_xll.RData(_xll.RData($B88,"EJV.C.RICS","CN:TWEB BT:NGB",,,H88),"PRIM ACT 1",,,,H88)</f>
        <v>Invalid Instrument Name.</v>
      </c>
      <c r="I88" s="183" t="str">
        <f>_xll.RData(_xll.RData($B88,"EJV.C.RICS","CN:TWEB BT:NGB",,,I88),"SECOND ACTIVY 1",,,,I88)</f>
        <v>Invalid Instrument Name.</v>
      </c>
      <c r="J88" t="e">
        <f t="shared" si="6"/>
        <v>#VALUE!</v>
      </c>
      <c r="K88" s="99" t="e">
        <f t="shared" si="7"/>
        <v>#VALUE!</v>
      </c>
    </row>
    <row r="89" spans="2:11" ht="15" x14ac:dyDescent="0.25">
      <c r="B89" s="88" t="s">
        <v>499</v>
      </c>
      <c r="C89" t="s">
        <v>467</v>
      </c>
      <c r="D89" s="133">
        <v>-0.373000000000001</v>
      </c>
      <c r="F89">
        <v>104.66</v>
      </c>
      <c r="H89" s="183" t="str">
        <f>_xll.RData(_xll.RData($B89,"EJV.C.RICS","CN:TWEB BT:NGB",,,H89),"PRIM ACT 1",,,,H89)</f>
        <v>Invalid Instrument Name.</v>
      </c>
      <c r="I89" s="183" t="str">
        <f>_xll.RData(_xll.RData($B89,"EJV.C.RICS","CN:TWEB BT:NGB",,,I89),"SECOND ACTIVY 1",,,,I89)</f>
        <v>Invalid Instrument Name.</v>
      </c>
      <c r="J89" t="e">
        <f t="shared" si="6"/>
        <v>#VALUE!</v>
      </c>
      <c r="K89" s="99" t="e">
        <f t="shared" si="7"/>
        <v>#VALUE!</v>
      </c>
    </row>
    <row r="90" spans="2:11" ht="15" x14ac:dyDescent="0.25">
      <c r="B90" s="88" t="s">
        <v>508</v>
      </c>
      <c r="C90" t="s">
        <v>505</v>
      </c>
      <c r="D90" s="133">
        <v>0.53200000000000003</v>
      </c>
      <c r="F90">
        <v>108.61</v>
      </c>
      <c r="H90" s="183" t="str">
        <f>_xll.RData(_xll.RData($B90,"EJV.C.RICS","CN:TWEB BT:NGB",,,H90),"PRIM ACT 1",,,,H90)</f>
        <v>Invalid Instrument Name.</v>
      </c>
      <c r="I90" s="183" t="str">
        <f>_xll.RData(_xll.RData($B90,"EJV.C.RICS","CN:TWEB BT:NGB",,,I90),"SECOND ACTIVY 1",,,,I90)</f>
        <v>Invalid Instrument Name.</v>
      </c>
      <c r="J90" t="e">
        <f t="shared" si="6"/>
        <v>#VALUE!</v>
      </c>
      <c r="K90" s="99" t="e">
        <f t="shared" si="7"/>
        <v>#VALUE!</v>
      </c>
    </row>
    <row r="91" spans="2:11" ht="15" x14ac:dyDescent="0.25">
      <c r="B91" s="88" t="s">
        <v>520</v>
      </c>
      <c r="C91" t="s">
        <v>514</v>
      </c>
      <c r="D91" s="133">
        <v>-8.1679999999999993</v>
      </c>
      <c r="F91">
        <v>107.1555</v>
      </c>
      <c r="H91" s="183" t="str">
        <f>_xll.RData(_xll.RData($B91,"EJV.C.RICS","CN:TWEB BT:NGB",,,H91),"PRIM ACT 1",,,,H91)</f>
        <v>Invalid Instrument Name.</v>
      </c>
      <c r="I91" s="183" t="str">
        <f>_xll.RData(_xll.RData($B91,"EJV.C.RICS","CN:TWEB BT:NGB",,,I91),"SECOND ACTIVY 1",,,,I91)</f>
        <v>Invalid Instrument Name.</v>
      </c>
      <c r="J91" t="e">
        <f t="shared" si="6"/>
        <v>#VALUE!</v>
      </c>
      <c r="K91" s="99" t="e">
        <f t="shared" si="7"/>
        <v>#VALUE!</v>
      </c>
    </row>
    <row r="92" spans="2:11" ht="15" x14ac:dyDescent="0.25">
      <c r="B92" s="88" t="s">
        <v>500</v>
      </c>
      <c r="C92" t="s">
        <v>468</v>
      </c>
      <c r="D92" s="133">
        <v>70.844999999999999</v>
      </c>
      <c r="F92">
        <v>109.47</v>
      </c>
      <c r="H92" s="183" t="str">
        <f>_xll.RData(_xll.RData($B92,"EJV.C.RICS","CN:TWEB BT:NGB",,,H92),"PRIM ACT 1",,,,H92)</f>
        <v>Invalid Instrument Name.</v>
      </c>
      <c r="I92" s="183" t="str">
        <f>_xll.RData(_xll.RData($B92,"EJV.C.RICS","CN:TWEB BT:NGB",,,I92),"SECOND ACTIVY 1",,,,I92)</f>
        <v>Invalid Instrument Name.</v>
      </c>
      <c r="J92" t="e">
        <f t="shared" si="6"/>
        <v>#VALUE!</v>
      </c>
      <c r="K92" s="99" t="e">
        <f t="shared" si="7"/>
        <v>#VALUE!</v>
      </c>
    </row>
    <row r="93" spans="2:11" ht="15" x14ac:dyDescent="0.25">
      <c r="F93"/>
      <c r="H93" s="183"/>
      <c r="I93" s="183"/>
      <c r="K93" s="99"/>
    </row>
    <row r="94" spans="2:11" ht="15" x14ac:dyDescent="0.25">
      <c r="F94"/>
      <c r="H94" s="183"/>
      <c r="I94" s="183"/>
      <c r="K94" s="99"/>
    </row>
    <row r="95" spans="2:11" ht="15" x14ac:dyDescent="0.25">
      <c r="F95"/>
      <c r="H95" s="183"/>
      <c r="I95" s="183"/>
      <c r="K95" s="99" t="e">
        <f>SUM(K52:K92)</f>
        <v>#VALUE!</v>
      </c>
    </row>
    <row r="96" spans="2:11" ht="15" x14ac:dyDescent="0.25">
      <c r="F96"/>
      <c r="H96" s="183"/>
      <c r="I96" s="183"/>
      <c r="K96" s="99"/>
    </row>
    <row r="97" spans="6:11" ht="15" x14ac:dyDescent="0.25">
      <c r="F97"/>
      <c r="H97" s="183"/>
      <c r="I97" s="183"/>
      <c r="K97" s="99"/>
    </row>
    <row r="98" spans="6:11" x14ac:dyDescent="0.2">
      <c r="F98"/>
    </row>
    <row r="99" spans="6:11" x14ac:dyDescent="0.2">
      <c r="F99"/>
      <c r="K99" s="99"/>
    </row>
    <row r="100" spans="6:11" x14ac:dyDescent="0.2">
      <c r="F100"/>
    </row>
    <row r="101" spans="6:11" x14ac:dyDescent="0.2">
      <c r="F101"/>
    </row>
    <row r="102" spans="6:11" x14ac:dyDescent="0.2">
      <c r="F102"/>
    </row>
    <row r="103" spans="6:11" x14ac:dyDescent="0.2">
      <c r="F103"/>
    </row>
    <row r="104" spans="6:11" x14ac:dyDescent="0.2">
      <c r="F104"/>
    </row>
    <row r="105" spans="6:11" x14ac:dyDescent="0.2">
      <c r="F105"/>
    </row>
    <row r="106" spans="6:11" x14ac:dyDescent="0.2">
      <c r="F106"/>
    </row>
  </sheetData>
  <autoFilter ref="A1"/>
  <phoneticPr fontId="2" type="noConversion"/>
  <pageMargins left="0.75" right="0.75" top="1" bottom="1" header="0.5" footer="0.5"/>
  <pageSetup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51"/>
  <sheetViews>
    <sheetView topLeftCell="D160" workbookViewId="0">
      <selection activeCell="J182" sqref="J182"/>
    </sheetView>
  </sheetViews>
  <sheetFormatPr defaultRowHeight="12.75" x14ac:dyDescent="0.2"/>
  <cols>
    <col min="1" max="1" width="10.85546875" hidden="1" customWidth="1"/>
    <col min="2" max="2" width="14.28515625" style="88" hidden="1" customWidth="1"/>
    <col min="3" max="3" width="0" hidden="1" customWidth="1"/>
    <col min="4" max="4" width="18.140625" bestFit="1" customWidth="1"/>
    <col min="5" max="5" width="7.140625" bestFit="1" customWidth="1"/>
    <col min="6" max="6" width="18.140625" bestFit="1" customWidth="1"/>
    <col min="7" max="7" width="10.7109375" bestFit="1" customWidth="1"/>
    <col min="8" max="8" width="17.42578125" bestFit="1" customWidth="1"/>
    <col min="9" max="9" width="12.28515625" style="13" customWidth="1"/>
    <col min="10" max="10" width="12" customWidth="1"/>
    <col min="11" max="13" width="12.28515625" bestFit="1" customWidth="1"/>
    <col min="14" max="14" width="9.7109375" bestFit="1" customWidth="1"/>
  </cols>
  <sheetData>
    <row r="1" spans="1:13" x14ac:dyDescent="0.2">
      <c r="D1" s="88">
        <v>1</v>
      </c>
      <c r="H1" s="88">
        <v>2</v>
      </c>
    </row>
    <row r="2" spans="1:13" x14ac:dyDescent="0.2">
      <c r="A2" t="s">
        <v>216</v>
      </c>
      <c r="B2" s="88" t="s">
        <v>221</v>
      </c>
      <c r="D2" s="90" t="s">
        <v>232</v>
      </c>
      <c r="E2" s="92"/>
      <c r="G2" s="92"/>
      <c r="H2" s="90" t="s">
        <v>233</v>
      </c>
      <c r="I2" s="98"/>
    </row>
    <row r="3" spans="1:13" x14ac:dyDescent="0.2">
      <c r="D3" t="s">
        <v>347</v>
      </c>
      <c r="E3" s="92">
        <v>7.10543E-15</v>
      </c>
      <c r="F3" s="166">
        <v>-478252.94742341997</v>
      </c>
      <c r="G3" s="92"/>
      <c r="H3" t="s">
        <v>347</v>
      </c>
      <c r="I3" s="92">
        <v>7.10543E-15</v>
      </c>
      <c r="J3" s="93">
        <v>-478220.13545869198</v>
      </c>
      <c r="K3" s="89">
        <f>VLOOKUP(H3,$D$3:F74,3,FALSE)</f>
        <v>-478252.94742341997</v>
      </c>
      <c r="L3" s="94">
        <f t="shared" ref="L3:L66" si="0">K3-J3</f>
        <v>-32.811964727996383</v>
      </c>
      <c r="M3" s="89">
        <f>L3</f>
        <v>-32.811964727996383</v>
      </c>
    </row>
    <row r="4" spans="1:13" x14ac:dyDescent="0.2">
      <c r="A4" t="s">
        <v>217</v>
      </c>
      <c r="B4" s="88" t="s">
        <v>221</v>
      </c>
      <c r="D4" t="s">
        <v>271</v>
      </c>
      <c r="E4" s="92">
        <v>2.1000000000000001E-2</v>
      </c>
      <c r="F4" s="166">
        <v>-224.487256427804</v>
      </c>
      <c r="G4" s="92"/>
      <c r="H4" t="s">
        <v>271</v>
      </c>
      <c r="I4" s="92">
        <v>2.1000000000000001E-2</v>
      </c>
      <c r="J4" s="93">
        <v>-236.42671116080501</v>
      </c>
      <c r="K4" s="89">
        <f>VLOOKUP(H4,$D$3:F75,3,FALSE)</f>
        <v>-224.487256427804</v>
      </c>
      <c r="L4" s="94">
        <f t="shared" si="0"/>
        <v>11.939454733001014</v>
      </c>
      <c r="M4" s="89">
        <f>M3+L4</f>
        <v>-20.872509994995369</v>
      </c>
    </row>
    <row r="5" spans="1:13" x14ac:dyDescent="0.2">
      <c r="D5" t="s">
        <v>243</v>
      </c>
      <c r="E5" s="92">
        <v>1.2529999999999899</v>
      </c>
      <c r="F5" s="166">
        <v>330827.12599002098</v>
      </c>
      <c r="G5" s="92"/>
      <c r="H5" t="s">
        <v>243</v>
      </c>
      <c r="I5" s="92">
        <v>-0.74700000000000699</v>
      </c>
      <c r="J5" s="93">
        <v>330819.60989435198</v>
      </c>
      <c r="K5" s="89">
        <f>VLOOKUP(H5,$D$3:F76,3,FALSE)</f>
        <v>330827.12599002098</v>
      </c>
      <c r="L5" s="94">
        <f t="shared" si="0"/>
        <v>7.5160956690087914</v>
      </c>
      <c r="M5" s="89">
        <f>M4+L5</f>
        <v>-13.356414325986577</v>
      </c>
    </row>
    <row r="6" spans="1:13" x14ac:dyDescent="0.2">
      <c r="A6" t="s">
        <v>218</v>
      </c>
      <c r="B6" s="88" t="s">
        <v>221</v>
      </c>
      <c r="D6" t="s">
        <v>272</v>
      </c>
      <c r="E6" s="92">
        <v>-0.27199999999999802</v>
      </c>
      <c r="F6" s="166">
        <v>48196.311600763504</v>
      </c>
      <c r="G6" s="92"/>
      <c r="H6" t="s">
        <v>272</v>
      </c>
      <c r="I6" s="92">
        <v>-0.27199999999999802</v>
      </c>
      <c r="J6" s="93">
        <v>48191.979594304299</v>
      </c>
      <c r="K6" s="89">
        <f>VLOOKUP(H6,$D$3:F77,3,FALSE)</f>
        <v>48196.311600763504</v>
      </c>
      <c r="L6" s="94">
        <f t="shared" si="0"/>
        <v>4.3320064592044218</v>
      </c>
      <c r="M6" s="89">
        <f t="shared" ref="M6:M69" si="1">M5+L6</f>
        <v>-9.0244078667821555</v>
      </c>
    </row>
    <row r="7" spans="1:13" x14ac:dyDescent="0.2">
      <c r="D7" t="s">
        <v>348</v>
      </c>
      <c r="E7" s="92">
        <v>4.0000000000000001E-3</v>
      </c>
      <c r="F7" s="166">
        <v>87.452789933771598</v>
      </c>
      <c r="G7" s="92"/>
      <c r="H7" t="s">
        <v>348</v>
      </c>
      <c r="I7" s="92">
        <v>4.0000000000000001E-3</v>
      </c>
      <c r="J7" s="93">
        <v>87.735140229284198</v>
      </c>
      <c r="K7" s="89">
        <f>VLOOKUP(H7,$D$3:F78,3,FALSE)</f>
        <v>87.452789933771598</v>
      </c>
      <c r="L7" s="94">
        <f t="shared" si="0"/>
        <v>-0.28235029551260027</v>
      </c>
      <c r="M7" s="89">
        <f t="shared" si="1"/>
        <v>-9.3067581622947557</v>
      </c>
    </row>
    <row r="8" spans="1:13" x14ac:dyDescent="0.2">
      <c r="A8" t="s">
        <v>222</v>
      </c>
      <c r="B8" s="88" t="s">
        <v>221</v>
      </c>
      <c r="D8" t="s">
        <v>244</v>
      </c>
      <c r="E8" s="92">
        <v>2.0550000000000299</v>
      </c>
      <c r="F8" s="166">
        <v>230294.98917310601</v>
      </c>
      <c r="G8" s="92"/>
      <c r="H8" t="s">
        <v>244</v>
      </c>
      <c r="I8" s="92">
        <v>2.0550000000000299</v>
      </c>
      <c r="J8" s="93">
        <v>230256.26007578999</v>
      </c>
      <c r="K8" s="89">
        <f>VLOOKUP(H8,$D$3:F79,3,FALSE)</f>
        <v>230294.98917310601</v>
      </c>
      <c r="L8" s="94">
        <f t="shared" si="0"/>
        <v>38.729097316012485</v>
      </c>
      <c r="M8" s="89">
        <f t="shared" si="1"/>
        <v>29.422339153717729</v>
      </c>
    </row>
    <row r="9" spans="1:13" x14ac:dyDescent="0.2">
      <c r="D9" t="s">
        <v>273</v>
      </c>
      <c r="E9" s="92">
        <v>0.151668210000001</v>
      </c>
      <c r="F9" s="166">
        <v>-150.40084546685799</v>
      </c>
      <c r="G9" s="92"/>
      <c r="H9" t="s">
        <v>273</v>
      </c>
      <c r="I9" s="92">
        <v>0.151668210000001</v>
      </c>
      <c r="J9" s="93">
        <v>-151.162385144322</v>
      </c>
      <c r="K9" s="89">
        <f>VLOOKUP(H9,$D$3:F80,3,FALSE)</f>
        <v>-150.40084546685799</v>
      </c>
      <c r="L9" s="94">
        <f t="shared" si="0"/>
        <v>0.76153967746401463</v>
      </c>
      <c r="M9" s="89">
        <f t="shared" si="1"/>
        <v>30.183878831181744</v>
      </c>
    </row>
    <row r="10" spans="1:13" x14ac:dyDescent="0.2">
      <c r="A10" t="s">
        <v>219</v>
      </c>
      <c r="B10" s="88" t="s">
        <v>223</v>
      </c>
      <c r="D10" t="s">
        <v>274</v>
      </c>
      <c r="E10" s="92">
        <v>0.13374800000000001</v>
      </c>
      <c r="F10" s="166">
        <v>430.79779659970598</v>
      </c>
      <c r="G10" s="92"/>
      <c r="H10" t="s">
        <v>274</v>
      </c>
      <c r="I10" s="92">
        <v>0.13374800000000001</v>
      </c>
      <c r="J10" s="93">
        <v>442.61539521989499</v>
      </c>
      <c r="K10" s="89">
        <f>VLOOKUP(H10,$D$3:F81,3,FALSE)</f>
        <v>430.79779659970598</v>
      </c>
      <c r="L10" s="94">
        <f t="shared" si="0"/>
        <v>-11.817598620189017</v>
      </c>
      <c r="M10" s="89">
        <f t="shared" si="1"/>
        <v>18.366280210992727</v>
      </c>
    </row>
    <row r="11" spans="1:13" x14ac:dyDescent="0.2">
      <c r="D11" t="s">
        <v>349</v>
      </c>
      <c r="E11" s="92">
        <v>0</v>
      </c>
      <c r="F11" s="166">
        <v>-1238.76889115689</v>
      </c>
      <c r="G11" s="92"/>
      <c r="H11" t="s">
        <v>349</v>
      </c>
      <c r="I11" s="92">
        <v>0</v>
      </c>
      <c r="J11" s="93">
        <v>-1238.6839017360401</v>
      </c>
      <c r="K11" s="89">
        <f>VLOOKUP(H11,$D$3:F82,3,FALSE)</f>
        <v>-1238.76889115689</v>
      </c>
      <c r="L11" s="94">
        <f t="shared" si="0"/>
        <v>-8.4989420849979069E-2</v>
      </c>
      <c r="M11" s="89">
        <f t="shared" si="1"/>
        <v>18.281290790142748</v>
      </c>
    </row>
    <row r="12" spans="1:13" x14ac:dyDescent="0.2">
      <c r="A12" t="s">
        <v>224</v>
      </c>
      <c r="B12" s="88" t="s">
        <v>225</v>
      </c>
      <c r="D12" t="s">
        <v>343</v>
      </c>
      <c r="E12" s="92">
        <v>-0.149999999999999</v>
      </c>
      <c r="F12" s="166">
        <v>-11495.8386629947</v>
      </c>
      <c r="G12" s="92"/>
      <c r="H12" t="s">
        <v>343</v>
      </c>
      <c r="I12" s="92">
        <v>-0.149999999999999</v>
      </c>
      <c r="J12" s="93">
        <v>-11489.351953904399</v>
      </c>
      <c r="K12" s="89">
        <f>VLOOKUP(H12,$D$3:F83,3,FALSE)</f>
        <v>-11495.8386629947</v>
      </c>
      <c r="L12" s="94">
        <f t="shared" si="0"/>
        <v>-6.486709090300792</v>
      </c>
      <c r="M12" s="89">
        <f t="shared" si="1"/>
        <v>11.794581699841956</v>
      </c>
    </row>
    <row r="13" spans="1:13" x14ac:dyDescent="0.2">
      <c r="D13" t="s">
        <v>239</v>
      </c>
      <c r="E13" s="92">
        <v>0.52999999999991099</v>
      </c>
      <c r="F13" s="166">
        <v>438854.51396920398</v>
      </c>
      <c r="G13" s="92"/>
      <c r="H13" t="s">
        <v>239</v>
      </c>
      <c r="I13" s="92">
        <v>0.52999999999991099</v>
      </c>
      <c r="J13" s="93">
        <v>438835.439024686</v>
      </c>
      <c r="K13" s="89">
        <f>VLOOKUP(H13,$D$3:F84,3,FALSE)</f>
        <v>438854.51396920398</v>
      </c>
      <c r="L13" s="94">
        <f t="shared" si="0"/>
        <v>19.074944517982658</v>
      </c>
      <c r="M13" s="89">
        <f t="shared" si="1"/>
        <v>30.869526217824614</v>
      </c>
    </row>
    <row r="14" spans="1:13" x14ac:dyDescent="0.2">
      <c r="D14" t="s">
        <v>350</v>
      </c>
      <c r="E14" s="92">
        <v>2.8499999999997999E-4</v>
      </c>
      <c r="F14" s="167">
        <v>-2793.4808112778701</v>
      </c>
      <c r="G14" s="92"/>
      <c r="H14" t="s">
        <v>350</v>
      </c>
      <c r="I14" s="92">
        <v>2.8499999999997999E-4</v>
      </c>
      <c r="J14" s="88">
        <v>-2793.2752262109402</v>
      </c>
      <c r="K14" s="89">
        <f>VLOOKUP(H14,$D$3:F85,3,FALSE)</f>
        <v>-2793.4808112778701</v>
      </c>
      <c r="L14" s="94">
        <f t="shared" si="0"/>
        <v>-0.20558506692987066</v>
      </c>
      <c r="M14" s="89">
        <f t="shared" si="1"/>
        <v>30.663941150894743</v>
      </c>
    </row>
    <row r="15" spans="1:13" x14ac:dyDescent="0.2">
      <c r="D15" t="s">
        <v>275</v>
      </c>
      <c r="E15" s="92">
        <v>4.8000000000000001E-2</v>
      </c>
      <c r="F15" s="166">
        <v>504.63250893128298</v>
      </c>
      <c r="G15" s="92"/>
      <c r="H15" t="s">
        <v>275</v>
      </c>
      <c r="I15" s="92">
        <v>4.8000000000000001E-2</v>
      </c>
      <c r="J15" s="93">
        <v>500.564554976154</v>
      </c>
      <c r="K15" s="89">
        <f>VLOOKUP(H15,$D$3:F86,3,FALSE)</f>
        <v>504.63250893128298</v>
      </c>
      <c r="L15" s="94">
        <f t="shared" si="0"/>
        <v>4.0679539551289849</v>
      </c>
      <c r="M15" s="89">
        <f t="shared" si="1"/>
        <v>34.731895106023728</v>
      </c>
    </row>
    <row r="16" spans="1:13" x14ac:dyDescent="0.2">
      <c r="D16" t="s">
        <v>351</v>
      </c>
      <c r="E16" s="92">
        <v>0.5</v>
      </c>
      <c r="F16" s="166">
        <v>-6605.2258126836896</v>
      </c>
      <c r="G16" s="92"/>
      <c r="H16" t="s">
        <v>351</v>
      </c>
      <c r="I16" s="92">
        <v>0.5</v>
      </c>
      <c r="J16" s="93">
        <v>-6666.5506503153301</v>
      </c>
      <c r="K16" s="89">
        <f>VLOOKUP(H16,$D$3:F87,3,FALSE)</f>
        <v>-6605.2258126836896</v>
      </c>
      <c r="L16" s="94">
        <f t="shared" si="0"/>
        <v>61.324837631640548</v>
      </c>
      <c r="M16" s="89">
        <f t="shared" si="1"/>
        <v>96.056732737664277</v>
      </c>
    </row>
    <row r="17" spans="4:13" x14ac:dyDescent="0.2">
      <c r="D17" t="s">
        <v>208</v>
      </c>
      <c r="E17" s="92">
        <v>0.61600000000004196</v>
      </c>
      <c r="F17" s="166">
        <v>9357.3031229876797</v>
      </c>
      <c r="G17" s="92"/>
      <c r="H17" t="s">
        <v>208</v>
      </c>
      <c r="I17" s="92">
        <v>0.61600000000004196</v>
      </c>
      <c r="J17" s="93">
        <v>9365.8944136811806</v>
      </c>
      <c r="K17" s="89">
        <f>VLOOKUP(H17,$D$3:F88,3,FALSE)</f>
        <v>9357.3031229876797</v>
      </c>
      <c r="L17" s="94">
        <f t="shared" si="0"/>
        <v>-8.5912906935009232</v>
      </c>
      <c r="M17" s="89">
        <f t="shared" si="1"/>
        <v>87.465442044163353</v>
      </c>
    </row>
    <row r="18" spans="4:13" x14ac:dyDescent="0.2">
      <c r="D18" t="s">
        <v>248</v>
      </c>
      <c r="E18" s="92">
        <v>-6.8000000000001407E-2</v>
      </c>
      <c r="F18" s="166">
        <v>797766.81268499501</v>
      </c>
      <c r="G18" s="92"/>
      <c r="H18" t="s">
        <v>248</v>
      </c>
      <c r="I18" s="92">
        <v>-6.8000000000001407E-2</v>
      </c>
      <c r="J18" s="93">
        <v>797731.32588067697</v>
      </c>
      <c r="K18" s="89">
        <f>VLOOKUP(H18,$D$3:F89,3,FALSE)</f>
        <v>797766.81268499501</v>
      </c>
      <c r="L18" s="94">
        <f t="shared" si="0"/>
        <v>35.486804318032227</v>
      </c>
      <c r="M18" s="89">
        <f t="shared" si="1"/>
        <v>122.95224636219558</v>
      </c>
    </row>
    <row r="19" spans="4:13" x14ac:dyDescent="0.2">
      <c r="D19" t="s">
        <v>352</v>
      </c>
      <c r="E19" s="92">
        <v>1.73E-18</v>
      </c>
      <c r="F19" s="166">
        <v>-3808.1832550261502</v>
      </c>
      <c r="G19" s="92"/>
      <c r="H19" t="s">
        <v>352</v>
      </c>
      <c r="I19" s="92">
        <v>1.73E-18</v>
      </c>
      <c r="J19" s="93">
        <v>-3807.9219832961999</v>
      </c>
      <c r="K19" s="89">
        <f>VLOOKUP(H19,$D$3:F90,3,FALSE)</f>
        <v>-3808.1832550261502</v>
      </c>
      <c r="L19" s="94">
        <f t="shared" si="0"/>
        <v>-0.26127172995029468</v>
      </c>
      <c r="M19" s="89">
        <f t="shared" si="1"/>
        <v>122.69097463224529</v>
      </c>
    </row>
    <row r="20" spans="4:13" x14ac:dyDescent="0.2">
      <c r="D20" t="s">
        <v>268</v>
      </c>
      <c r="E20" s="92">
        <v>0.81699999999999995</v>
      </c>
      <c r="F20" s="166">
        <v>8538.8738220186497</v>
      </c>
      <c r="G20" s="92"/>
      <c r="H20" t="s">
        <v>268</v>
      </c>
      <c r="I20" s="92">
        <v>0.81699999999999995</v>
      </c>
      <c r="J20" s="93">
        <v>8229.9297512736703</v>
      </c>
      <c r="K20" s="89">
        <f>VLOOKUP(H20,$D$3:F91,3,FALSE)</f>
        <v>8538.8738220186497</v>
      </c>
      <c r="L20" s="94">
        <f t="shared" si="0"/>
        <v>308.9440707449794</v>
      </c>
      <c r="M20" s="89">
        <f t="shared" si="1"/>
        <v>431.63504537722469</v>
      </c>
    </row>
    <row r="21" spans="4:13" x14ac:dyDescent="0.2">
      <c r="D21" t="s">
        <v>276</v>
      </c>
      <c r="E21" s="92">
        <v>0.26700000000000301</v>
      </c>
      <c r="F21" s="166">
        <v>-156392.25409572499</v>
      </c>
      <c r="G21" s="92"/>
      <c r="H21" t="s">
        <v>276</v>
      </c>
      <c r="I21" s="92">
        <v>0.26700000000000301</v>
      </c>
      <c r="J21" s="93">
        <v>-156436.81788652099</v>
      </c>
      <c r="K21" s="89">
        <f>VLOOKUP(H21,$D$3:F92,3,FALSE)</f>
        <v>-156392.25409572499</v>
      </c>
      <c r="L21" s="94">
        <f t="shared" si="0"/>
        <v>44.563790796004469</v>
      </c>
      <c r="M21" s="89">
        <f t="shared" si="1"/>
        <v>476.19883617322915</v>
      </c>
    </row>
    <row r="22" spans="4:13" x14ac:dyDescent="0.2">
      <c r="D22" t="s">
        <v>277</v>
      </c>
      <c r="E22" s="92">
        <v>-4.4865000000000002E-2</v>
      </c>
      <c r="F22" s="166">
        <v>-3884.7696892110398</v>
      </c>
      <c r="G22" s="92"/>
      <c r="H22" t="s">
        <v>277</v>
      </c>
      <c r="I22" s="92">
        <v>-4.4865000000000002E-2</v>
      </c>
      <c r="J22" s="93">
        <v>-3879.9569737451402</v>
      </c>
      <c r="K22" s="89">
        <f>VLOOKUP(H22,$D$3:F93,3,FALSE)</f>
        <v>-3884.7696892110398</v>
      </c>
      <c r="L22" s="94">
        <f t="shared" si="0"/>
        <v>-4.8127154658996005</v>
      </c>
      <c r="M22" s="89">
        <f t="shared" si="1"/>
        <v>471.38612070732955</v>
      </c>
    </row>
    <row r="23" spans="4:13" x14ac:dyDescent="0.2">
      <c r="D23" t="s">
        <v>278</v>
      </c>
      <c r="E23" s="92">
        <v>0.112000000000001</v>
      </c>
      <c r="F23" s="166">
        <v>36596.771128212698</v>
      </c>
      <c r="G23" s="92"/>
      <c r="H23" t="s">
        <v>278</v>
      </c>
      <c r="I23" s="92">
        <v>0.112000000000001</v>
      </c>
      <c r="J23" s="93">
        <v>36658.875243574403</v>
      </c>
      <c r="K23" s="89">
        <f>VLOOKUP(H23,$D$3:F94,3,FALSE)</f>
        <v>36596.771128212698</v>
      </c>
      <c r="L23" s="94">
        <f t="shared" si="0"/>
        <v>-62.104115361704316</v>
      </c>
      <c r="M23" s="89">
        <f t="shared" si="1"/>
        <v>409.28200534562524</v>
      </c>
    </row>
    <row r="24" spans="4:13" x14ac:dyDescent="0.2">
      <c r="D24" t="s">
        <v>353</v>
      </c>
      <c r="E24" s="92">
        <v>-19.599</v>
      </c>
      <c r="F24" s="166">
        <v>-1823.8771160802501</v>
      </c>
      <c r="G24" s="92"/>
      <c r="H24" t="s">
        <v>353</v>
      </c>
      <c r="I24" s="92">
        <v>-19.599</v>
      </c>
      <c r="J24" s="93">
        <v>12488.945328310299</v>
      </c>
      <c r="K24" s="89">
        <f>VLOOKUP(H24,$D$3:F95,3,FALSE)</f>
        <v>-1823.8771160802501</v>
      </c>
      <c r="L24" s="94">
        <f t="shared" si="0"/>
        <v>-14312.822444390549</v>
      </c>
      <c r="M24" s="89">
        <f t="shared" si="1"/>
        <v>-13903.540439044924</v>
      </c>
    </row>
    <row r="25" spans="4:13" x14ac:dyDescent="0.2">
      <c r="D25" t="s">
        <v>259</v>
      </c>
      <c r="E25" s="92">
        <v>0.69899999999999796</v>
      </c>
      <c r="F25" s="166">
        <v>-31047.057914097801</v>
      </c>
      <c r="G25" s="92"/>
      <c r="H25" t="s">
        <v>259</v>
      </c>
      <c r="I25" s="92">
        <v>0.69899999999999796</v>
      </c>
      <c r="J25" s="93">
        <v>-31537.912402411999</v>
      </c>
      <c r="K25" s="89">
        <f>VLOOKUP(H25,$D$3:F96,3,FALSE)</f>
        <v>-31047.057914097801</v>
      </c>
      <c r="L25" s="94">
        <f t="shared" si="0"/>
        <v>490.85448831419853</v>
      </c>
      <c r="M25" s="89">
        <f t="shared" si="1"/>
        <v>-13412.685950730725</v>
      </c>
    </row>
    <row r="26" spans="4:13" x14ac:dyDescent="0.2">
      <c r="D26" t="s">
        <v>279</v>
      </c>
      <c r="E26" s="92">
        <v>9.3253000000000794E-2</v>
      </c>
      <c r="F26" s="166">
        <v>-475.62630232631</v>
      </c>
      <c r="G26" s="92"/>
      <c r="H26" t="s">
        <v>279</v>
      </c>
      <c r="I26" s="92">
        <v>9.3253000000000794E-2</v>
      </c>
      <c r="J26" s="93">
        <v>-475.828339396959</v>
      </c>
      <c r="K26" s="89">
        <f>VLOOKUP(H26,$D$3:F97,3,FALSE)</f>
        <v>-475.62630232631</v>
      </c>
      <c r="L26" s="94">
        <f t="shared" si="0"/>
        <v>0.20203707064899845</v>
      </c>
      <c r="M26" s="89">
        <f t="shared" si="1"/>
        <v>-13412.483913660077</v>
      </c>
    </row>
    <row r="27" spans="4:13" x14ac:dyDescent="0.2">
      <c r="D27" t="s">
        <v>209</v>
      </c>
      <c r="E27" s="92">
        <v>0.79499999999999105</v>
      </c>
      <c r="F27" s="166">
        <v>-215037.428541642</v>
      </c>
      <c r="G27" s="92"/>
      <c r="H27" t="s">
        <v>209</v>
      </c>
      <c r="I27" s="92">
        <v>0.79499999999999105</v>
      </c>
      <c r="J27" s="93">
        <v>-215643.39001412201</v>
      </c>
      <c r="K27" s="89">
        <f>VLOOKUP(H27,$D$3:F98,3,FALSE)</f>
        <v>-215037.428541642</v>
      </c>
      <c r="L27" s="94">
        <f t="shared" si="0"/>
        <v>605.96147248000489</v>
      </c>
      <c r="M27" s="89">
        <f t="shared" si="1"/>
        <v>-12806.522441180072</v>
      </c>
    </row>
    <row r="28" spans="4:13" x14ac:dyDescent="0.2">
      <c r="D28" t="s">
        <v>354</v>
      </c>
      <c r="E28" s="92">
        <v>1.9999999999999502E-3</v>
      </c>
      <c r="F28" s="166">
        <v>150.13879795424899</v>
      </c>
      <c r="G28" s="92"/>
      <c r="H28" t="s">
        <v>354</v>
      </c>
      <c r="I28" s="92">
        <v>1.9999999999999502E-3</v>
      </c>
      <c r="J28" s="93">
        <v>148.949617321836</v>
      </c>
      <c r="K28" s="89">
        <f>VLOOKUP(H28,$D$3:F99,3,FALSE)</f>
        <v>150.13879795424899</v>
      </c>
      <c r="L28" s="94">
        <f t="shared" si="0"/>
        <v>1.1891806324129846</v>
      </c>
      <c r="M28" s="89">
        <f t="shared" si="1"/>
        <v>-12805.333260547659</v>
      </c>
    </row>
    <row r="29" spans="4:13" x14ac:dyDescent="0.2">
      <c r="D29" t="s">
        <v>355</v>
      </c>
      <c r="E29" s="92">
        <v>-6.4000000000000697E-3</v>
      </c>
      <c r="F29" s="166">
        <v>-1002.28204651515</v>
      </c>
      <c r="G29" s="92"/>
      <c r="H29" t="s">
        <v>355</v>
      </c>
      <c r="I29" s="92">
        <v>-6.4000000000000697E-3</v>
      </c>
      <c r="J29" s="93">
        <v>-1001.96957963222</v>
      </c>
      <c r="K29" s="89">
        <f>VLOOKUP(H29,$D$3:F100,3,FALSE)</f>
        <v>-1002.28204651515</v>
      </c>
      <c r="L29" s="94">
        <f t="shared" si="0"/>
        <v>-0.31246688293003899</v>
      </c>
      <c r="M29" s="89">
        <f t="shared" si="1"/>
        <v>-12805.645727430589</v>
      </c>
    </row>
    <row r="30" spans="4:13" x14ac:dyDescent="0.2">
      <c r="D30" t="s">
        <v>356</v>
      </c>
      <c r="E30" s="92">
        <v>1.4999999999999999E-2</v>
      </c>
      <c r="F30" s="166">
        <v>20.2104907249268</v>
      </c>
      <c r="G30" s="92"/>
      <c r="H30" t="s">
        <v>356</v>
      </c>
      <c r="I30" s="92">
        <v>1.4999999999999999E-2</v>
      </c>
      <c r="J30" s="93">
        <v>11.4292716437667</v>
      </c>
      <c r="K30" s="89">
        <f>VLOOKUP(H30,$D$3:F101,3,FALSE)</f>
        <v>20.2104907249268</v>
      </c>
      <c r="L30" s="94">
        <f t="shared" si="0"/>
        <v>8.7812190811600992</v>
      </c>
      <c r="M30" s="89">
        <f t="shared" si="1"/>
        <v>-12796.864508349428</v>
      </c>
    </row>
    <row r="31" spans="4:13" x14ac:dyDescent="0.2">
      <c r="D31" t="s">
        <v>210</v>
      </c>
      <c r="E31" s="92">
        <v>16.5539999999998</v>
      </c>
      <c r="F31" s="166">
        <v>1570936.50478884</v>
      </c>
      <c r="G31" s="92"/>
      <c r="H31" t="s">
        <v>210</v>
      </c>
      <c r="I31" s="92">
        <v>16.5539999999998</v>
      </c>
      <c r="J31" s="93">
        <v>1552690.0578689501</v>
      </c>
      <c r="K31" s="89">
        <f>VLOOKUP(H31,$D$3:F102,3,FALSE)</f>
        <v>1570936.50478884</v>
      </c>
      <c r="L31" s="94">
        <f t="shared" si="0"/>
        <v>18246.446919889888</v>
      </c>
      <c r="M31" s="89">
        <f t="shared" si="1"/>
        <v>5449.5824115404594</v>
      </c>
    </row>
    <row r="32" spans="4:13" x14ac:dyDescent="0.2">
      <c r="D32" t="s">
        <v>280</v>
      </c>
      <c r="E32" s="92">
        <v>0.255</v>
      </c>
      <c r="F32" s="166">
        <v>54123.279246650898</v>
      </c>
      <c r="G32" s="92"/>
      <c r="H32" t="s">
        <v>280</v>
      </c>
      <c r="I32" s="92">
        <v>0.255</v>
      </c>
      <c r="J32" s="93">
        <v>53953.256732611197</v>
      </c>
      <c r="K32" s="89">
        <f>VLOOKUP(H32,$D$3:F103,3,FALSE)</f>
        <v>54123.279246650898</v>
      </c>
      <c r="L32" s="94">
        <f t="shared" si="0"/>
        <v>170.02251403970149</v>
      </c>
      <c r="M32" s="89">
        <f t="shared" si="1"/>
        <v>5619.6049255801609</v>
      </c>
    </row>
    <row r="33" spans="4:13" x14ac:dyDescent="0.2">
      <c r="D33" t="s">
        <v>263</v>
      </c>
      <c r="E33" s="92">
        <v>0.50199999999998801</v>
      </c>
      <c r="F33" s="166">
        <v>136355.43756950001</v>
      </c>
      <c r="G33" s="92"/>
      <c r="H33" t="s">
        <v>263</v>
      </c>
      <c r="I33" s="92">
        <v>0.50199999999998801</v>
      </c>
      <c r="J33" s="93">
        <v>135978.58417192401</v>
      </c>
      <c r="K33" s="89">
        <f>VLOOKUP(H33,$D$3:F104,3,FALSE)</f>
        <v>136355.43756950001</v>
      </c>
      <c r="L33" s="94">
        <f t="shared" si="0"/>
        <v>376.85339757599286</v>
      </c>
      <c r="M33" s="89">
        <f t="shared" si="1"/>
        <v>5996.4583231561537</v>
      </c>
    </row>
    <row r="34" spans="4:13" x14ac:dyDescent="0.2">
      <c r="D34" t="s">
        <v>357</v>
      </c>
      <c r="E34" s="92">
        <v>1.388E-17</v>
      </c>
      <c r="F34" s="166">
        <v>756.82842994850898</v>
      </c>
      <c r="G34" s="92"/>
      <c r="H34" t="s">
        <v>357</v>
      </c>
      <c r="I34" s="92">
        <v>1.388E-17</v>
      </c>
      <c r="J34" s="93">
        <v>756.77650548545398</v>
      </c>
      <c r="K34" s="89">
        <f>VLOOKUP(H34,$D$3:F105,3,FALSE)</f>
        <v>756.82842994850898</v>
      </c>
      <c r="L34" s="94">
        <f t="shared" si="0"/>
        <v>5.1924463055001979E-2</v>
      </c>
      <c r="M34" s="89">
        <f t="shared" si="1"/>
        <v>5996.5102476192087</v>
      </c>
    </row>
    <row r="35" spans="4:13" x14ac:dyDescent="0.2">
      <c r="D35" t="s">
        <v>358</v>
      </c>
      <c r="E35" s="92">
        <v>1.7350000000000001E-17</v>
      </c>
      <c r="F35" s="166">
        <v>4.0267548029078197E-3</v>
      </c>
      <c r="G35" s="92"/>
      <c r="H35" t="s">
        <v>358</v>
      </c>
      <c r="I35" s="92">
        <v>1.7350000000000001E-17</v>
      </c>
      <c r="J35" s="93">
        <v>4.0264786657644401E-3</v>
      </c>
      <c r="K35" s="89">
        <f>VLOOKUP(H35,$D$3:F106,3,FALSE)</f>
        <v>4.0267548029078197E-3</v>
      </c>
      <c r="L35" s="94">
        <f t="shared" si="0"/>
        <v>2.7613714337956091E-7</v>
      </c>
      <c r="M35" s="89">
        <f t="shared" si="1"/>
        <v>5996.5102478953459</v>
      </c>
    </row>
    <row r="36" spans="4:13" x14ac:dyDescent="0.2">
      <c r="D36" t="s">
        <v>359</v>
      </c>
      <c r="E36" s="92">
        <v>5</v>
      </c>
      <c r="F36" s="166">
        <v>3826.5813906408598</v>
      </c>
      <c r="G36" s="92"/>
      <c r="H36" t="s">
        <v>359</v>
      </c>
      <c r="I36" s="92">
        <v>5</v>
      </c>
      <c r="J36" s="93">
        <v>878.09768847376097</v>
      </c>
      <c r="K36" s="89">
        <f>VLOOKUP(H36,$D$3:F107,3,FALSE)</f>
        <v>3826.5813906408598</v>
      </c>
      <c r="L36" s="94">
        <f t="shared" si="0"/>
        <v>2948.4837021670987</v>
      </c>
      <c r="M36" s="89">
        <f t="shared" si="1"/>
        <v>8944.9939500624441</v>
      </c>
    </row>
    <row r="37" spans="4:13" x14ac:dyDescent="0.2">
      <c r="D37" t="s">
        <v>281</v>
      </c>
      <c r="E37" s="92">
        <v>0.45300000000000101</v>
      </c>
      <c r="F37" s="166">
        <v>-598504.20941070502</v>
      </c>
      <c r="G37" s="92"/>
      <c r="H37" t="s">
        <v>281</v>
      </c>
      <c r="I37" s="92">
        <v>0.45300000000000101</v>
      </c>
      <c r="J37" s="93">
        <v>-598637.40896088397</v>
      </c>
      <c r="K37" s="89">
        <f>VLOOKUP(H37,$D$3:F108,3,FALSE)</f>
        <v>-598504.20941070502</v>
      </c>
      <c r="L37" s="94">
        <f t="shared" si="0"/>
        <v>133.19955017894972</v>
      </c>
      <c r="M37" s="89">
        <f t="shared" si="1"/>
        <v>9078.1935002413938</v>
      </c>
    </row>
    <row r="38" spans="4:13" x14ac:dyDescent="0.2">
      <c r="D38" t="s">
        <v>282</v>
      </c>
      <c r="E38" s="92">
        <v>-1.4250000000000001E-2</v>
      </c>
      <c r="F38" s="166">
        <v>-649.17295517295099</v>
      </c>
      <c r="G38" s="92"/>
      <c r="H38" t="s">
        <v>282</v>
      </c>
      <c r="I38" s="92">
        <v>-1.4250000000000001E-2</v>
      </c>
      <c r="J38" s="93">
        <v>-648.15167653572303</v>
      </c>
      <c r="K38" s="89">
        <f>VLOOKUP(H38,$D$3:F109,3,FALSE)</f>
        <v>-649.17295517295099</v>
      </c>
      <c r="L38" s="94">
        <f t="shared" si="0"/>
        <v>-1.0212786372279652</v>
      </c>
      <c r="M38" s="89">
        <f t="shared" si="1"/>
        <v>9077.1722216041653</v>
      </c>
    </row>
    <row r="39" spans="4:13" x14ac:dyDescent="0.2">
      <c r="D39" t="s">
        <v>283</v>
      </c>
      <c r="E39" s="92">
        <v>-0.125000000000002</v>
      </c>
      <c r="F39" s="166">
        <v>158251.828405304</v>
      </c>
      <c r="G39" s="92"/>
      <c r="H39" t="s">
        <v>283</v>
      </c>
      <c r="I39" s="92">
        <v>-0.125000000000002</v>
      </c>
      <c r="J39" s="93">
        <v>158260.53519819301</v>
      </c>
      <c r="K39" s="89">
        <f>VLOOKUP(H39,$D$3:F110,3,FALSE)</f>
        <v>158251.828405304</v>
      </c>
      <c r="L39" s="94">
        <f t="shared" si="0"/>
        <v>-8.7067928890173789</v>
      </c>
      <c r="M39" s="89">
        <f t="shared" si="1"/>
        <v>9068.4654287151479</v>
      </c>
    </row>
    <row r="40" spans="4:13" x14ac:dyDescent="0.2">
      <c r="D40" t="s">
        <v>249</v>
      </c>
      <c r="E40" s="92">
        <v>8.2000000000061204E-2</v>
      </c>
      <c r="F40" s="166">
        <v>23424.3391966206</v>
      </c>
      <c r="G40" s="92"/>
      <c r="H40" t="s">
        <v>249</v>
      </c>
      <c r="I40" s="92">
        <v>8.2000000000061204E-2</v>
      </c>
      <c r="J40" s="93">
        <v>23405.582851738702</v>
      </c>
      <c r="K40" s="89">
        <f>VLOOKUP(H40,$D$3:F111,3,FALSE)</f>
        <v>23424.3391966206</v>
      </c>
      <c r="L40" s="94">
        <f t="shared" si="0"/>
        <v>18.756344881898258</v>
      </c>
      <c r="M40" s="89">
        <f t="shared" si="1"/>
        <v>9087.2217735970462</v>
      </c>
    </row>
    <row r="41" spans="4:13" x14ac:dyDescent="0.2">
      <c r="D41" t="s">
        <v>284</v>
      </c>
      <c r="E41" s="92">
        <v>-0.617205</v>
      </c>
      <c r="F41" s="166">
        <v>-1387.28677372824</v>
      </c>
      <c r="G41" s="92"/>
      <c r="H41" t="s">
        <v>284</v>
      </c>
      <c r="I41" s="92">
        <v>-0.617205</v>
      </c>
      <c r="J41" s="93">
        <v>-1329.1034187837799</v>
      </c>
      <c r="K41" s="89">
        <f>VLOOKUP(H41,$D$3:F112,3,FALSE)</f>
        <v>-1387.28677372824</v>
      </c>
      <c r="L41" s="94">
        <f t="shared" si="0"/>
        <v>-58.183354944460007</v>
      </c>
      <c r="M41" s="89">
        <f t="shared" si="1"/>
        <v>9029.0384186525862</v>
      </c>
    </row>
    <row r="42" spans="4:13" x14ac:dyDescent="0.2">
      <c r="D42" t="s">
        <v>264</v>
      </c>
      <c r="E42" s="92">
        <v>-4.3999999999997798E-2</v>
      </c>
      <c r="F42" s="166">
        <v>-20415.820830201301</v>
      </c>
      <c r="G42" s="92"/>
      <c r="H42" t="s">
        <v>264</v>
      </c>
      <c r="I42" s="92">
        <v>-4.3999999999997798E-2</v>
      </c>
      <c r="J42" s="93">
        <v>-20395.386159596299</v>
      </c>
      <c r="K42" s="89">
        <f>VLOOKUP(H42,$D$3:F113,3,FALSE)</f>
        <v>-20415.820830201301</v>
      </c>
      <c r="L42" s="94">
        <f t="shared" si="0"/>
        <v>-20.434670605001884</v>
      </c>
      <c r="M42" s="89">
        <f t="shared" si="1"/>
        <v>9008.6037480475843</v>
      </c>
    </row>
    <row r="43" spans="4:13" x14ac:dyDescent="0.2">
      <c r="D43" t="s">
        <v>360</v>
      </c>
      <c r="E43" s="92">
        <v>-8.9999999999999698E-3</v>
      </c>
      <c r="F43" s="166">
        <v>18569.228990951098</v>
      </c>
      <c r="G43" s="92"/>
      <c r="H43" t="s">
        <v>360</v>
      </c>
      <c r="I43" s="92">
        <v>-8.9999999999999698E-3</v>
      </c>
      <c r="J43" s="93">
        <v>18567.6101078219</v>
      </c>
      <c r="K43" s="89">
        <f>VLOOKUP(H43,$D$3:F114,3,FALSE)</f>
        <v>18569.228990951098</v>
      </c>
      <c r="L43" s="94">
        <f t="shared" si="0"/>
        <v>1.6188831291983661</v>
      </c>
      <c r="M43" s="89">
        <f t="shared" si="1"/>
        <v>9010.2226311767827</v>
      </c>
    </row>
    <row r="44" spans="4:13" x14ac:dyDescent="0.2">
      <c r="D44" t="s">
        <v>285</v>
      </c>
      <c r="E44" s="92">
        <v>0.23647600000000199</v>
      </c>
      <c r="F44" s="166">
        <v>-1680.71337300542</v>
      </c>
      <c r="G44" s="92"/>
      <c r="H44" t="s">
        <v>285</v>
      </c>
      <c r="I44" s="92">
        <v>0.23647600000000199</v>
      </c>
      <c r="J44" s="93">
        <v>-1661.91676020304</v>
      </c>
      <c r="K44" s="89">
        <f>VLOOKUP(H44,$D$3:F115,3,FALSE)</f>
        <v>-1680.71337300542</v>
      </c>
      <c r="L44" s="94">
        <f t="shared" si="0"/>
        <v>-18.796612802379968</v>
      </c>
      <c r="M44" s="89">
        <f t="shared" si="1"/>
        <v>8991.4260183744027</v>
      </c>
    </row>
    <row r="45" spans="4:13" x14ac:dyDescent="0.2">
      <c r="D45" s="95" t="s">
        <v>361</v>
      </c>
      <c r="E45" s="92">
        <v>1.00000000000078E-3</v>
      </c>
      <c r="F45" s="166">
        <v>25566.665585329702</v>
      </c>
      <c r="G45" s="92"/>
      <c r="H45" s="95" t="s">
        <v>361</v>
      </c>
      <c r="I45" s="92">
        <v>1.00000000000078E-3</v>
      </c>
      <c r="J45" s="93">
        <v>25564.0709274896</v>
      </c>
      <c r="K45" s="89">
        <f>VLOOKUP(H45,$D$3:F116,3,FALSE)</f>
        <v>25566.665585329702</v>
      </c>
      <c r="L45" s="94">
        <f t="shared" si="0"/>
        <v>2.5946578401017177</v>
      </c>
      <c r="M45" s="89">
        <f t="shared" si="1"/>
        <v>8994.0206762145044</v>
      </c>
    </row>
    <row r="46" spans="4:13" x14ac:dyDescent="0.2">
      <c r="D46" t="s">
        <v>245</v>
      </c>
      <c r="E46" s="92">
        <v>0.40399999999998298</v>
      </c>
      <c r="F46" s="166">
        <v>100067.55756332701</v>
      </c>
      <c r="G46" s="92"/>
      <c r="H46" t="s">
        <v>245</v>
      </c>
      <c r="I46" s="92">
        <v>0.40399999999998298</v>
      </c>
      <c r="J46" s="93">
        <v>99778.878843913801</v>
      </c>
      <c r="K46" s="89">
        <f>VLOOKUP(H46,$D$3:F117,3,FALSE)</f>
        <v>100067.55756332701</v>
      </c>
      <c r="L46" s="94">
        <f t="shared" si="0"/>
        <v>288.67871941320482</v>
      </c>
      <c r="M46" s="89">
        <f t="shared" si="1"/>
        <v>9282.6993956277092</v>
      </c>
    </row>
    <row r="47" spans="4:13" x14ac:dyDescent="0.2">
      <c r="D47" t="s">
        <v>269</v>
      </c>
      <c r="E47" s="92">
        <v>-2.3809999999999998</v>
      </c>
      <c r="F47" s="166">
        <v>-598.09059512079398</v>
      </c>
      <c r="G47" s="92"/>
      <c r="H47" t="s">
        <v>269</v>
      </c>
      <c r="I47" s="92">
        <v>-2.3809999999999998</v>
      </c>
      <c r="J47" s="93">
        <v>2067.3606165699898</v>
      </c>
      <c r="K47" s="89">
        <f>VLOOKUP(H47,$D$3:F118,3,FALSE)</f>
        <v>-598.09059512079398</v>
      </c>
      <c r="L47" s="94">
        <f t="shared" si="0"/>
        <v>-2665.4512116907836</v>
      </c>
      <c r="M47" s="89">
        <f t="shared" si="1"/>
        <v>6617.2481839369257</v>
      </c>
    </row>
    <row r="48" spans="4:13" x14ac:dyDescent="0.2">
      <c r="D48" t="s">
        <v>362</v>
      </c>
      <c r="E48" s="92">
        <v>9.9999999603195002E-7</v>
      </c>
      <c r="F48" s="166">
        <v>-13570.875354092601</v>
      </c>
      <c r="G48" s="92"/>
      <c r="H48" t="s">
        <v>362</v>
      </c>
      <c r="I48" s="92">
        <v>9.9999999603195002E-7</v>
      </c>
      <c r="J48" s="93">
        <v>-13569.9450368778</v>
      </c>
      <c r="K48" s="89">
        <f>VLOOKUP(H48,$D$3:F119,3,FALSE)</f>
        <v>-13570.875354092601</v>
      </c>
      <c r="L48" s="94">
        <f t="shared" si="0"/>
        <v>-0.93031721480110718</v>
      </c>
      <c r="M48" s="89">
        <f t="shared" si="1"/>
        <v>6616.3178667221246</v>
      </c>
    </row>
    <row r="49" spans="4:16" x14ac:dyDescent="0.2">
      <c r="D49" t="s">
        <v>286</v>
      </c>
      <c r="E49" s="92">
        <v>2.50000000000021E-2</v>
      </c>
      <c r="F49" s="166">
        <v>4244.2653271863201</v>
      </c>
      <c r="G49" s="92"/>
      <c r="H49" t="s">
        <v>286</v>
      </c>
      <c r="I49" s="92">
        <v>2.50000000000021E-2</v>
      </c>
      <c r="J49" s="93">
        <v>4243.1882427371502</v>
      </c>
      <c r="K49" s="89">
        <f>VLOOKUP(H49,$D$3:F120,3,FALSE)</f>
        <v>4244.2653271863201</v>
      </c>
      <c r="L49" s="94">
        <f t="shared" si="0"/>
        <v>1.0770844491698881</v>
      </c>
      <c r="M49" s="89">
        <f t="shared" si="1"/>
        <v>6617.3949511712945</v>
      </c>
    </row>
    <row r="50" spans="4:16" x14ac:dyDescent="0.2">
      <c r="D50" t="s">
        <v>270</v>
      </c>
      <c r="E50" s="92">
        <v>3.8520000000000101</v>
      </c>
      <c r="F50" s="166">
        <v>-36852.823530552298</v>
      </c>
      <c r="G50" s="92"/>
      <c r="H50" t="s">
        <v>270</v>
      </c>
      <c r="I50" s="92">
        <v>3.8520000000000101</v>
      </c>
      <c r="J50" s="93">
        <v>-40816.943975964597</v>
      </c>
      <c r="K50" s="89">
        <f>VLOOKUP(H50,$D$3:F121,3,FALSE)</f>
        <v>-36852.823530552298</v>
      </c>
      <c r="L50" s="94">
        <f t="shared" si="0"/>
        <v>3964.1204454122999</v>
      </c>
      <c r="M50" s="89">
        <f t="shared" si="1"/>
        <v>10581.515396583594</v>
      </c>
    </row>
    <row r="51" spans="4:16" x14ac:dyDescent="0.2">
      <c r="D51" t="s">
        <v>363</v>
      </c>
      <c r="E51" s="92">
        <v>2.9999999999999701E-3</v>
      </c>
      <c r="F51" s="166">
        <v>571.53408453347197</v>
      </c>
      <c r="G51" s="92"/>
      <c r="H51" t="s">
        <v>363</v>
      </c>
      <c r="I51" s="92">
        <v>2.9999999999999701E-3</v>
      </c>
      <c r="J51" s="93">
        <v>567.40911973496304</v>
      </c>
      <c r="K51" s="89">
        <f>VLOOKUP(H51,$D$3:F122,3,FALSE)</f>
        <v>571.53408453347197</v>
      </c>
      <c r="L51" s="94">
        <f t="shared" si="0"/>
        <v>4.1249647985089268</v>
      </c>
      <c r="M51" s="89">
        <f t="shared" si="1"/>
        <v>10585.640361382104</v>
      </c>
    </row>
    <row r="52" spans="4:16" x14ac:dyDescent="0.2">
      <c r="D52" t="s">
        <v>364</v>
      </c>
      <c r="E52" s="92">
        <v>1.9999999999999502E-3</v>
      </c>
      <c r="F52" s="166">
        <v>-932.73400153616001</v>
      </c>
      <c r="G52" s="92"/>
      <c r="H52" t="s">
        <v>364</v>
      </c>
      <c r="I52" s="92">
        <v>1.9999999999999502E-3</v>
      </c>
      <c r="J52" s="93">
        <v>-932.638126730669</v>
      </c>
      <c r="K52" s="89">
        <f>VLOOKUP(H52,$D$3:F123,3,FALSE)</f>
        <v>-932.73400153616001</v>
      </c>
      <c r="L52" s="94">
        <f t="shared" si="0"/>
        <v>-9.5874805491007464E-2</v>
      </c>
      <c r="M52" s="89">
        <f t="shared" si="1"/>
        <v>10585.544486576613</v>
      </c>
    </row>
    <row r="53" spans="4:16" x14ac:dyDescent="0.2">
      <c r="D53" t="s">
        <v>365</v>
      </c>
      <c r="E53" s="92">
        <v>5.5510000000000001E-17</v>
      </c>
      <c r="F53" s="166">
        <v>1236.6781575862799</v>
      </c>
      <c r="G53" s="92"/>
      <c r="H53" t="s">
        <v>365</v>
      </c>
      <c r="I53" s="92">
        <v>5.5510000000000001E-17</v>
      </c>
      <c r="J53" s="93">
        <v>1236.5933116061101</v>
      </c>
      <c r="K53" s="89">
        <f>VLOOKUP(H53,$D$3:F124,3,FALSE)</f>
        <v>1236.6781575862799</v>
      </c>
      <c r="L53" s="94">
        <f t="shared" si="0"/>
        <v>8.4845980169802715E-2</v>
      </c>
      <c r="M53" s="89">
        <f t="shared" si="1"/>
        <v>10585.629332556782</v>
      </c>
    </row>
    <row r="54" spans="4:16" x14ac:dyDescent="0.2">
      <c r="D54" t="s">
        <v>366</v>
      </c>
      <c r="E54" s="92">
        <v>3.2000000000000201E-3</v>
      </c>
      <c r="F54" s="166">
        <v>1728.11559196897</v>
      </c>
      <c r="G54" s="92"/>
      <c r="H54" t="s">
        <v>366</v>
      </c>
      <c r="I54" s="92">
        <v>3.2000000000000201E-3</v>
      </c>
      <c r="J54" s="93">
        <v>1728.28224422533</v>
      </c>
      <c r="K54" s="89">
        <f>VLOOKUP(H54,$D$3:F125,3,FALSE)</f>
        <v>1728.11559196897</v>
      </c>
      <c r="L54" s="94">
        <f t="shared" si="0"/>
        <v>-0.16665225636006653</v>
      </c>
      <c r="M54" s="89">
        <f t="shared" si="1"/>
        <v>10585.462680300421</v>
      </c>
      <c r="N54" s="95"/>
      <c r="O54" s="95"/>
      <c r="P54" s="95"/>
    </row>
    <row r="55" spans="4:16" x14ac:dyDescent="0.2">
      <c r="D55" t="s">
        <v>229</v>
      </c>
      <c r="E55" s="92">
        <v>0.130000000000011</v>
      </c>
      <c r="F55" s="166">
        <v>-797695.935779855</v>
      </c>
      <c r="G55" s="92"/>
      <c r="H55" t="s">
        <v>229</v>
      </c>
      <c r="I55" s="92">
        <v>0.130000000000011</v>
      </c>
      <c r="J55" s="93">
        <v>-797766.67267215601</v>
      </c>
      <c r="K55" s="89">
        <f>VLOOKUP(H55,$D$3:F126,3,FALSE)</f>
        <v>-797695.935779855</v>
      </c>
      <c r="L55" s="94">
        <f t="shared" si="0"/>
        <v>70.736892301007174</v>
      </c>
      <c r="M55" s="89">
        <f t="shared" si="1"/>
        <v>10656.199572601428</v>
      </c>
      <c r="N55" s="95"/>
      <c r="O55" s="95"/>
      <c r="P55" s="95"/>
    </row>
    <row r="56" spans="4:16" x14ac:dyDescent="0.2">
      <c r="D56" t="s">
        <v>287</v>
      </c>
      <c r="E56" s="92">
        <v>0.79606000000000099</v>
      </c>
      <c r="F56" s="166">
        <v>-1948.48423360827</v>
      </c>
      <c r="G56" s="92"/>
      <c r="H56" t="s">
        <v>287</v>
      </c>
      <c r="I56" s="92">
        <v>0.79606000000000099</v>
      </c>
      <c r="J56" s="93">
        <v>-1941.08335447442</v>
      </c>
      <c r="K56" s="89">
        <f>VLOOKUP(H56,$D$3:F127,3,FALSE)</f>
        <v>-1948.48423360827</v>
      </c>
      <c r="L56" s="94">
        <f t="shared" si="0"/>
        <v>-7.4008791338499123</v>
      </c>
      <c r="M56" s="89">
        <f t="shared" si="1"/>
        <v>10648.798693467579</v>
      </c>
      <c r="N56" s="95"/>
      <c r="O56" s="95"/>
      <c r="P56" s="95"/>
    </row>
    <row r="57" spans="4:16" x14ac:dyDescent="0.2">
      <c r="D57" t="s">
        <v>367</v>
      </c>
      <c r="E57" s="92">
        <v>-0.186</v>
      </c>
      <c r="F57" s="166">
        <v>92118.2618843112</v>
      </c>
      <c r="G57" s="92"/>
      <c r="H57" t="s">
        <v>367</v>
      </c>
      <c r="I57" s="92">
        <v>-0.186</v>
      </c>
      <c r="J57" s="93">
        <v>92341.530369172498</v>
      </c>
      <c r="K57" s="89">
        <f>VLOOKUP(H57,$D$3:F128,3,FALSE)</f>
        <v>92118.2618843112</v>
      </c>
      <c r="L57" s="94">
        <f t="shared" si="0"/>
        <v>-223.26848486129893</v>
      </c>
      <c r="M57" s="89">
        <f t="shared" si="1"/>
        <v>10425.53020860628</v>
      </c>
      <c r="N57" s="96"/>
      <c r="O57" s="95"/>
      <c r="P57" s="95"/>
    </row>
    <row r="58" spans="4:16" x14ac:dyDescent="0.2">
      <c r="D58" t="s">
        <v>288</v>
      </c>
      <c r="E58" s="92">
        <v>8.3000000000000101E-2</v>
      </c>
      <c r="F58" s="166">
        <v>1599.7401019224301</v>
      </c>
      <c r="G58" s="92"/>
      <c r="H58" t="s">
        <v>288</v>
      </c>
      <c r="I58" s="92">
        <v>8.3000000000000101E-2</v>
      </c>
      <c r="J58" s="93">
        <v>1627.4458616473801</v>
      </c>
      <c r="K58" s="89">
        <f>VLOOKUP(H58,$D$3:F129,3,FALSE)</f>
        <v>1599.7401019224301</v>
      </c>
      <c r="L58" s="94">
        <f t="shared" si="0"/>
        <v>-27.705759724949985</v>
      </c>
      <c r="M58" s="89">
        <f t="shared" si="1"/>
        <v>10397.824448881331</v>
      </c>
      <c r="N58" s="96"/>
      <c r="O58" s="95"/>
      <c r="P58" s="95"/>
    </row>
    <row r="59" spans="4:16" x14ac:dyDescent="0.2">
      <c r="D59" t="s">
        <v>368</v>
      </c>
      <c r="E59" s="92">
        <v>4.3930000000018104E-3</v>
      </c>
      <c r="F59" s="166">
        <v>3.0141632501836302</v>
      </c>
      <c r="G59" s="92"/>
      <c r="H59" t="s">
        <v>368</v>
      </c>
      <c r="I59" s="92">
        <v>4.3930000000018104E-3</v>
      </c>
      <c r="J59" s="93">
        <v>3.7252004024048802</v>
      </c>
      <c r="K59" s="89">
        <f>VLOOKUP(H59,$D$3:F130,3,FALSE)</f>
        <v>3.0141632501836302</v>
      </c>
      <c r="L59" s="94">
        <f t="shared" si="0"/>
        <v>-0.71103715222124997</v>
      </c>
      <c r="M59" s="89">
        <f t="shared" si="1"/>
        <v>10397.113411729109</v>
      </c>
      <c r="N59" s="96"/>
      <c r="O59" s="95"/>
      <c r="P59" s="95"/>
    </row>
    <row r="60" spans="4:16" x14ac:dyDescent="0.2">
      <c r="D60" t="s">
        <v>289</v>
      </c>
      <c r="E60" s="92">
        <v>3.5000000000000003E-2</v>
      </c>
      <c r="F60" s="166">
        <v>1068.33098139601</v>
      </c>
      <c r="G60" s="92"/>
      <c r="H60" t="s">
        <v>289</v>
      </c>
      <c r="I60" s="92">
        <v>3.5000000000000003E-2</v>
      </c>
      <c r="J60" s="93">
        <v>1032.1663317887301</v>
      </c>
      <c r="K60" s="89">
        <f>VLOOKUP(H60,$D$3:F131,3,FALSE)</f>
        <v>1068.33098139601</v>
      </c>
      <c r="L60" s="94">
        <f t="shared" si="0"/>
        <v>36.164649607279898</v>
      </c>
      <c r="M60" s="89">
        <f t="shared" si="1"/>
        <v>10433.27806133639</v>
      </c>
      <c r="N60" s="96"/>
      <c r="O60" s="95"/>
      <c r="P60" s="95"/>
    </row>
    <row r="61" spans="4:16" x14ac:dyDescent="0.2">
      <c r="D61" t="s">
        <v>211</v>
      </c>
      <c r="E61" s="92">
        <v>-1.9999999999998001E-3</v>
      </c>
      <c r="F61" s="166">
        <v>284336.53101038898</v>
      </c>
      <c r="G61" s="92"/>
      <c r="H61" t="s">
        <v>211</v>
      </c>
      <c r="I61" s="92">
        <v>-1.9999999999998001E-3</v>
      </c>
      <c r="J61" s="93">
        <v>284319.68067548802</v>
      </c>
      <c r="K61" s="89">
        <f>VLOOKUP(H61,$D$3:F132,3,FALSE)</f>
        <v>284336.53101038898</v>
      </c>
      <c r="L61" s="94">
        <f t="shared" si="0"/>
        <v>16.850334900955204</v>
      </c>
      <c r="M61" s="89">
        <f t="shared" si="1"/>
        <v>10450.128396237345</v>
      </c>
      <c r="N61" s="96"/>
      <c r="O61" s="95"/>
      <c r="P61" s="95"/>
    </row>
    <row r="62" spans="4:16" x14ac:dyDescent="0.2">
      <c r="D62" t="s">
        <v>369</v>
      </c>
      <c r="E62" s="92">
        <v>-0.242999999999995</v>
      </c>
      <c r="F62" s="166">
        <v>55808.514663591901</v>
      </c>
      <c r="G62" s="92"/>
      <c r="H62" t="s">
        <v>369</v>
      </c>
      <c r="I62" s="92">
        <v>-0.242999999999995</v>
      </c>
      <c r="J62" s="93">
        <v>56182.310630966</v>
      </c>
      <c r="K62" s="89">
        <f>VLOOKUP(H62,$D$3:F133,3,FALSE)</f>
        <v>55808.514663591901</v>
      </c>
      <c r="L62" s="94">
        <f t="shared" si="0"/>
        <v>-373.79596737409884</v>
      </c>
      <c r="M62" s="89">
        <f t="shared" si="1"/>
        <v>10076.332428863247</v>
      </c>
      <c r="N62" s="96"/>
      <c r="O62" s="95"/>
      <c r="P62" s="95"/>
    </row>
    <row r="63" spans="4:16" x14ac:dyDescent="0.2">
      <c r="D63" t="s">
        <v>370</v>
      </c>
      <c r="E63" s="92">
        <v>0</v>
      </c>
      <c r="F63" s="166">
        <v>-11516.4761328685</v>
      </c>
      <c r="G63" s="92"/>
      <c r="H63" t="s">
        <v>370</v>
      </c>
      <c r="I63" s="92">
        <v>0</v>
      </c>
      <c r="J63" s="93">
        <v>-11515.686010822799</v>
      </c>
      <c r="K63" s="89">
        <f>VLOOKUP(H63,$D$3:F134,3,FALSE)</f>
        <v>-11516.4761328685</v>
      </c>
      <c r="L63" s="94">
        <f t="shared" si="0"/>
        <v>-0.7901220457006275</v>
      </c>
      <c r="M63" s="89">
        <f t="shared" si="1"/>
        <v>10075.542306817546</v>
      </c>
      <c r="N63" s="95"/>
      <c r="O63" s="95"/>
      <c r="P63" s="95"/>
    </row>
    <row r="64" spans="4:16" x14ac:dyDescent="0.2">
      <c r="D64" t="s">
        <v>371</v>
      </c>
      <c r="E64" s="92">
        <v>0</v>
      </c>
      <c r="F64" s="166">
        <v>0</v>
      </c>
      <c r="G64" s="92"/>
      <c r="H64" t="s">
        <v>371</v>
      </c>
      <c r="I64" s="92">
        <v>0</v>
      </c>
      <c r="J64" s="93">
        <v>0</v>
      </c>
      <c r="K64" s="89">
        <f>VLOOKUP(H64,$D$3:F135,3,FALSE)</f>
        <v>0</v>
      </c>
      <c r="L64" s="94">
        <f t="shared" si="0"/>
        <v>0</v>
      </c>
      <c r="M64" s="89">
        <f t="shared" si="1"/>
        <v>10075.542306817546</v>
      </c>
      <c r="N64" s="97"/>
      <c r="O64" s="95"/>
      <c r="P64" s="95"/>
    </row>
    <row r="65" spans="4:16" x14ac:dyDescent="0.2">
      <c r="D65" t="s">
        <v>231</v>
      </c>
      <c r="E65" s="92">
        <v>-2.2529999999999899</v>
      </c>
      <c r="F65" s="166">
        <v>2106090.47278282</v>
      </c>
      <c r="G65" s="92"/>
      <c r="H65" t="s">
        <v>231</v>
      </c>
      <c r="I65" s="92">
        <v>-2.2529999999999899</v>
      </c>
      <c r="J65" s="93">
        <v>2108682.4318758301</v>
      </c>
      <c r="K65" s="89">
        <f>VLOOKUP(H65,$D$3:F136,3,FALSE)</f>
        <v>2106090.47278282</v>
      </c>
      <c r="L65" s="94">
        <f t="shared" si="0"/>
        <v>-2591.959093010053</v>
      </c>
      <c r="M65" s="89">
        <f t="shared" si="1"/>
        <v>7483.5832138074929</v>
      </c>
      <c r="N65" s="95"/>
      <c r="O65" s="95"/>
      <c r="P65" s="95"/>
    </row>
    <row r="66" spans="4:16" x14ac:dyDescent="0.2">
      <c r="D66" t="s">
        <v>290</v>
      </c>
      <c r="E66" s="92">
        <v>9.7498999999995603E-2</v>
      </c>
      <c r="F66" s="166">
        <v>-19142.317991187301</v>
      </c>
      <c r="G66" s="92"/>
      <c r="H66" t="s">
        <v>290</v>
      </c>
      <c r="I66" s="92">
        <v>9.7498999999995603E-2</v>
      </c>
      <c r="J66" s="93">
        <v>-19142.0980540235</v>
      </c>
      <c r="K66" s="89">
        <f>VLOOKUP(H66,$D$3:F137,3,FALSE)</f>
        <v>-19142.317991187301</v>
      </c>
      <c r="L66" s="94">
        <f t="shared" si="0"/>
        <v>-0.21993716380166006</v>
      </c>
      <c r="M66" s="89">
        <f t="shared" si="1"/>
        <v>7483.3632766436913</v>
      </c>
      <c r="N66" s="95"/>
      <c r="O66" s="95"/>
      <c r="P66" s="95"/>
    </row>
    <row r="67" spans="4:16" x14ac:dyDescent="0.2">
      <c r="D67" t="s">
        <v>372</v>
      </c>
      <c r="E67" s="92">
        <v>8.8817999999999997E-16</v>
      </c>
      <c r="F67" s="166">
        <v>-1152.89079773857</v>
      </c>
      <c r="G67" s="92"/>
      <c r="H67" t="s">
        <v>372</v>
      </c>
      <c r="I67" s="92">
        <v>8.8817999999999997E-16</v>
      </c>
      <c r="J67" s="93">
        <v>-1152.81170024211</v>
      </c>
      <c r="K67" s="89">
        <f>VLOOKUP(H67,$D$3:F138,3,FALSE)</f>
        <v>-1152.89079773857</v>
      </c>
      <c r="L67" s="94">
        <f t="shared" ref="L67:L130" si="2">K67-J67</f>
        <v>-7.9097496460008188E-2</v>
      </c>
      <c r="M67" s="89">
        <f t="shared" si="1"/>
        <v>7483.284179147231</v>
      </c>
      <c r="N67" s="95"/>
      <c r="O67" s="95"/>
      <c r="P67" s="95"/>
    </row>
    <row r="68" spans="4:16" x14ac:dyDescent="0.2">
      <c r="D68" s="95" t="s">
        <v>291</v>
      </c>
      <c r="E68" s="92">
        <v>7.1905999999999998E-2</v>
      </c>
      <c r="F68" s="166">
        <v>-3691.1625242423402</v>
      </c>
      <c r="G68" s="92"/>
      <c r="H68" s="95" t="s">
        <v>291</v>
      </c>
      <c r="I68" s="92">
        <v>7.1905999999999998E-2</v>
      </c>
      <c r="J68" s="93">
        <v>-3681.6665317687898</v>
      </c>
      <c r="K68" s="89">
        <f>VLOOKUP(H68,$D$3:F139,3,FALSE)</f>
        <v>-3691.1625242423402</v>
      </c>
      <c r="L68" s="94">
        <f t="shared" si="2"/>
        <v>-9.4959924735503591</v>
      </c>
      <c r="M68" s="89">
        <f t="shared" si="1"/>
        <v>7473.7881866736807</v>
      </c>
      <c r="N68" s="95"/>
      <c r="O68" s="95"/>
      <c r="P68" s="95"/>
    </row>
    <row r="69" spans="4:16" x14ac:dyDescent="0.2">
      <c r="D69" t="s">
        <v>373</v>
      </c>
      <c r="E69" s="92">
        <v>0</v>
      </c>
      <c r="F69" s="166">
        <v>1487.4137774805499</v>
      </c>
      <c r="G69" s="92"/>
      <c r="H69" t="s">
        <v>373</v>
      </c>
      <c r="I69" s="92">
        <v>0</v>
      </c>
      <c r="J69" s="93">
        <v>1487.31172904401</v>
      </c>
      <c r="K69" s="89">
        <f>VLOOKUP(H69,$D$3:F140,3,FALSE)</f>
        <v>1487.4137774805499</v>
      </c>
      <c r="L69" s="94">
        <f t="shared" si="2"/>
        <v>0.10204843653991702</v>
      </c>
      <c r="M69" s="89">
        <f t="shared" si="1"/>
        <v>7473.8902351102206</v>
      </c>
      <c r="N69" s="95"/>
      <c r="O69" s="95"/>
      <c r="P69" s="95"/>
    </row>
    <row r="70" spans="4:16" x14ac:dyDescent="0.2">
      <c r="D70" t="s">
        <v>292</v>
      </c>
      <c r="E70" s="92">
        <v>0.57907399999999998</v>
      </c>
      <c r="F70" s="166">
        <v>-629.05696509132395</v>
      </c>
      <c r="G70" s="92"/>
      <c r="H70" t="s">
        <v>292</v>
      </c>
      <c r="I70" s="92">
        <v>0.57907399999999998</v>
      </c>
      <c r="J70" s="93">
        <v>-607.2659096758</v>
      </c>
      <c r="K70" s="89">
        <f>VLOOKUP(H70,$D$3:F141,3,FALSE)</f>
        <v>-629.05696509132395</v>
      </c>
      <c r="L70" s="94">
        <f t="shared" si="2"/>
        <v>-21.791055415523942</v>
      </c>
      <c r="M70" s="89">
        <f t="shared" ref="M70:M133" si="3">M69+L70</f>
        <v>7452.0991796946964</v>
      </c>
      <c r="N70" s="95"/>
      <c r="O70" s="95"/>
      <c r="P70" s="95"/>
    </row>
    <row r="71" spans="4:16" x14ac:dyDescent="0.2">
      <c r="D71" t="s">
        <v>293</v>
      </c>
      <c r="E71" s="92">
        <v>0.55900000000000005</v>
      </c>
      <c r="F71" s="166">
        <v>-149.28920976027399</v>
      </c>
      <c r="G71" s="92"/>
      <c r="H71" t="s">
        <v>293</v>
      </c>
      <c r="I71" s="92">
        <v>0.55900000000000005</v>
      </c>
      <c r="J71" s="93">
        <v>602.58584336051695</v>
      </c>
      <c r="K71" s="89">
        <f>VLOOKUP(H71,$D$3:F142,3,FALSE)</f>
        <v>-149.28920976027399</v>
      </c>
      <c r="L71" s="94">
        <f t="shared" si="2"/>
        <v>-751.87505312079088</v>
      </c>
      <c r="M71" s="89">
        <f t="shared" si="3"/>
        <v>6700.2241265739058</v>
      </c>
      <c r="N71" s="95"/>
      <c r="O71" s="95"/>
      <c r="P71" s="95"/>
    </row>
    <row r="72" spans="4:16" x14ac:dyDescent="0.2">
      <c r="D72" t="s">
        <v>242</v>
      </c>
      <c r="E72" s="92">
        <v>0.83700000000007702</v>
      </c>
      <c r="F72" s="167">
        <v>2168138.3436745801</v>
      </c>
      <c r="G72" s="92"/>
      <c r="H72" t="s">
        <v>242</v>
      </c>
      <c r="I72" s="92">
        <v>0.83700000000007702</v>
      </c>
      <c r="J72" s="88">
        <v>2166835.33476733</v>
      </c>
      <c r="K72" s="89">
        <f>VLOOKUP(H72,$D$3:F143,3,FALSE)</f>
        <v>2168138.3436745801</v>
      </c>
      <c r="L72" s="94">
        <f t="shared" si="2"/>
        <v>1303.0089072501287</v>
      </c>
      <c r="M72" s="89">
        <f t="shared" si="3"/>
        <v>8003.2330338240345</v>
      </c>
      <c r="N72" s="95"/>
      <c r="O72" s="95"/>
      <c r="P72" s="95"/>
    </row>
    <row r="73" spans="4:16" x14ac:dyDescent="0.2">
      <c r="D73" t="s">
        <v>294</v>
      </c>
      <c r="E73" s="92">
        <v>-0.157</v>
      </c>
      <c r="F73" s="167">
        <v>-2744.0553153665401</v>
      </c>
      <c r="G73" s="92"/>
      <c r="H73" t="s">
        <v>294</v>
      </c>
      <c r="I73" s="92">
        <v>-0.157</v>
      </c>
      <c r="J73" s="88">
        <v>-2504.3882095695299</v>
      </c>
      <c r="K73" s="89">
        <f>VLOOKUP(H73,$D$3:F144,3,FALSE)</f>
        <v>-2744.0553153665401</v>
      </c>
      <c r="L73" s="94">
        <f t="shared" si="2"/>
        <v>-239.66710579701021</v>
      </c>
      <c r="M73" s="89">
        <f t="shared" si="3"/>
        <v>7763.5659280270247</v>
      </c>
      <c r="N73" s="95"/>
      <c r="O73" s="95"/>
      <c r="P73" s="95"/>
    </row>
    <row r="74" spans="4:16" x14ac:dyDescent="0.2">
      <c r="D74" t="s">
        <v>374</v>
      </c>
      <c r="E74" s="92">
        <v>-0.160000000000002</v>
      </c>
      <c r="F74" s="167">
        <v>-30718.7937484916</v>
      </c>
      <c r="G74" s="92"/>
      <c r="H74" t="s">
        <v>374</v>
      </c>
      <c r="I74" s="92">
        <v>-0.160000000000002</v>
      </c>
      <c r="J74" s="88">
        <v>-30472.753510073999</v>
      </c>
      <c r="K74" s="89">
        <f>VLOOKUP(H74,$D$3:F145,3,FALSE)</f>
        <v>-30718.7937484916</v>
      </c>
      <c r="L74" s="94">
        <f t="shared" si="2"/>
        <v>-246.04023841760136</v>
      </c>
      <c r="M74" s="89">
        <f t="shared" si="3"/>
        <v>7517.5256896094234</v>
      </c>
      <c r="N74" s="95"/>
      <c r="O74" s="95"/>
      <c r="P74" s="95"/>
    </row>
    <row r="75" spans="4:16" x14ac:dyDescent="0.2">
      <c r="D75" t="s">
        <v>295</v>
      </c>
      <c r="E75" s="92">
        <v>-6.1999999999997599E-2</v>
      </c>
      <c r="F75" s="167">
        <v>-32435.474993934298</v>
      </c>
      <c r="G75" s="92"/>
      <c r="H75" t="s">
        <v>295</v>
      </c>
      <c r="I75" s="92">
        <v>-6.1999999999997599E-2</v>
      </c>
      <c r="J75" s="88">
        <v>-32431.091349702499</v>
      </c>
      <c r="K75" s="89">
        <f>VLOOKUP(H75,$D$3:F146,3,FALSE)</f>
        <v>-32435.474993934298</v>
      </c>
      <c r="L75" s="94">
        <f t="shared" si="2"/>
        <v>-4.3836442317988258</v>
      </c>
      <c r="M75" s="89">
        <f t="shared" si="3"/>
        <v>7513.1420453776245</v>
      </c>
      <c r="N75" s="95"/>
      <c r="O75" s="95"/>
      <c r="P75" s="95"/>
    </row>
    <row r="76" spans="4:16" x14ac:dyDescent="0.2">
      <c r="D76" t="s">
        <v>296</v>
      </c>
      <c r="E76" s="92">
        <v>4.1366E-2</v>
      </c>
      <c r="F76" s="167">
        <v>1715.2133838548</v>
      </c>
      <c r="G76" s="92"/>
      <c r="H76" t="s">
        <v>296</v>
      </c>
      <c r="I76" s="92">
        <v>4.1366E-2</v>
      </c>
      <c r="J76" s="88">
        <v>1686.33201542547</v>
      </c>
      <c r="K76" s="89">
        <f>VLOOKUP(H76,$D$3:F147,3,FALSE)</f>
        <v>1715.2133838548</v>
      </c>
      <c r="L76" s="94">
        <f t="shared" si="2"/>
        <v>28.881368429329996</v>
      </c>
      <c r="M76" s="89">
        <f t="shared" si="3"/>
        <v>7542.0234138069545</v>
      </c>
      <c r="N76" s="95"/>
      <c r="O76" s="95"/>
      <c r="P76" s="95"/>
    </row>
    <row r="77" spans="4:16" x14ac:dyDescent="0.2">
      <c r="D77" t="s">
        <v>220</v>
      </c>
      <c r="E77" s="92">
        <v>-6.9459999999999997</v>
      </c>
      <c r="F77" s="167">
        <v>-2796706.0299082398</v>
      </c>
      <c r="G77" s="92"/>
      <c r="H77" t="s">
        <v>220</v>
      </c>
      <c r="I77" s="92">
        <v>-6.9459999999999997</v>
      </c>
      <c r="J77" s="88">
        <v>-2786481.7908839299</v>
      </c>
      <c r="K77" s="89">
        <f>VLOOKUP(H77,$D$3:F148,3,FALSE)</f>
        <v>-2796706.0299082398</v>
      </c>
      <c r="L77" s="94">
        <f t="shared" si="2"/>
        <v>-10224.239024309907</v>
      </c>
      <c r="M77" s="89">
        <f t="shared" si="3"/>
        <v>-2682.2156105029526</v>
      </c>
    </row>
    <row r="78" spans="4:16" x14ac:dyDescent="0.2">
      <c r="D78" t="s">
        <v>297</v>
      </c>
      <c r="E78" s="92">
        <v>0.1246</v>
      </c>
      <c r="F78" s="167">
        <v>8.6296579657355306</v>
      </c>
      <c r="G78" s="92"/>
      <c r="H78" t="s">
        <v>297</v>
      </c>
      <c r="I78" s="92">
        <v>0.1246</v>
      </c>
      <c r="J78" s="88">
        <v>6.2294397961814001</v>
      </c>
      <c r="K78" s="89">
        <f>VLOOKUP(H78,$D$3:F149,3,FALSE)</f>
        <v>8.6296579657355306</v>
      </c>
      <c r="L78" s="94">
        <f t="shared" si="2"/>
        <v>2.4002181695541305</v>
      </c>
      <c r="M78" s="89">
        <f t="shared" si="3"/>
        <v>-2679.8153923333984</v>
      </c>
    </row>
    <row r="79" spans="4:16" x14ac:dyDescent="0.2">
      <c r="D79" t="s">
        <v>375</v>
      </c>
      <c r="E79" s="92">
        <v>1.0000000000070001E-3</v>
      </c>
      <c r="F79" s="167">
        <v>816.29368745158695</v>
      </c>
      <c r="G79" s="92"/>
      <c r="H79" t="s">
        <v>375</v>
      </c>
      <c r="I79" s="92">
        <v>1.0000000000070001E-3</v>
      </c>
      <c r="J79" s="88">
        <v>816.682229739847</v>
      </c>
      <c r="K79" s="89">
        <f>VLOOKUP(H79,$D$3:F150,3,FALSE)</f>
        <v>816.29368745158695</v>
      </c>
      <c r="L79" s="94">
        <f t="shared" si="2"/>
        <v>-0.3885422882600551</v>
      </c>
      <c r="M79" s="89">
        <f t="shared" si="3"/>
        <v>-2680.2039346216584</v>
      </c>
    </row>
    <row r="80" spans="4:16" x14ac:dyDescent="0.2">
      <c r="D80" t="s">
        <v>298</v>
      </c>
      <c r="E80" s="92">
        <v>0.115</v>
      </c>
      <c r="F80" s="167">
        <v>4479.1728614126296</v>
      </c>
      <c r="G80" s="92"/>
      <c r="H80" t="s">
        <v>298</v>
      </c>
      <c r="I80" s="92">
        <v>0.115</v>
      </c>
      <c r="J80" s="88">
        <v>4352.1614234212302</v>
      </c>
      <c r="K80" s="89">
        <f>VLOOKUP(H80,$D$3:F151,3,FALSE)</f>
        <v>4479.1728614126296</v>
      </c>
      <c r="L80" s="94">
        <f t="shared" si="2"/>
        <v>127.01143799139936</v>
      </c>
      <c r="M80" s="89">
        <f t="shared" si="3"/>
        <v>-2553.192496630259</v>
      </c>
    </row>
    <row r="81" spans="4:13" x14ac:dyDescent="0.2">
      <c r="D81" t="s">
        <v>376</v>
      </c>
      <c r="E81" s="92">
        <v>5.2735999999999995E-16</v>
      </c>
      <c r="F81" s="167">
        <v>-11357.250853133701</v>
      </c>
      <c r="G81" s="92"/>
      <c r="H81" t="s">
        <v>376</v>
      </c>
      <c r="I81" s="92">
        <v>5.2735999999999995E-16</v>
      </c>
      <c r="J81" s="88">
        <v>-11356.4716551902</v>
      </c>
      <c r="K81" s="89">
        <f>VLOOKUP(H81,$D$3:F152,3,FALSE)</f>
        <v>-11357.250853133701</v>
      </c>
      <c r="L81" s="94">
        <f t="shared" si="2"/>
        <v>-0.77919794350054872</v>
      </c>
      <c r="M81" s="89">
        <f t="shared" si="3"/>
        <v>-2553.9716945737596</v>
      </c>
    </row>
    <row r="82" spans="4:13" x14ac:dyDescent="0.2">
      <c r="D82" t="s">
        <v>258</v>
      </c>
      <c r="E82" s="92">
        <v>0.27499999999977998</v>
      </c>
      <c r="F82" s="167">
        <v>2727164.7939468799</v>
      </c>
      <c r="G82" s="92"/>
      <c r="H82" t="s">
        <v>258</v>
      </c>
      <c r="I82" s="92">
        <v>2.5749999999997799</v>
      </c>
      <c r="J82" s="88">
        <v>2718707.8214593101</v>
      </c>
      <c r="K82" s="89">
        <f>VLOOKUP(H82,$D$3:F153,3,FALSE)</f>
        <v>2727164.7939468799</v>
      </c>
      <c r="L82" s="94">
        <f t="shared" si="2"/>
        <v>8456.9724875697866</v>
      </c>
      <c r="M82" s="89">
        <f t="shared" si="3"/>
        <v>5903.0007929960266</v>
      </c>
    </row>
    <row r="83" spans="4:13" x14ac:dyDescent="0.2">
      <c r="D83" t="s">
        <v>246</v>
      </c>
      <c r="E83" s="92">
        <v>-19.013000000000002</v>
      </c>
      <c r="F83" s="167">
        <v>896045.99309628503</v>
      </c>
      <c r="G83" s="92"/>
      <c r="H83" t="s">
        <v>246</v>
      </c>
      <c r="I83" s="92">
        <v>-19.013000000000002</v>
      </c>
      <c r="J83" s="88">
        <v>954436.84346730297</v>
      </c>
      <c r="K83" s="89">
        <f>VLOOKUP(H83,$D$3:F154,3,FALSE)</f>
        <v>896045.99309628503</v>
      </c>
      <c r="L83" s="94">
        <f t="shared" si="2"/>
        <v>-58390.850371017936</v>
      </c>
      <c r="M83" s="89">
        <f t="shared" si="3"/>
        <v>-52487.849578021909</v>
      </c>
    </row>
    <row r="84" spans="4:13" x14ac:dyDescent="0.2">
      <c r="D84" t="s">
        <v>299</v>
      </c>
      <c r="E84" s="92">
        <v>0.151</v>
      </c>
      <c r="F84" s="167">
        <v>6368.8339568662504</v>
      </c>
      <c r="G84" s="92"/>
      <c r="H84" t="s">
        <v>299</v>
      </c>
      <c r="I84" s="92">
        <v>0.151</v>
      </c>
      <c r="J84" s="88">
        <v>6274.6464690285702</v>
      </c>
      <c r="K84" s="89">
        <f>VLOOKUP(H84,$D$3:F155,3,FALSE)</f>
        <v>6368.8339568662504</v>
      </c>
      <c r="L84" s="94">
        <f t="shared" si="2"/>
        <v>94.187487837680237</v>
      </c>
      <c r="M84" s="89">
        <f t="shared" si="3"/>
        <v>-52393.662090184225</v>
      </c>
    </row>
    <row r="85" spans="4:13" x14ac:dyDescent="0.2">
      <c r="D85" t="s">
        <v>230</v>
      </c>
      <c r="E85" s="92">
        <v>-25.61</v>
      </c>
      <c r="F85" s="167">
        <v>-1267262.3290798301</v>
      </c>
      <c r="G85" s="92"/>
      <c r="H85" t="s">
        <v>230</v>
      </c>
      <c r="I85" s="92">
        <v>-25.61</v>
      </c>
      <c r="J85" s="88">
        <v>-1180809.32122437</v>
      </c>
      <c r="K85" s="89">
        <f>VLOOKUP(H85,$D$3:F156,3,FALSE)</f>
        <v>-1267262.3290798301</v>
      </c>
      <c r="L85" s="94">
        <f t="shared" si="2"/>
        <v>-86453.007855460048</v>
      </c>
      <c r="M85" s="89">
        <f t="shared" si="3"/>
        <v>-138846.66994564427</v>
      </c>
    </row>
    <row r="86" spans="4:13" x14ac:dyDescent="0.2">
      <c r="D86" t="s">
        <v>300</v>
      </c>
      <c r="E86" s="92">
        <v>1.1000000000001E-2</v>
      </c>
      <c r="F86" s="167">
        <v>-35744.772303201302</v>
      </c>
      <c r="G86" s="92"/>
      <c r="H86" t="s">
        <v>300</v>
      </c>
      <c r="I86" s="92">
        <v>1.1000000000001E-2</v>
      </c>
      <c r="J86" s="88">
        <v>-35742.384779270702</v>
      </c>
      <c r="K86" s="89">
        <f>VLOOKUP(H86,$D$3:F157,3,FALSE)</f>
        <v>-35744.772303201302</v>
      </c>
      <c r="L86" s="94">
        <f t="shared" si="2"/>
        <v>-2.3875239305998548</v>
      </c>
      <c r="M86" s="89">
        <f t="shared" si="3"/>
        <v>-138849.05746957488</v>
      </c>
    </row>
    <row r="87" spans="4:13" x14ac:dyDescent="0.2">
      <c r="D87" t="s">
        <v>377</v>
      </c>
      <c r="E87" s="92">
        <v>1.0000000000001E-3</v>
      </c>
      <c r="F87" s="167">
        <v>328.274052747506</v>
      </c>
      <c r="G87" s="92"/>
      <c r="H87" t="s">
        <v>377</v>
      </c>
      <c r="I87" s="92">
        <v>1.0000000000001E-3</v>
      </c>
      <c r="J87" s="88">
        <v>328.45857242132797</v>
      </c>
      <c r="K87" s="89">
        <f>VLOOKUP(H87,$D$3:F158,3,FALSE)</f>
        <v>328.274052747506</v>
      </c>
      <c r="L87" s="94">
        <f t="shared" si="2"/>
        <v>-0.18451967382196699</v>
      </c>
      <c r="M87" s="89">
        <f t="shared" si="3"/>
        <v>-138849.24198924869</v>
      </c>
    </row>
    <row r="88" spans="4:13" x14ac:dyDescent="0.2">
      <c r="D88" t="s">
        <v>301</v>
      </c>
      <c r="E88" s="92">
        <v>7.3437000000000099E-2</v>
      </c>
      <c r="F88" s="167">
        <v>-6620.7759439771798</v>
      </c>
      <c r="G88" s="92"/>
      <c r="H88" t="s">
        <v>301</v>
      </c>
      <c r="I88" s="92">
        <v>7.3437000000000099E-2</v>
      </c>
      <c r="J88" s="88">
        <v>-6617.5958057981898</v>
      </c>
      <c r="K88" s="89">
        <f>VLOOKUP(H88,$D$3:F159,3,FALSE)</f>
        <v>-6620.7759439771798</v>
      </c>
      <c r="L88" s="94">
        <f t="shared" si="2"/>
        <v>-3.1801381789900915</v>
      </c>
      <c r="M88" s="89">
        <f t="shared" si="3"/>
        <v>-138852.42212742768</v>
      </c>
    </row>
    <row r="89" spans="4:13" x14ac:dyDescent="0.2">
      <c r="D89" t="s">
        <v>302</v>
      </c>
      <c r="E89" s="92">
        <v>0.14599999999999999</v>
      </c>
      <c r="F89" s="167">
        <v>-1376.2218312693301</v>
      </c>
      <c r="G89" s="92"/>
      <c r="H89" t="s">
        <v>302</v>
      </c>
      <c r="I89" s="92">
        <v>0.14599999999999999</v>
      </c>
      <c r="J89" s="88">
        <v>-1302.04995225527</v>
      </c>
      <c r="K89" s="89">
        <f>VLOOKUP(H89,$D$3:F160,3,FALSE)</f>
        <v>-1376.2218312693301</v>
      </c>
      <c r="L89" s="94">
        <f t="shared" si="2"/>
        <v>-74.171879014060096</v>
      </c>
      <c r="M89" s="89">
        <f t="shared" si="3"/>
        <v>-138926.59400644174</v>
      </c>
    </row>
    <row r="90" spans="4:13" x14ac:dyDescent="0.2">
      <c r="D90" t="s">
        <v>303</v>
      </c>
      <c r="E90" s="92">
        <v>-1.7763599999999999E-15</v>
      </c>
      <c r="F90" s="167">
        <v>-5525.1298230426301</v>
      </c>
      <c r="G90" s="92"/>
      <c r="H90" t="s">
        <v>303</v>
      </c>
      <c r="I90" s="92">
        <v>-1.7763599999999999E-15</v>
      </c>
      <c r="J90" s="88">
        <v>-5504.9208911265896</v>
      </c>
      <c r="K90" s="89">
        <f>VLOOKUP(H90,$D$3:F161,3,FALSE)</f>
        <v>-5525.1298230426301</v>
      </c>
      <c r="L90" s="94">
        <f t="shared" si="2"/>
        <v>-20.208931916040456</v>
      </c>
      <c r="M90" s="89">
        <f t="shared" si="3"/>
        <v>-138946.80293835778</v>
      </c>
    </row>
    <row r="91" spans="4:13" x14ac:dyDescent="0.2">
      <c r="D91" t="s">
        <v>212</v>
      </c>
      <c r="E91" s="92">
        <v>1.3460000000000101</v>
      </c>
      <c r="F91" s="167">
        <v>494908.550953219</v>
      </c>
      <c r="G91" s="92"/>
      <c r="H91" t="s">
        <v>212</v>
      </c>
      <c r="I91" s="92">
        <v>-23.654</v>
      </c>
      <c r="J91" s="88">
        <v>544421.49943410105</v>
      </c>
      <c r="K91" s="89">
        <f>VLOOKUP(H91,$D$3:F162,3,FALSE)</f>
        <v>494908.550953219</v>
      </c>
      <c r="L91" s="94">
        <f t="shared" si="2"/>
        <v>-49512.948480882042</v>
      </c>
      <c r="M91" s="89">
        <f t="shared" si="3"/>
        <v>-188459.75141923982</v>
      </c>
    </row>
    <row r="92" spans="4:13" x14ac:dyDescent="0.2">
      <c r="D92" t="s">
        <v>378</v>
      </c>
      <c r="E92" s="92">
        <v>9.9999997699159998E-8</v>
      </c>
      <c r="F92" s="167">
        <v>-5441.5009248675797</v>
      </c>
      <c r="G92" s="92"/>
      <c r="H92" t="s">
        <v>378</v>
      </c>
      <c r="I92" s="92">
        <v>9.9999997699159998E-8</v>
      </c>
      <c r="J92" s="88">
        <v>-5441.12769856863</v>
      </c>
      <c r="K92" s="89">
        <f>VLOOKUP(H92,$D$3:F163,3,FALSE)</f>
        <v>-5441.5009248675797</v>
      </c>
      <c r="L92" s="94">
        <f t="shared" si="2"/>
        <v>-0.37322629894970305</v>
      </c>
      <c r="M92" s="89">
        <f t="shared" si="3"/>
        <v>-188460.12464553877</v>
      </c>
    </row>
    <row r="93" spans="4:13" x14ac:dyDescent="0.2">
      <c r="D93" t="s">
        <v>379</v>
      </c>
      <c r="E93" s="92">
        <v>0</v>
      </c>
      <c r="F93" s="167">
        <v>-52954.3856454204</v>
      </c>
      <c r="G93" s="92"/>
      <c r="H93" t="s">
        <v>379</v>
      </c>
      <c r="I93" s="92">
        <v>0</v>
      </c>
      <c r="J93" s="88">
        <v>-52950.752552432597</v>
      </c>
      <c r="K93" s="89">
        <f>VLOOKUP(H93,$D$3:F164,3,FALSE)</f>
        <v>-52954.3856454204</v>
      </c>
      <c r="L93" s="94">
        <f t="shared" si="2"/>
        <v>-3.6330929878022289</v>
      </c>
      <c r="M93" s="89">
        <f t="shared" si="3"/>
        <v>-188463.75773852656</v>
      </c>
    </row>
    <row r="94" spans="4:13" x14ac:dyDescent="0.2">
      <c r="D94" s="95" t="s">
        <v>304</v>
      </c>
      <c r="E94" s="96">
        <v>8.2000000000000003E-2</v>
      </c>
      <c r="F94" s="168">
        <v>5291.3509464758899</v>
      </c>
      <c r="G94" s="96"/>
      <c r="H94" s="95" t="s">
        <v>304</v>
      </c>
      <c r="I94" s="96">
        <v>8.2000000000000003E-2</v>
      </c>
      <c r="J94" s="142">
        <v>5255.0598810001802</v>
      </c>
      <c r="K94" s="89">
        <f>VLOOKUP(H94,$D$3:F165,3,FALSE)</f>
        <v>5291.3509464758899</v>
      </c>
      <c r="L94" s="94">
        <f t="shared" si="2"/>
        <v>36.291065475709729</v>
      </c>
      <c r="M94" s="89">
        <f t="shared" si="3"/>
        <v>-188427.46667305086</v>
      </c>
    </row>
    <row r="95" spans="4:13" x14ac:dyDescent="0.2">
      <c r="D95" s="95" t="s">
        <v>342</v>
      </c>
      <c r="E95" s="96">
        <v>-1.4769999999999901</v>
      </c>
      <c r="F95" s="168">
        <v>410581.30421530397</v>
      </c>
      <c r="G95" s="96"/>
      <c r="H95" s="95" t="s">
        <v>342</v>
      </c>
      <c r="I95" s="96">
        <v>-0.67699999999999205</v>
      </c>
      <c r="J95" s="142">
        <v>413123.11480002699</v>
      </c>
      <c r="K95" s="89">
        <f>VLOOKUP(H95,$D$3:F166,3,FALSE)</f>
        <v>410581.30421530397</v>
      </c>
      <c r="L95" s="94">
        <f t="shared" si="2"/>
        <v>-2541.8105847230181</v>
      </c>
      <c r="M95" s="89">
        <f t="shared" si="3"/>
        <v>-190969.27725777388</v>
      </c>
    </row>
    <row r="96" spans="4:13" x14ac:dyDescent="0.2">
      <c r="D96" s="95" t="s">
        <v>305</v>
      </c>
      <c r="E96" s="96">
        <v>0.11650000000000001</v>
      </c>
      <c r="F96" s="168">
        <v>840.03885977994696</v>
      </c>
      <c r="G96" s="96"/>
      <c r="H96" s="95" t="s">
        <v>305</v>
      </c>
      <c r="I96" s="96">
        <v>0.11650000000000001</v>
      </c>
      <c r="J96" s="142">
        <v>831.43414084473602</v>
      </c>
      <c r="K96" s="89">
        <f>VLOOKUP(H96,$D$3:F167,3,FALSE)</f>
        <v>840.03885977994696</v>
      </c>
      <c r="L96" s="94">
        <f t="shared" si="2"/>
        <v>8.6047189352109399</v>
      </c>
      <c r="M96" s="89">
        <f t="shared" si="3"/>
        <v>-190960.67253883867</v>
      </c>
    </row>
    <row r="97" spans="4:13" x14ac:dyDescent="0.2">
      <c r="D97" s="95" t="s">
        <v>306</v>
      </c>
      <c r="E97" s="96">
        <v>1.7000000000000001E-2</v>
      </c>
      <c r="F97" s="168">
        <v>2777.5189283742202</v>
      </c>
      <c r="G97" s="96"/>
      <c r="H97" s="95" t="s">
        <v>306</v>
      </c>
      <c r="I97" s="96">
        <v>1.7000000000000001E-2</v>
      </c>
      <c r="J97" s="142">
        <v>2784.2370588622498</v>
      </c>
      <c r="K97" s="89">
        <f>VLOOKUP(H97,$D$3:F168,3,FALSE)</f>
        <v>2777.5189283742202</v>
      </c>
      <c r="L97" s="94">
        <f t="shared" si="2"/>
        <v>-6.7181304880296011</v>
      </c>
      <c r="M97" s="89">
        <f t="shared" si="3"/>
        <v>-190967.39066932671</v>
      </c>
    </row>
    <row r="98" spans="4:13" x14ac:dyDescent="0.2">
      <c r="D98" s="95" t="s">
        <v>307</v>
      </c>
      <c r="E98" s="96">
        <v>5.5329000000000003E-2</v>
      </c>
      <c r="F98" s="168">
        <v>1243.54756188743</v>
      </c>
      <c r="G98" s="96"/>
      <c r="H98" s="95" t="s">
        <v>307</v>
      </c>
      <c r="I98" s="96">
        <v>5.5329000000000003E-2</v>
      </c>
      <c r="J98" s="142">
        <v>1248.69113811842</v>
      </c>
      <c r="K98" s="89">
        <f>VLOOKUP(H98,$D$3:F169,3,FALSE)</f>
        <v>1243.54756188743</v>
      </c>
      <c r="L98" s="94">
        <f t="shared" si="2"/>
        <v>-5.1435762309899928</v>
      </c>
      <c r="M98" s="89">
        <f t="shared" si="3"/>
        <v>-190972.5342455577</v>
      </c>
    </row>
    <row r="99" spans="4:13" x14ac:dyDescent="0.2">
      <c r="D99" s="95" t="s">
        <v>308</v>
      </c>
      <c r="E99" s="96">
        <v>-8.0000000000000099E-2</v>
      </c>
      <c r="F99" s="168">
        <v>-3007.4182695900099</v>
      </c>
      <c r="G99" s="96"/>
      <c r="H99" s="95" t="s">
        <v>308</v>
      </c>
      <c r="I99" s="96">
        <v>-8.0000000000000099E-2</v>
      </c>
      <c r="J99" s="142">
        <v>-2877.4678377071</v>
      </c>
      <c r="K99" s="89">
        <f>VLOOKUP(H99,$D$3:F170,3,FALSE)</f>
        <v>-3007.4182695900099</v>
      </c>
      <c r="L99" s="94">
        <f t="shared" si="2"/>
        <v>-129.95043188290992</v>
      </c>
      <c r="M99" s="89">
        <f t="shared" si="3"/>
        <v>-191102.4846774406</v>
      </c>
    </row>
    <row r="100" spans="4:13" x14ac:dyDescent="0.2">
      <c r="D100" s="95" t="s">
        <v>380</v>
      </c>
      <c r="E100" s="96">
        <v>0</v>
      </c>
      <c r="F100" s="168">
        <v>0</v>
      </c>
      <c r="G100" s="96"/>
      <c r="H100" s="95" t="s">
        <v>380</v>
      </c>
      <c r="I100" s="96">
        <v>0</v>
      </c>
      <c r="J100" s="142">
        <v>0</v>
      </c>
      <c r="K100" s="89">
        <f>VLOOKUP(H100,$D$3:F171,3,FALSE)</f>
        <v>0</v>
      </c>
      <c r="L100" s="94">
        <f t="shared" si="2"/>
        <v>0</v>
      </c>
      <c r="M100" s="89">
        <f t="shared" si="3"/>
        <v>-191102.4846774406</v>
      </c>
    </row>
    <row r="101" spans="4:13" x14ac:dyDescent="0.2">
      <c r="D101" s="95" t="s">
        <v>241</v>
      </c>
      <c r="E101" s="96">
        <v>-5.4750000000000503</v>
      </c>
      <c r="F101" s="168">
        <v>-723528.46173435403</v>
      </c>
      <c r="G101" s="96"/>
      <c r="H101" s="95" t="s">
        <v>241</v>
      </c>
      <c r="I101" s="96">
        <v>11.7059999999999</v>
      </c>
      <c r="J101" s="142">
        <v>-768136.94832669199</v>
      </c>
      <c r="K101" s="89">
        <f>VLOOKUP(H101,$D$3:F172,3,FALSE)</f>
        <v>-723528.46173435403</v>
      </c>
      <c r="L101" s="94">
        <f t="shared" si="2"/>
        <v>44608.486592337955</v>
      </c>
      <c r="M101" s="89">
        <f t="shared" si="3"/>
        <v>-146493.99808510265</v>
      </c>
    </row>
    <row r="102" spans="4:13" x14ac:dyDescent="0.2">
      <c r="D102" s="95" t="s">
        <v>381</v>
      </c>
      <c r="E102" s="96">
        <v>2.99999999996459E-3</v>
      </c>
      <c r="F102" s="168">
        <v>39964.377591974997</v>
      </c>
      <c r="G102" s="96"/>
      <c r="H102" s="95" t="s">
        <v>381</v>
      </c>
      <c r="I102" s="96">
        <v>2.99999999996459E-3</v>
      </c>
      <c r="J102" s="142">
        <v>39952.275768201798</v>
      </c>
      <c r="K102" s="89">
        <f>VLOOKUP(H102,$D$3:F173,3,FALSE)</f>
        <v>39964.377591974997</v>
      </c>
      <c r="L102" s="94">
        <f t="shared" si="2"/>
        <v>12.101823773198703</v>
      </c>
      <c r="M102" s="89">
        <f t="shared" si="3"/>
        <v>-146481.89626132944</v>
      </c>
    </row>
    <row r="103" spans="4:13" x14ac:dyDescent="0.2">
      <c r="D103" s="95" t="s">
        <v>309</v>
      </c>
      <c r="E103" s="96">
        <v>7.6000000000002302E-2</v>
      </c>
      <c r="F103" s="168">
        <v>-8350.3952227290902</v>
      </c>
      <c r="G103" s="96"/>
      <c r="H103" s="95" t="s">
        <v>309</v>
      </c>
      <c r="I103" s="96">
        <v>7.6000000000002302E-2</v>
      </c>
      <c r="J103" s="142">
        <v>-8348.7304810081005</v>
      </c>
      <c r="K103" s="89">
        <f>VLOOKUP(H103,$D$3:F174,3,FALSE)</f>
        <v>-8350.3952227290902</v>
      </c>
      <c r="L103" s="94">
        <f t="shared" si="2"/>
        <v>-1.6647417209896958</v>
      </c>
      <c r="M103" s="89">
        <f t="shared" si="3"/>
        <v>-146483.56100305042</v>
      </c>
    </row>
    <row r="104" spans="4:13" x14ac:dyDescent="0.2">
      <c r="D104" s="95" t="s">
        <v>310</v>
      </c>
      <c r="E104" s="96">
        <v>7.7000000000001706E-2</v>
      </c>
      <c r="F104" s="168">
        <v>5800.8323032222697</v>
      </c>
      <c r="G104" s="96"/>
      <c r="H104" s="95" t="s">
        <v>310</v>
      </c>
      <c r="I104" s="96">
        <v>7.7000000000001706E-2</v>
      </c>
      <c r="J104" s="142">
        <v>5823.9390195421902</v>
      </c>
      <c r="K104" s="89">
        <f>VLOOKUP(H104,$D$3:F175,3,FALSE)</f>
        <v>5800.8323032222697</v>
      </c>
      <c r="L104" s="94">
        <f t="shared" si="2"/>
        <v>-23.106716319920451</v>
      </c>
      <c r="M104" s="89">
        <f t="shared" si="3"/>
        <v>-146506.66771937034</v>
      </c>
    </row>
    <row r="105" spans="4:13" x14ac:dyDescent="0.2">
      <c r="D105" s="95" t="s">
        <v>382</v>
      </c>
      <c r="E105" s="96">
        <v>3.9999999999999897E-3</v>
      </c>
      <c r="F105" s="168">
        <v>73.211783654231098</v>
      </c>
      <c r="G105" s="96"/>
      <c r="H105" s="95" t="s">
        <v>382</v>
      </c>
      <c r="I105" s="96">
        <v>3.9999999999999897E-3</v>
      </c>
      <c r="J105" s="142">
        <v>71.113618823234006</v>
      </c>
      <c r="K105" s="89">
        <f>VLOOKUP(H105,$D$3:F176,3,FALSE)</f>
        <v>73.211783654231098</v>
      </c>
      <c r="L105" s="94">
        <f t="shared" si="2"/>
        <v>2.0981648309970922</v>
      </c>
      <c r="M105" s="89">
        <f t="shared" si="3"/>
        <v>-146504.56955453934</v>
      </c>
    </row>
    <row r="106" spans="4:13" x14ac:dyDescent="0.2">
      <c r="D106" s="95" t="s">
        <v>311</v>
      </c>
      <c r="E106" s="96">
        <v>0.02</v>
      </c>
      <c r="F106" s="168">
        <v>8937.7648670089093</v>
      </c>
      <c r="G106" s="96"/>
      <c r="H106" s="95" t="s">
        <v>311</v>
      </c>
      <c r="I106" s="96">
        <v>0.02</v>
      </c>
      <c r="J106" s="142">
        <v>8885.7419892027192</v>
      </c>
      <c r="K106" s="89">
        <f>VLOOKUP(H106,$D$3:F177,3,FALSE)</f>
        <v>8937.7648670089093</v>
      </c>
      <c r="L106" s="94">
        <f t="shared" si="2"/>
        <v>52.022877806190081</v>
      </c>
      <c r="M106" s="89">
        <f t="shared" si="3"/>
        <v>-146452.54667673315</v>
      </c>
    </row>
    <row r="107" spans="4:13" x14ac:dyDescent="0.2">
      <c r="D107" t="s">
        <v>240</v>
      </c>
      <c r="E107" s="92">
        <v>0.67799999999999905</v>
      </c>
      <c r="F107" s="167">
        <v>-436456.76853978803</v>
      </c>
      <c r="G107" s="92"/>
      <c r="H107" t="s">
        <v>240</v>
      </c>
      <c r="I107" s="92">
        <v>0.67799999999999905</v>
      </c>
      <c r="J107" s="88">
        <v>-439704.68414597597</v>
      </c>
      <c r="K107" s="89">
        <f>VLOOKUP(H107,$D$3:F178,3,FALSE)</f>
        <v>-436456.76853978803</v>
      </c>
      <c r="L107" s="94">
        <f t="shared" si="2"/>
        <v>3247.9156061879476</v>
      </c>
      <c r="M107" s="89">
        <f t="shared" si="3"/>
        <v>-143204.63107054521</v>
      </c>
    </row>
    <row r="108" spans="4:13" x14ac:dyDescent="0.2">
      <c r="D108" t="s">
        <v>383</v>
      </c>
      <c r="E108" s="92">
        <v>4.9999999999883504E-4</v>
      </c>
      <c r="F108" s="167">
        <v>130.32336589577599</v>
      </c>
      <c r="G108" s="92"/>
      <c r="H108" t="s">
        <v>383</v>
      </c>
      <c r="I108" s="92">
        <v>4.9999999999883504E-4</v>
      </c>
      <c r="J108" s="88">
        <v>130.29565752483899</v>
      </c>
      <c r="K108" s="89">
        <f>VLOOKUP(H108,$D$3:F179,3,FALSE)</f>
        <v>130.32336589577599</v>
      </c>
      <c r="L108" s="94">
        <f t="shared" si="2"/>
        <v>2.7708370937006066E-2</v>
      </c>
      <c r="M108" s="89">
        <f t="shared" si="3"/>
        <v>-143204.60336217427</v>
      </c>
    </row>
    <row r="109" spans="4:13" x14ac:dyDescent="0.2">
      <c r="D109" t="s">
        <v>250</v>
      </c>
      <c r="E109" s="92">
        <v>0.86000000000001497</v>
      </c>
      <c r="F109" s="167">
        <v>7886906.7287786203</v>
      </c>
      <c r="G109" s="92"/>
      <c r="H109" t="s">
        <v>250</v>
      </c>
      <c r="I109" s="92">
        <v>-4.1399999999999801</v>
      </c>
      <c r="J109" s="88">
        <v>7909667.8745426703</v>
      </c>
      <c r="K109" s="89">
        <f>VLOOKUP(H109,$D$3:F180,3,FALSE)</f>
        <v>7886906.7287786203</v>
      </c>
      <c r="L109" s="94">
        <f t="shared" si="2"/>
        <v>-22761.145764050074</v>
      </c>
      <c r="M109" s="89">
        <f t="shared" si="3"/>
        <v>-165965.74912622434</v>
      </c>
    </row>
    <row r="110" spans="4:13" x14ac:dyDescent="0.2">
      <c r="D110" t="s">
        <v>312</v>
      </c>
      <c r="E110" s="92">
        <v>6.00989999999939E-2</v>
      </c>
      <c r="F110" s="167">
        <v>23260.700674471402</v>
      </c>
      <c r="G110" s="92"/>
      <c r="H110" t="s">
        <v>312</v>
      </c>
      <c r="I110" s="92">
        <v>6.00989999999939E-2</v>
      </c>
      <c r="J110" s="88">
        <v>23258.578150860802</v>
      </c>
      <c r="K110" s="89">
        <f>VLOOKUP(H110,$D$3:F181,3,FALSE)</f>
        <v>23260.700674471402</v>
      </c>
      <c r="L110" s="94">
        <f t="shared" si="2"/>
        <v>2.122523610600183</v>
      </c>
      <c r="M110" s="89">
        <f t="shared" si="3"/>
        <v>-165963.62660261375</v>
      </c>
    </row>
    <row r="111" spans="4:13" x14ac:dyDescent="0.2">
      <c r="D111" t="s">
        <v>262</v>
      </c>
      <c r="E111" s="92">
        <v>-4.64700000000001</v>
      </c>
      <c r="F111" s="167">
        <v>1344321.26299696</v>
      </c>
      <c r="G111" s="92"/>
      <c r="H111" t="s">
        <v>262</v>
      </c>
      <c r="I111" s="92">
        <v>-4.64700000000001</v>
      </c>
      <c r="J111" s="88">
        <v>1368027.14567819</v>
      </c>
      <c r="K111" s="89">
        <f>VLOOKUP(H111,$D$3:F182,3,FALSE)</f>
        <v>1344321.26299696</v>
      </c>
      <c r="L111" s="94">
        <f t="shared" si="2"/>
        <v>-23705.882681230083</v>
      </c>
      <c r="M111" s="89">
        <f t="shared" si="3"/>
        <v>-189669.50928384383</v>
      </c>
    </row>
    <row r="112" spans="4:13" x14ac:dyDescent="0.2">
      <c r="D112" t="s">
        <v>384</v>
      </c>
      <c r="E112" s="92"/>
      <c r="F112" s="167">
        <v>-175180.21116359299</v>
      </c>
      <c r="G112" s="92"/>
      <c r="H112" t="s">
        <v>384</v>
      </c>
      <c r="I112" s="92"/>
      <c r="J112" s="88">
        <v>-175168.192404634</v>
      </c>
      <c r="K112" s="89">
        <f>VLOOKUP(H112,$D$3:F183,3,FALSE)</f>
        <v>-175180.21116359299</v>
      </c>
      <c r="L112" s="94">
        <f t="shared" si="2"/>
        <v>-12.018758958991384</v>
      </c>
      <c r="M112" s="89">
        <f t="shared" si="3"/>
        <v>-189681.52804280282</v>
      </c>
    </row>
    <row r="113" spans="4:13" x14ac:dyDescent="0.2">
      <c r="D113" t="s">
        <v>346</v>
      </c>
      <c r="E113" s="92">
        <v>-100</v>
      </c>
      <c r="F113" s="167">
        <v>40462.186886145297</v>
      </c>
      <c r="G113" s="92"/>
      <c r="H113" t="s">
        <v>346</v>
      </c>
      <c r="I113" s="92">
        <v>-100</v>
      </c>
      <c r="J113" s="88">
        <v>94455.414044849094</v>
      </c>
      <c r="K113" s="89">
        <f>VLOOKUP(H113,$D$3:F184,3,FALSE)</f>
        <v>40462.186886145297</v>
      </c>
      <c r="L113" s="94">
        <f t="shared" si="2"/>
        <v>-53993.227158703798</v>
      </c>
      <c r="M113" s="89">
        <f t="shared" si="3"/>
        <v>-243674.7552015066</v>
      </c>
    </row>
    <row r="114" spans="4:13" x14ac:dyDescent="0.2">
      <c r="D114" t="s">
        <v>385</v>
      </c>
      <c r="E114" s="92">
        <v>0</v>
      </c>
      <c r="F114" s="167">
        <v>0</v>
      </c>
      <c r="G114" s="92"/>
      <c r="H114" t="s">
        <v>385</v>
      </c>
      <c r="I114" s="92">
        <v>0</v>
      </c>
      <c r="J114" s="88">
        <v>0</v>
      </c>
      <c r="K114" s="89">
        <f>VLOOKUP(H114,$D$3:F185,3,FALSE)</f>
        <v>0</v>
      </c>
      <c r="L114" s="94">
        <f t="shared" si="2"/>
        <v>0</v>
      </c>
      <c r="M114" s="89">
        <f t="shared" si="3"/>
        <v>-243674.7552015066</v>
      </c>
    </row>
    <row r="115" spans="4:13" x14ac:dyDescent="0.2">
      <c r="D115" t="s">
        <v>386</v>
      </c>
      <c r="E115" s="92">
        <v>0</v>
      </c>
      <c r="F115" s="167">
        <v>0</v>
      </c>
      <c r="G115" s="92"/>
      <c r="H115" t="s">
        <v>386</v>
      </c>
      <c r="I115" s="92">
        <v>0</v>
      </c>
      <c r="J115" s="88">
        <v>0</v>
      </c>
      <c r="K115" s="89">
        <f>VLOOKUP(H115,$D$3:F186,3,FALSE)</f>
        <v>0</v>
      </c>
      <c r="L115" s="94">
        <f t="shared" si="2"/>
        <v>0</v>
      </c>
      <c r="M115" s="89">
        <f t="shared" si="3"/>
        <v>-243674.7552015066</v>
      </c>
    </row>
    <row r="116" spans="4:13" x14ac:dyDescent="0.2">
      <c r="D116" t="s">
        <v>313</v>
      </c>
      <c r="E116" s="92">
        <v>3.5877000000002199E-2</v>
      </c>
      <c r="F116" s="167">
        <v>1133.8189592749</v>
      </c>
      <c r="G116" s="92"/>
      <c r="H116" t="s">
        <v>313</v>
      </c>
      <c r="I116" s="98">
        <v>3.5877000000002199E-2</v>
      </c>
      <c r="J116">
        <v>1148.1612426476199</v>
      </c>
      <c r="K116" s="89">
        <f>VLOOKUP(H116,$D$3:F187,3,FALSE)</f>
        <v>1133.8189592749</v>
      </c>
      <c r="L116" s="94">
        <f t="shared" si="2"/>
        <v>-14.342283372719976</v>
      </c>
      <c r="M116" s="89">
        <f t="shared" si="3"/>
        <v>-243689.09748487931</v>
      </c>
    </row>
    <row r="117" spans="4:13" x14ac:dyDescent="0.2">
      <c r="D117" t="s">
        <v>314</v>
      </c>
      <c r="E117" s="92">
        <v>-0.433</v>
      </c>
      <c r="F117" s="167">
        <v>228501.570597126</v>
      </c>
      <c r="G117" s="92"/>
      <c r="H117" t="s">
        <v>314</v>
      </c>
      <c r="I117" s="98">
        <v>-0.433</v>
      </c>
      <c r="J117">
        <v>229979.372514088</v>
      </c>
      <c r="K117" s="89">
        <f>VLOOKUP(H117,$D$3:F188,3,FALSE)</f>
        <v>228501.570597126</v>
      </c>
      <c r="L117" s="94">
        <f t="shared" si="2"/>
        <v>-1477.8019169619947</v>
      </c>
      <c r="M117" s="89">
        <f t="shared" si="3"/>
        <v>-245166.89940184131</v>
      </c>
    </row>
    <row r="118" spans="4:13" x14ac:dyDescent="0.2">
      <c r="D118" t="s">
        <v>260</v>
      </c>
      <c r="E118" s="92">
        <v>73.167000000000002</v>
      </c>
      <c r="F118" s="167">
        <v>-5004389.0489635002</v>
      </c>
      <c r="G118" s="92"/>
      <c r="H118" t="s">
        <v>260</v>
      </c>
      <c r="I118" s="98">
        <v>73.167000000000002</v>
      </c>
      <c r="J118">
        <v>-5406364.0719760302</v>
      </c>
      <c r="K118" s="89">
        <f>VLOOKUP(H118,$D$3:F189,3,FALSE)</f>
        <v>-5004389.0489635002</v>
      </c>
      <c r="L118" s="94">
        <f t="shared" si="2"/>
        <v>401975.02301253006</v>
      </c>
      <c r="M118" s="89">
        <f t="shared" si="3"/>
        <v>156808.12361068875</v>
      </c>
    </row>
    <row r="119" spans="4:13" x14ac:dyDescent="0.2">
      <c r="D119" t="s">
        <v>315</v>
      </c>
      <c r="E119" s="92">
        <v>2.3999999999999799E-2</v>
      </c>
      <c r="F119" s="167">
        <v>-4510.2539005129402</v>
      </c>
      <c r="G119" s="92"/>
      <c r="H119" t="s">
        <v>315</v>
      </c>
      <c r="I119" s="98">
        <v>2.3999999999999799E-2</v>
      </c>
      <c r="J119">
        <v>-4510.5185713149804</v>
      </c>
      <c r="K119" s="89">
        <f>VLOOKUP(H119,$D$3:F190,3,FALSE)</f>
        <v>-4510.2539005129402</v>
      </c>
      <c r="L119" s="94">
        <f t="shared" si="2"/>
        <v>0.26467080204020021</v>
      </c>
      <c r="M119" s="89">
        <f t="shared" si="3"/>
        <v>156808.3882814908</v>
      </c>
    </row>
    <row r="120" spans="4:13" x14ac:dyDescent="0.2">
      <c r="D120" t="s">
        <v>387</v>
      </c>
      <c r="E120" s="92">
        <v>1.0000000000001199E-3</v>
      </c>
      <c r="F120" s="167">
        <v>-2531.19728257929</v>
      </c>
      <c r="G120" s="92"/>
      <c r="H120" t="s">
        <v>387</v>
      </c>
      <c r="I120" s="98">
        <v>1.0000000000001199E-3</v>
      </c>
      <c r="J120">
        <v>-2530.3767195248702</v>
      </c>
      <c r="K120" s="89">
        <f>VLOOKUP(H120,$D$3:F191,3,FALSE)</f>
        <v>-2531.19728257929</v>
      </c>
      <c r="L120" s="94">
        <f t="shared" si="2"/>
        <v>-0.82056305441983568</v>
      </c>
      <c r="M120" s="89">
        <f t="shared" si="3"/>
        <v>156807.56771843639</v>
      </c>
    </row>
    <row r="121" spans="4:13" x14ac:dyDescent="0.2">
      <c r="D121" t="s">
        <v>265</v>
      </c>
      <c r="E121" s="92">
        <v>-2.0679999999999801</v>
      </c>
      <c r="F121" s="167">
        <v>733043.738399775</v>
      </c>
      <c r="G121" s="92"/>
      <c r="H121" t="s">
        <v>265</v>
      </c>
      <c r="I121" s="98">
        <v>22.431999999999999</v>
      </c>
      <c r="J121">
        <v>610900.96634400298</v>
      </c>
      <c r="K121" s="89">
        <f>VLOOKUP(H121,$D$3:F192,3,FALSE)</f>
        <v>733043.738399775</v>
      </c>
      <c r="L121" s="94">
        <f t="shared" si="2"/>
        <v>122142.77205577202</v>
      </c>
      <c r="M121" s="89">
        <f t="shared" si="3"/>
        <v>278950.33977420838</v>
      </c>
    </row>
    <row r="122" spans="4:13" x14ac:dyDescent="0.2">
      <c r="D122" t="s">
        <v>316</v>
      </c>
      <c r="E122" s="92">
        <v>7.2971999999999995E-2</v>
      </c>
      <c r="F122" s="167">
        <v>1217.48328050591</v>
      </c>
      <c r="G122" s="92"/>
      <c r="H122" t="s">
        <v>316</v>
      </c>
      <c r="I122" s="98">
        <v>7.2971999999999995E-2</v>
      </c>
      <c r="J122">
        <v>1202.76219900665</v>
      </c>
      <c r="K122" s="89">
        <f>VLOOKUP(H122,$D$3:F193,3,FALSE)</f>
        <v>1217.48328050591</v>
      </c>
      <c r="L122" s="94">
        <f t="shared" si="2"/>
        <v>14.721081499259981</v>
      </c>
      <c r="M122" s="89">
        <f t="shared" si="3"/>
        <v>278965.06085570762</v>
      </c>
    </row>
    <row r="123" spans="4:13" x14ac:dyDescent="0.2">
      <c r="D123" t="s">
        <v>388</v>
      </c>
      <c r="E123" s="92">
        <v>2.00000000000001E-3</v>
      </c>
      <c r="F123" s="167">
        <v>5648.5476910895104</v>
      </c>
      <c r="G123" s="92"/>
      <c r="H123" t="s">
        <v>388</v>
      </c>
      <c r="I123" s="98">
        <v>2.00000000000001E-3</v>
      </c>
      <c r="J123">
        <v>5649.2239971683302</v>
      </c>
      <c r="K123" s="89">
        <f>VLOOKUP(H123,$D$3:F194,3,FALSE)</f>
        <v>5648.5476910895104</v>
      </c>
      <c r="L123" s="94">
        <f t="shared" si="2"/>
        <v>-0.67630607881983451</v>
      </c>
      <c r="M123" s="89">
        <f t="shared" si="3"/>
        <v>278964.38454962883</v>
      </c>
    </row>
    <row r="124" spans="4:13" x14ac:dyDescent="0.2">
      <c r="D124" t="s">
        <v>389</v>
      </c>
      <c r="E124" s="92">
        <v>-1.0409999999999999E-17</v>
      </c>
      <c r="F124" s="167">
        <v>140.598355848506</v>
      </c>
      <c r="G124" s="92"/>
      <c r="H124" t="s">
        <v>389</v>
      </c>
      <c r="I124" s="98">
        <v>-1.0409999999999999E-17</v>
      </c>
      <c r="J124">
        <v>140.588709680476</v>
      </c>
      <c r="K124" s="89">
        <f>VLOOKUP(H124,$D$3:F195,3,FALSE)</f>
        <v>140.598355848506</v>
      </c>
      <c r="L124" s="94">
        <f t="shared" si="2"/>
        <v>9.6461680300024E-3</v>
      </c>
      <c r="M124" s="89">
        <f t="shared" si="3"/>
        <v>278964.39419579686</v>
      </c>
    </row>
    <row r="125" spans="4:13" x14ac:dyDescent="0.2">
      <c r="D125" t="s">
        <v>317</v>
      </c>
      <c r="E125" s="92">
        <v>0.38500000000000001</v>
      </c>
      <c r="F125" s="167">
        <v>-6063.47404814523</v>
      </c>
      <c r="G125" s="92"/>
      <c r="H125" t="s">
        <v>317</v>
      </c>
      <c r="I125" s="98">
        <v>0.38500000000000001</v>
      </c>
      <c r="J125">
        <v>-7482.2937538029801</v>
      </c>
      <c r="K125" s="89">
        <f>VLOOKUP(H125,$D$3:F196,3,FALSE)</f>
        <v>-6063.47404814523</v>
      </c>
      <c r="L125" s="94">
        <f t="shared" si="2"/>
        <v>1418.8197056577501</v>
      </c>
      <c r="M125" s="89">
        <f t="shared" si="3"/>
        <v>280383.21390145464</v>
      </c>
    </row>
    <row r="126" spans="4:13" x14ac:dyDescent="0.2">
      <c r="D126" t="s">
        <v>247</v>
      </c>
      <c r="E126" s="92">
        <v>-31.338999999999999</v>
      </c>
      <c r="F126" s="167">
        <v>-608158.67249528295</v>
      </c>
      <c r="G126" s="92"/>
      <c r="H126" t="s">
        <v>247</v>
      </c>
      <c r="I126" s="98">
        <v>-61.639000000000003</v>
      </c>
      <c r="J126">
        <v>-261545.40996296299</v>
      </c>
      <c r="K126" s="89">
        <f>VLOOKUP(H126,$D$3:F197,3,FALSE)</f>
        <v>-608158.67249528295</v>
      </c>
      <c r="L126" s="94">
        <f t="shared" si="2"/>
        <v>-346613.26253231999</v>
      </c>
      <c r="M126" s="89">
        <f t="shared" si="3"/>
        <v>-66230.048630865349</v>
      </c>
    </row>
    <row r="127" spans="4:13" x14ac:dyDescent="0.2">
      <c r="D127" t="s">
        <v>390</v>
      </c>
      <c r="E127" s="92">
        <v>-2.2204E-16</v>
      </c>
      <c r="F127" s="167">
        <v>1688.1907677105801</v>
      </c>
      <c r="G127" s="92"/>
      <c r="H127" t="s">
        <v>390</v>
      </c>
      <c r="I127" s="98">
        <v>-2.2204E-16</v>
      </c>
      <c r="J127">
        <v>1688.0749443689299</v>
      </c>
      <c r="K127" s="89">
        <f>VLOOKUP(H127,$D$3:F198,3,FALSE)</f>
        <v>1688.1907677105801</v>
      </c>
      <c r="L127" s="94">
        <f t="shared" si="2"/>
        <v>0.11582334165018437</v>
      </c>
      <c r="M127" s="89">
        <f t="shared" si="3"/>
        <v>-66229.932807523699</v>
      </c>
    </row>
    <row r="128" spans="4:13" x14ac:dyDescent="0.2">
      <c r="D128" t="s">
        <v>318</v>
      </c>
      <c r="E128" s="92">
        <v>4.9000000000057199E-2</v>
      </c>
      <c r="F128" s="167">
        <v>140108.191598651</v>
      </c>
      <c r="G128" s="92"/>
      <c r="H128" t="s">
        <v>318</v>
      </c>
      <c r="I128" s="98">
        <v>4.9000000000057199E-2</v>
      </c>
      <c r="J128">
        <v>139939.49464875701</v>
      </c>
      <c r="K128" s="89">
        <f>VLOOKUP(H128,$D$3:F199,3,FALSE)</f>
        <v>140108.191598651</v>
      </c>
      <c r="L128" s="94">
        <f t="shared" si="2"/>
        <v>168.69694989398704</v>
      </c>
      <c r="M128" s="89">
        <f t="shared" si="3"/>
        <v>-66061.235857629712</v>
      </c>
    </row>
    <row r="129" spans="4:13" x14ac:dyDescent="0.2">
      <c r="D129" t="s">
        <v>319</v>
      </c>
      <c r="E129" s="92">
        <v>-8.6292389999999997E-2</v>
      </c>
      <c r="F129" s="167">
        <v>-2115.5490565865398</v>
      </c>
      <c r="G129" s="92"/>
      <c r="H129" t="s">
        <v>319</v>
      </c>
      <c r="I129" s="98">
        <v>-8.6292389999999997E-2</v>
      </c>
      <c r="J129">
        <v>-2015.5370083622399</v>
      </c>
      <c r="K129" s="89">
        <f>VLOOKUP(H129,$D$3:F200,3,FALSE)</f>
        <v>-2115.5490565865398</v>
      </c>
      <c r="L129" s="94">
        <f t="shared" si="2"/>
        <v>-100.01204822429986</v>
      </c>
      <c r="M129" s="89">
        <f t="shared" si="3"/>
        <v>-66161.247905854005</v>
      </c>
    </row>
    <row r="130" spans="4:13" x14ac:dyDescent="0.2">
      <c r="D130" t="s">
        <v>391</v>
      </c>
      <c r="E130" s="92">
        <v>1.5000000000000601E-3</v>
      </c>
      <c r="F130" s="167">
        <v>-768.27795908355597</v>
      </c>
      <c r="G130" s="92"/>
      <c r="H130" t="s">
        <v>391</v>
      </c>
      <c r="I130" s="98">
        <v>1.5000000000000601E-3</v>
      </c>
      <c r="J130">
        <v>-768.44262272282504</v>
      </c>
      <c r="K130" s="89">
        <f>VLOOKUP(H130,$D$3:F201,3,FALSE)</f>
        <v>-768.27795908355597</v>
      </c>
      <c r="L130" s="94">
        <f t="shared" si="2"/>
        <v>0.16466363926906524</v>
      </c>
      <c r="M130" s="89">
        <f t="shared" si="3"/>
        <v>-66161.083242214736</v>
      </c>
    </row>
    <row r="131" spans="4:13" x14ac:dyDescent="0.2">
      <c r="D131" t="s">
        <v>392</v>
      </c>
      <c r="E131" s="92">
        <v>3.0000000000000001E-3</v>
      </c>
      <c r="F131" s="167">
        <v>899.14858588522497</v>
      </c>
      <c r="G131" s="92"/>
      <c r="H131" t="s">
        <v>392</v>
      </c>
      <c r="I131" s="98">
        <v>3.0000000000000001E-3</v>
      </c>
      <c r="J131">
        <v>884.49204247828698</v>
      </c>
      <c r="K131" s="89">
        <f>VLOOKUP(H131,$D$3:F202,3,FALSE)</f>
        <v>899.14858588522497</v>
      </c>
      <c r="L131" s="94">
        <f t="shared" ref="L131:L194" si="4">K131-J131</f>
        <v>14.656543406937999</v>
      </c>
      <c r="M131" s="89">
        <f t="shared" si="3"/>
        <v>-66146.426698807802</v>
      </c>
    </row>
    <row r="132" spans="4:13" x14ac:dyDescent="0.2">
      <c r="D132" t="s">
        <v>393</v>
      </c>
      <c r="E132" s="92">
        <v>3.0000000000001098E-3</v>
      </c>
      <c r="F132" s="167">
        <v>-1100.4612808808199</v>
      </c>
      <c r="G132" s="92"/>
      <c r="H132" t="s">
        <v>393</v>
      </c>
      <c r="I132" s="98">
        <v>3.0000000000001098E-3</v>
      </c>
      <c r="J132">
        <v>-1098.7458415286701</v>
      </c>
      <c r="K132" s="89">
        <f>VLOOKUP(H132,$D$3:F203,3,FALSE)</f>
        <v>-1100.4612808808199</v>
      </c>
      <c r="L132" s="94">
        <f t="shared" si="4"/>
        <v>-1.715439352149815</v>
      </c>
      <c r="M132" s="89">
        <f t="shared" si="3"/>
        <v>-66148.14213815995</v>
      </c>
    </row>
    <row r="133" spans="4:13" x14ac:dyDescent="0.2">
      <c r="D133" t="s">
        <v>261</v>
      </c>
      <c r="E133" s="92">
        <v>0.59199999999999597</v>
      </c>
      <c r="F133" s="167">
        <v>703666.66976330499</v>
      </c>
      <c r="G133" s="92"/>
      <c r="H133" t="s">
        <v>261</v>
      </c>
      <c r="I133" s="98">
        <v>0.59199999999999597</v>
      </c>
      <c r="J133">
        <v>699525.35439222399</v>
      </c>
      <c r="K133" s="89">
        <f>VLOOKUP(H133,$D$3:F204,3,FALSE)</f>
        <v>703666.66976330499</v>
      </c>
      <c r="L133" s="94">
        <f t="shared" si="4"/>
        <v>4141.3153710810002</v>
      </c>
      <c r="M133" s="89">
        <f t="shared" si="3"/>
        <v>-62006.82676707895</v>
      </c>
    </row>
    <row r="134" spans="4:13" x14ac:dyDescent="0.2">
      <c r="D134" t="s">
        <v>394</v>
      </c>
      <c r="E134" s="92">
        <v>-25.563999999999901</v>
      </c>
      <c r="F134" s="167">
        <v>-562049.45211815997</v>
      </c>
      <c r="G134" s="92"/>
      <c r="H134" t="s">
        <v>394</v>
      </c>
      <c r="I134" s="98">
        <v>-30.563999999999901</v>
      </c>
      <c r="J134">
        <v>-352800.31723864999</v>
      </c>
      <c r="K134" s="89">
        <f>VLOOKUP(H134,$D$3:F205,3,FALSE)</f>
        <v>-562049.45211815997</v>
      </c>
      <c r="L134" s="94">
        <f t="shared" si="4"/>
        <v>-209249.13487950998</v>
      </c>
      <c r="M134" s="89">
        <f t="shared" ref="M134:M197" si="5">M133+L134</f>
        <v>-271255.96164658893</v>
      </c>
    </row>
    <row r="135" spans="4:13" x14ac:dyDescent="0.2">
      <c r="D135" t="s">
        <v>395</v>
      </c>
      <c r="E135" s="92">
        <v>8.99999999999892E-2</v>
      </c>
      <c r="F135" s="167">
        <v>-55706.855557413801</v>
      </c>
      <c r="G135" s="92"/>
      <c r="H135" t="s">
        <v>395</v>
      </c>
      <c r="I135" s="98">
        <v>8.99999999999892E-2</v>
      </c>
      <c r="J135">
        <v>-56296.890900175102</v>
      </c>
      <c r="K135" s="89">
        <f>VLOOKUP(H135,$D$3:F206,3,FALSE)</f>
        <v>-55706.855557413801</v>
      </c>
      <c r="L135" s="94">
        <f t="shared" si="4"/>
        <v>590.03534276130085</v>
      </c>
      <c r="M135" s="89">
        <f t="shared" si="5"/>
        <v>-270665.92630382761</v>
      </c>
    </row>
    <row r="136" spans="4:13" x14ac:dyDescent="0.2">
      <c r="D136" t="s">
        <v>396</v>
      </c>
      <c r="E136" s="92">
        <v>-4.4408999999999998E-16</v>
      </c>
      <c r="F136" s="167">
        <v>-8.9244546516274603</v>
      </c>
      <c r="G136" s="92"/>
      <c r="H136" t="s">
        <v>396</v>
      </c>
      <c r="I136" s="98">
        <v>-4.4408999999999998E-16</v>
      </c>
      <c r="J136">
        <v>-8.9238423623319196</v>
      </c>
      <c r="K136" s="89">
        <f>VLOOKUP(H136,$D$3:F207,3,FALSE)</f>
        <v>-8.9244546516274603</v>
      </c>
      <c r="L136" s="94">
        <f t="shared" si="4"/>
        <v>-6.1228929554069111E-4</v>
      </c>
      <c r="M136" s="89">
        <f t="shared" si="5"/>
        <v>-270665.92691611691</v>
      </c>
    </row>
    <row r="137" spans="4:13" x14ac:dyDescent="0.2">
      <c r="D137" t="s">
        <v>320</v>
      </c>
      <c r="E137" s="92">
        <v>-6.0999999999999999E-2</v>
      </c>
      <c r="F137" s="167">
        <v>-4832.3870190766802</v>
      </c>
      <c r="G137" s="92"/>
      <c r="H137" t="s">
        <v>320</v>
      </c>
      <c r="I137" s="98">
        <v>-6.0999999999999999E-2</v>
      </c>
      <c r="J137">
        <v>-4506.4217030232103</v>
      </c>
      <c r="K137" s="89">
        <f>VLOOKUP(H137,$D$3:F208,3,FALSE)</f>
        <v>-4832.3870190766802</v>
      </c>
      <c r="L137" s="94">
        <f t="shared" si="4"/>
        <v>-325.96531605346991</v>
      </c>
      <c r="M137" s="89">
        <f t="shared" si="5"/>
        <v>-270991.89223217039</v>
      </c>
    </row>
    <row r="138" spans="4:13" x14ac:dyDescent="0.2">
      <c r="D138" t="s">
        <v>321</v>
      </c>
      <c r="E138" s="92">
        <v>4.7E-2</v>
      </c>
      <c r="F138" s="167">
        <v>2201.7074495929601</v>
      </c>
      <c r="G138" s="92"/>
      <c r="H138" t="s">
        <v>321</v>
      </c>
      <c r="I138" s="98">
        <v>4.7E-2</v>
      </c>
      <c r="J138">
        <v>2185.0436671601001</v>
      </c>
      <c r="K138" s="89">
        <f>VLOOKUP(H138,$D$3:F209,3,FALSE)</f>
        <v>2201.7074495929601</v>
      </c>
      <c r="L138" s="94">
        <f t="shared" si="4"/>
        <v>16.663782432859989</v>
      </c>
      <c r="M138" s="89">
        <f t="shared" si="5"/>
        <v>-270975.22844973754</v>
      </c>
    </row>
    <row r="139" spans="4:13" x14ac:dyDescent="0.2">
      <c r="D139" t="s">
        <v>397</v>
      </c>
      <c r="E139" s="92">
        <v>3.00000000000002E-3</v>
      </c>
      <c r="F139" s="167">
        <v>62.619330378598498</v>
      </c>
      <c r="G139" s="92"/>
      <c r="H139" t="s">
        <v>397</v>
      </c>
      <c r="I139" s="98">
        <v>3.00000000000002E-3</v>
      </c>
      <c r="J139">
        <v>62.341429053922198</v>
      </c>
      <c r="K139" s="89">
        <f>VLOOKUP(H139,$D$3:F210,3,FALSE)</f>
        <v>62.619330378598498</v>
      </c>
      <c r="L139" s="94">
        <f t="shared" si="4"/>
        <v>0.27790132467630002</v>
      </c>
      <c r="M139" s="89">
        <f t="shared" si="5"/>
        <v>-270974.95054841286</v>
      </c>
    </row>
    <row r="140" spans="4:13" x14ac:dyDescent="0.2">
      <c r="D140" t="s">
        <v>398</v>
      </c>
      <c r="E140" s="92">
        <v>2.3614199999999999E-3</v>
      </c>
      <c r="F140" s="167">
        <v>579.45620726844595</v>
      </c>
      <c r="G140" s="92"/>
      <c r="H140" t="s">
        <v>398</v>
      </c>
      <c r="I140" s="98">
        <v>2.3614199999999999E-3</v>
      </c>
      <c r="J140">
        <v>576.01714616768697</v>
      </c>
      <c r="K140" s="89">
        <f>VLOOKUP(H140,$D$3:F211,3,FALSE)</f>
        <v>579.45620726844595</v>
      </c>
      <c r="L140" s="94">
        <f t="shared" si="4"/>
        <v>3.4390611007589769</v>
      </c>
      <c r="M140" s="89">
        <f t="shared" si="5"/>
        <v>-270971.51148731209</v>
      </c>
    </row>
    <row r="141" spans="4:13" x14ac:dyDescent="0.2">
      <c r="D141" t="s">
        <v>322</v>
      </c>
      <c r="E141" s="92">
        <v>9.8000000000000004E-2</v>
      </c>
      <c r="F141" s="167">
        <v>2294.61416173118</v>
      </c>
      <c r="G141" s="92"/>
      <c r="H141" t="s">
        <v>322</v>
      </c>
      <c r="I141" s="98">
        <v>9.8000000000000004E-2</v>
      </c>
      <c r="J141">
        <v>2311.03733551598</v>
      </c>
      <c r="K141" s="89">
        <f>VLOOKUP(H141,$D$3:F212,3,FALSE)</f>
        <v>2294.61416173118</v>
      </c>
      <c r="L141" s="94">
        <f t="shared" si="4"/>
        <v>-16.423173784799928</v>
      </c>
      <c r="M141" s="89">
        <f t="shared" si="5"/>
        <v>-270987.93466109689</v>
      </c>
    </row>
    <row r="142" spans="4:13" x14ac:dyDescent="0.2">
      <c r="D142" t="s">
        <v>399</v>
      </c>
      <c r="E142" s="92">
        <v>8.9999999999979402E-2</v>
      </c>
      <c r="F142" s="167">
        <v>301804.33452458598</v>
      </c>
      <c r="G142" s="92"/>
      <c r="H142" t="s">
        <v>399</v>
      </c>
      <c r="I142" s="98">
        <v>8.9999999999979402E-2</v>
      </c>
      <c r="J142">
        <v>301135.43207678501</v>
      </c>
      <c r="K142" s="89">
        <f>VLOOKUP(H142,$D$3:F213,3,FALSE)</f>
        <v>301804.33452458598</v>
      </c>
      <c r="L142" s="94">
        <f t="shared" si="4"/>
        <v>668.90244780096691</v>
      </c>
      <c r="M142" s="89">
        <f t="shared" si="5"/>
        <v>-270319.03221329593</v>
      </c>
    </row>
    <row r="143" spans="4:13" x14ac:dyDescent="0.2">
      <c r="D143" t="s">
        <v>323</v>
      </c>
      <c r="E143" s="92">
        <v>-0.04</v>
      </c>
      <c r="F143" s="167">
        <v>-10180.357558535299</v>
      </c>
      <c r="G143" s="92"/>
      <c r="H143" t="s">
        <v>323</v>
      </c>
      <c r="I143" s="98">
        <v>-0.04</v>
      </c>
      <c r="J143">
        <v>-10016.8479691742</v>
      </c>
      <c r="K143" s="89">
        <f>VLOOKUP(H143,$D$3:F214,3,FALSE)</f>
        <v>-10180.357558535299</v>
      </c>
      <c r="L143" s="94">
        <f t="shared" si="4"/>
        <v>-163.50958936109964</v>
      </c>
      <c r="M143" s="89">
        <f t="shared" si="5"/>
        <v>-270482.54180265701</v>
      </c>
    </row>
    <row r="144" spans="4:13" x14ac:dyDescent="0.2">
      <c r="D144" t="s">
        <v>400</v>
      </c>
      <c r="E144" s="92">
        <v>1E-3</v>
      </c>
      <c r="F144" s="167">
        <v>56.653951838405199</v>
      </c>
      <c r="G144" s="92"/>
      <c r="H144" t="s">
        <v>400</v>
      </c>
      <c r="I144" s="98">
        <v>1E-3</v>
      </c>
      <c r="J144">
        <v>57.211153560785498</v>
      </c>
      <c r="K144" s="89">
        <f>VLOOKUP(H144,$D$3:F215,3,FALSE)</f>
        <v>56.653951838405199</v>
      </c>
      <c r="L144" s="94">
        <f t="shared" si="4"/>
        <v>-0.55720172238029875</v>
      </c>
      <c r="M144" s="89">
        <f t="shared" si="5"/>
        <v>-270483.09900437942</v>
      </c>
    </row>
    <row r="145" spans="4:13" x14ac:dyDescent="0.2">
      <c r="D145" t="s">
        <v>324</v>
      </c>
      <c r="E145" s="92">
        <v>-1.2E-2</v>
      </c>
      <c r="F145" s="167">
        <v>-604.31694581793295</v>
      </c>
      <c r="G145" s="92"/>
      <c r="H145" t="s">
        <v>324</v>
      </c>
      <c r="I145" s="98">
        <v>-1.2E-2</v>
      </c>
      <c r="J145">
        <v>-530.06256037537196</v>
      </c>
      <c r="K145" s="89">
        <f>VLOOKUP(H145,$D$3:F216,3,FALSE)</f>
        <v>-604.31694581793295</v>
      </c>
      <c r="L145" s="94">
        <f t="shared" si="4"/>
        <v>-74.254385442560988</v>
      </c>
      <c r="M145" s="89">
        <f t="shared" si="5"/>
        <v>-270557.353389822</v>
      </c>
    </row>
    <row r="146" spans="4:13" x14ac:dyDescent="0.2">
      <c r="D146" t="s">
        <v>401</v>
      </c>
      <c r="E146" s="92">
        <v>-8.0000000000000002E-3</v>
      </c>
      <c r="F146" s="167">
        <v>-278.78705324028101</v>
      </c>
      <c r="G146" s="92"/>
      <c r="H146" t="s">
        <v>401</v>
      </c>
      <c r="I146" s="98">
        <v>-8.0000000000000002E-3</v>
      </c>
      <c r="J146">
        <v>-280.02361182478501</v>
      </c>
      <c r="K146" s="89">
        <f>VLOOKUP(H146,$D$3:F217,3,FALSE)</f>
        <v>-278.78705324028101</v>
      </c>
      <c r="L146" s="94">
        <f t="shared" si="4"/>
        <v>1.2365585845039959</v>
      </c>
      <c r="M146" s="89">
        <f t="shared" si="5"/>
        <v>-270556.11683123751</v>
      </c>
    </row>
    <row r="147" spans="4:13" x14ac:dyDescent="0.2">
      <c r="D147" t="s">
        <v>325</v>
      </c>
      <c r="E147" s="92">
        <v>0.16899999999999901</v>
      </c>
      <c r="F147" s="167">
        <v>1383.31196245621</v>
      </c>
      <c r="G147" s="92"/>
      <c r="H147" t="s">
        <v>325</v>
      </c>
      <c r="I147" s="98">
        <v>0.16899999999999901</v>
      </c>
      <c r="J147">
        <v>647.58985834475595</v>
      </c>
      <c r="K147" s="89">
        <f>VLOOKUP(H147,$D$3:F218,3,FALSE)</f>
        <v>1383.31196245621</v>
      </c>
      <c r="L147" s="94">
        <f t="shared" si="4"/>
        <v>735.72210411145409</v>
      </c>
      <c r="M147" s="89">
        <f t="shared" si="5"/>
        <v>-269820.39472712605</v>
      </c>
    </row>
    <row r="148" spans="4:13" x14ac:dyDescent="0.2">
      <c r="D148" t="s">
        <v>402</v>
      </c>
      <c r="E148" s="92">
        <v>1E-3</v>
      </c>
      <c r="F148" s="167">
        <v>16.698680066387201</v>
      </c>
      <c r="G148" s="92"/>
      <c r="H148" t="s">
        <v>402</v>
      </c>
      <c r="I148" s="98">
        <v>1E-3</v>
      </c>
      <c r="J148">
        <v>16.849981890292799</v>
      </c>
      <c r="K148" s="89">
        <f>VLOOKUP(H148,$D$3:F219,3,FALSE)</f>
        <v>16.698680066387201</v>
      </c>
      <c r="L148" s="94">
        <f t="shared" si="4"/>
        <v>-0.1513018239055981</v>
      </c>
      <c r="M148" s="89">
        <f t="shared" si="5"/>
        <v>-269820.54602894996</v>
      </c>
    </row>
    <row r="149" spans="4:13" x14ac:dyDescent="0.2">
      <c r="D149" t="s">
        <v>326</v>
      </c>
      <c r="E149" s="92">
        <v>0.10965800000000001</v>
      </c>
      <c r="F149" s="167">
        <v>3556.2055731166301</v>
      </c>
      <c r="G149" s="92"/>
      <c r="H149" t="s">
        <v>326</v>
      </c>
      <c r="I149" s="98">
        <v>0.10965800000000001</v>
      </c>
      <c r="J149">
        <v>3548.1970672452399</v>
      </c>
      <c r="K149" s="89">
        <f>VLOOKUP(H149,$D$3:F220,3,FALSE)</f>
        <v>3556.2055731166301</v>
      </c>
      <c r="L149" s="94">
        <f t="shared" si="4"/>
        <v>8.0085058713902981</v>
      </c>
      <c r="M149" s="89">
        <f t="shared" si="5"/>
        <v>-269812.53752307856</v>
      </c>
    </row>
    <row r="150" spans="4:13" x14ac:dyDescent="0.2">
      <c r="D150" t="s">
        <v>403</v>
      </c>
      <c r="E150" s="92">
        <v>0</v>
      </c>
      <c r="F150" s="167">
        <v>-20.337718297270101</v>
      </c>
      <c r="G150" s="92"/>
      <c r="H150" t="s">
        <v>403</v>
      </c>
      <c r="I150" s="98">
        <v>0</v>
      </c>
      <c r="J150">
        <v>-20.336322967669901</v>
      </c>
      <c r="K150" s="89">
        <f>VLOOKUP(H150,$D$3:F221,3,FALSE)</f>
        <v>-20.337718297270101</v>
      </c>
      <c r="L150" s="94">
        <f t="shared" si="4"/>
        <v>-1.395329600200057E-3</v>
      </c>
      <c r="M150" s="89">
        <f t="shared" si="5"/>
        <v>-269812.53891840816</v>
      </c>
    </row>
    <row r="151" spans="4:13" x14ac:dyDescent="0.2">
      <c r="D151" t="s">
        <v>404</v>
      </c>
      <c r="E151" s="92">
        <v>-8.0000000000000002E-3</v>
      </c>
      <c r="F151" s="167">
        <v>-2352.24557423339</v>
      </c>
      <c r="G151" s="92"/>
      <c r="H151" t="s">
        <v>404</v>
      </c>
      <c r="I151" s="98">
        <v>-8.0000000000000002E-3</v>
      </c>
      <c r="J151">
        <v>-2357.92401898254</v>
      </c>
      <c r="K151" s="89">
        <f>VLOOKUP(H151,$D$3:F222,3,FALSE)</f>
        <v>-2352.24557423339</v>
      </c>
      <c r="L151" s="94">
        <f t="shared" si="4"/>
        <v>5.6784447491500032</v>
      </c>
      <c r="M151" s="89">
        <f t="shared" si="5"/>
        <v>-269806.86047365901</v>
      </c>
    </row>
    <row r="152" spans="4:13" x14ac:dyDescent="0.2">
      <c r="D152" t="s">
        <v>327</v>
      </c>
      <c r="E152" s="92">
        <v>-25.35</v>
      </c>
      <c r="F152" s="167">
        <v>179379.25157823501</v>
      </c>
      <c r="G152" s="92"/>
      <c r="H152" t="s">
        <v>327</v>
      </c>
      <c r="I152" s="98">
        <v>-25.35</v>
      </c>
      <c r="J152">
        <v>399593.74555608397</v>
      </c>
      <c r="K152" s="89">
        <f>VLOOKUP(H152,$D$3:F223,3,FALSE)</f>
        <v>179379.25157823501</v>
      </c>
      <c r="L152" s="94">
        <f t="shared" si="4"/>
        <v>-220214.49397784896</v>
      </c>
      <c r="M152" s="89">
        <f t="shared" si="5"/>
        <v>-490021.35445150797</v>
      </c>
    </row>
    <row r="153" spans="4:13" x14ac:dyDescent="0.2">
      <c r="D153" t="s">
        <v>405</v>
      </c>
      <c r="E153" s="92">
        <v>0</v>
      </c>
      <c r="F153" s="167">
        <v>0</v>
      </c>
      <c r="G153" s="92"/>
      <c r="H153" t="s">
        <v>405</v>
      </c>
      <c r="I153" s="98">
        <v>0</v>
      </c>
      <c r="J153">
        <v>0</v>
      </c>
      <c r="K153" s="89">
        <f>VLOOKUP(H153,$D$3:F224,3,FALSE)</f>
        <v>0</v>
      </c>
      <c r="L153" s="94">
        <f t="shared" si="4"/>
        <v>0</v>
      </c>
      <c r="M153" s="89">
        <f t="shared" si="5"/>
        <v>-490021.35445150797</v>
      </c>
    </row>
    <row r="154" spans="4:13" x14ac:dyDescent="0.2">
      <c r="D154" t="s">
        <v>328</v>
      </c>
      <c r="E154" s="92">
        <v>-4.9000000000001299E-2</v>
      </c>
      <c r="F154" s="167">
        <v>25486.318350460799</v>
      </c>
      <c r="G154" s="92"/>
      <c r="H154" t="s">
        <v>328</v>
      </c>
      <c r="I154" s="98">
        <v>-4.9000000000001299E-2</v>
      </c>
      <c r="J154">
        <v>25911.342837977201</v>
      </c>
      <c r="K154" s="89">
        <f>VLOOKUP(H154,$D$3:F225,3,FALSE)</f>
        <v>25486.318350460799</v>
      </c>
      <c r="L154" s="94">
        <f t="shared" si="4"/>
        <v>-425.02448751640259</v>
      </c>
      <c r="M154" s="89">
        <f t="shared" si="5"/>
        <v>-490446.37893902435</v>
      </c>
    </row>
    <row r="155" spans="4:13" x14ac:dyDescent="0.2">
      <c r="D155" t="s">
        <v>329</v>
      </c>
      <c r="E155" s="92">
        <v>-3.6999999999999998E-2</v>
      </c>
      <c r="F155" s="167">
        <v>-8006.0245724945999</v>
      </c>
      <c r="G155" s="92"/>
      <c r="H155" t="s">
        <v>329</v>
      </c>
      <c r="I155" s="98">
        <v>-3.6999999999999998E-2</v>
      </c>
      <c r="J155">
        <v>-8028.12486544286</v>
      </c>
      <c r="K155" s="89">
        <f>VLOOKUP(H155,$D$3:F226,3,FALSE)</f>
        <v>-8006.0245724945999</v>
      </c>
      <c r="L155" s="94">
        <f t="shared" si="4"/>
        <v>22.100292948260176</v>
      </c>
      <c r="M155" s="89">
        <f t="shared" si="5"/>
        <v>-490424.2786460761</v>
      </c>
    </row>
    <row r="156" spans="4:13" x14ac:dyDescent="0.2">
      <c r="D156" t="s">
        <v>406</v>
      </c>
      <c r="E156" s="92">
        <v>4.0000000000000001E-3</v>
      </c>
      <c r="F156" s="167">
        <v>443.17520346829599</v>
      </c>
      <c r="G156" s="92"/>
      <c r="H156" t="s">
        <v>406</v>
      </c>
      <c r="I156" s="98">
        <v>4.0000000000000001E-3</v>
      </c>
      <c r="J156">
        <v>436.10647500257301</v>
      </c>
      <c r="K156" s="89">
        <f>VLOOKUP(H156,$D$3:F227,3,FALSE)</f>
        <v>443.17520346829599</v>
      </c>
      <c r="L156" s="94">
        <f t="shared" si="4"/>
        <v>7.0687284657229839</v>
      </c>
      <c r="M156" s="89">
        <f t="shared" si="5"/>
        <v>-490417.20991761039</v>
      </c>
    </row>
    <row r="157" spans="4:13" x14ac:dyDescent="0.2">
      <c r="D157" t="s">
        <v>330</v>
      </c>
      <c r="E157" s="92">
        <v>4.7999999999998301E-2</v>
      </c>
      <c r="F157" s="167">
        <v>-3256.0354184059001</v>
      </c>
      <c r="G157" s="92"/>
      <c r="H157" t="s">
        <v>330</v>
      </c>
      <c r="I157" s="98">
        <v>4.7999999999998301E-2</v>
      </c>
      <c r="J157">
        <v>-3705.1655034390901</v>
      </c>
      <c r="K157" s="89">
        <f>VLOOKUP(H157,$D$3:F228,3,FALSE)</f>
        <v>-3256.0354184059001</v>
      </c>
      <c r="L157" s="94">
        <f t="shared" si="4"/>
        <v>449.13008503318997</v>
      </c>
      <c r="M157" s="89">
        <f t="shared" si="5"/>
        <v>-489968.0798325772</v>
      </c>
    </row>
    <row r="158" spans="4:13" x14ac:dyDescent="0.2">
      <c r="D158" t="s">
        <v>331</v>
      </c>
      <c r="E158" s="92">
        <v>1.29999999999919E-2</v>
      </c>
      <c r="F158" s="167">
        <v>-1445.06848724204</v>
      </c>
      <c r="G158" s="92"/>
      <c r="H158" t="s">
        <v>331</v>
      </c>
      <c r="I158" s="98">
        <v>1.29999999999919E-2</v>
      </c>
      <c r="J158">
        <v>-1528.81350171083</v>
      </c>
      <c r="K158" s="89">
        <f>VLOOKUP(H158,$D$3:F229,3,FALSE)</f>
        <v>-1445.06848724204</v>
      </c>
      <c r="L158" s="94">
        <f t="shared" si="4"/>
        <v>83.745014468790032</v>
      </c>
      <c r="M158" s="89">
        <f t="shared" si="5"/>
        <v>-489884.33481810841</v>
      </c>
    </row>
    <row r="159" spans="4:13" x14ac:dyDescent="0.2">
      <c r="D159" t="s">
        <v>407</v>
      </c>
      <c r="E159" s="92">
        <v>0</v>
      </c>
      <c r="F159" s="167">
        <v>-2.5495839654468E-3</v>
      </c>
      <c r="G159" s="92"/>
      <c r="H159" t="s">
        <v>407</v>
      </c>
      <c r="I159" s="98">
        <v>0</v>
      </c>
      <c r="J159">
        <v>-2.5494097499176899E-3</v>
      </c>
      <c r="K159" s="89">
        <f>VLOOKUP(H159,$D$3:F230,3,FALSE)</f>
        <v>-2.5495839654468E-3</v>
      </c>
      <c r="L159" s="94">
        <f t="shared" si="4"/>
        <v>-1.7421552911010482E-7</v>
      </c>
      <c r="M159" s="89">
        <f t="shared" si="5"/>
        <v>-489884.33481828263</v>
      </c>
    </row>
    <row r="160" spans="4:13" x14ac:dyDescent="0.2">
      <c r="D160" t="s">
        <v>332</v>
      </c>
      <c r="E160" s="92">
        <v>-0.33600000000000202</v>
      </c>
      <c r="F160" s="167">
        <v>218258.74059807701</v>
      </c>
      <c r="G160" s="92"/>
      <c r="H160" t="s">
        <v>332</v>
      </c>
      <c r="I160" s="98">
        <v>-0.33600000000000202</v>
      </c>
      <c r="J160">
        <v>221614.13397102701</v>
      </c>
      <c r="K160" s="89">
        <f>VLOOKUP(H160,$D$3:F231,3,FALSE)</f>
        <v>218258.74059807701</v>
      </c>
      <c r="L160" s="94">
        <f t="shared" si="4"/>
        <v>-3355.3933729499986</v>
      </c>
      <c r="M160" s="89">
        <f t="shared" si="5"/>
        <v>-493239.72819123266</v>
      </c>
    </row>
    <row r="161" spans="4:13" x14ac:dyDescent="0.2">
      <c r="D161" t="s">
        <v>333</v>
      </c>
      <c r="E161" s="92">
        <v>-19.861999999999998</v>
      </c>
      <c r="F161" s="167">
        <v>-414566.253258963</v>
      </c>
      <c r="G161" s="92"/>
      <c r="H161" t="s">
        <v>333</v>
      </c>
      <c r="I161" s="98">
        <v>-19.861999999999998</v>
      </c>
      <c r="J161">
        <v>-208992.181375571</v>
      </c>
      <c r="K161" s="89">
        <f>VLOOKUP(H161,$D$3:F232,3,FALSE)</f>
        <v>-414566.253258963</v>
      </c>
      <c r="L161" s="94">
        <f t="shared" si="4"/>
        <v>-205574.071883392</v>
      </c>
      <c r="M161" s="89">
        <f t="shared" si="5"/>
        <v>-698813.8000746246</v>
      </c>
    </row>
    <row r="162" spans="4:13" x14ac:dyDescent="0.2">
      <c r="D162" t="s">
        <v>408</v>
      </c>
      <c r="E162" s="92">
        <v>-2.664535E-14</v>
      </c>
      <c r="F162" s="167">
        <v>315613.09125367599</v>
      </c>
      <c r="G162" s="92"/>
      <c r="H162" t="s">
        <v>408</v>
      </c>
      <c r="I162" s="98">
        <v>-2.664535E-14</v>
      </c>
      <c r="J162">
        <v>315591.43767963903</v>
      </c>
      <c r="K162" s="89">
        <f>VLOOKUP(H162,$D$3:F233,3,FALSE)</f>
        <v>315613.09125367599</v>
      </c>
      <c r="L162" s="94">
        <f t="shared" si="4"/>
        <v>21.653574036958162</v>
      </c>
      <c r="M162" s="89">
        <f t="shared" si="5"/>
        <v>-698792.1465005877</v>
      </c>
    </row>
    <row r="163" spans="4:13" x14ac:dyDescent="0.2">
      <c r="D163" t="s">
        <v>334</v>
      </c>
      <c r="E163" s="92">
        <v>-0.434999999999999</v>
      </c>
      <c r="F163" s="167">
        <v>-12881.1785917706</v>
      </c>
      <c r="G163" s="92"/>
      <c r="H163" t="s">
        <v>334</v>
      </c>
      <c r="I163" s="98">
        <v>-0.434999999999999</v>
      </c>
      <c r="J163">
        <v>-8239.36823431222</v>
      </c>
      <c r="K163" s="89">
        <f>VLOOKUP(H163,$D$3:F234,3,FALSE)</f>
        <v>-12881.1785917706</v>
      </c>
      <c r="L163" s="94">
        <f t="shared" si="4"/>
        <v>-4641.8103574583802</v>
      </c>
      <c r="M163" s="89">
        <f t="shared" si="5"/>
        <v>-703433.95685804612</v>
      </c>
    </row>
    <row r="164" spans="4:13" x14ac:dyDescent="0.2">
      <c r="D164" t="s">
        <v>335</v>
      </c>
      <c r="E164" s="92">
        <v>-2.5000000000000001E-2</v>
      </c>
      <c r="F164" s="167">
        <v>-10507.9548784939</v>
      </c>
      <c r="G164" s="92"/>
      <c r="H164" t="s">
        <v>335</v>
      </c>
      <c r="I164" s="98">
        <v>-2.5000000000000001E-2</v>
      </c>
      <c r="J164">
        <v>-10503.152540737699</v>
      </c>
      <c r="K164" s="89">
        <f>VLOOKUP(H164,$D$3:F235,3,FALSE)</f>
        <v>-10507.9548784939</v>
      </c>
      <c r="L164" s="94">
        <f t="shared" si="4"/>
        <v>-4.8023377562003589</v>
      </c>
      <c r="M164" s="89">
        <f t="shared" si="5"/>
        <v>-703438.75919580227</v>
      </c>
    </row>
    <row r="165" spans="4:13" x14ac:dyDescent="0.2">
      <c r="D165" t="s">
        <v>336</v>
      </c>
      <c r="E165" s="92">
        <v>0.15999999999999701</v>
      </c>
      <c r="F165" s="167">
        <v>145129.76754635799</v>
      </c>
      <c r="G165" s="92"/>
      <c r="H165" t="s">
        <v>336</v>
      </c>
      <c r="I165" s="98">
        <v>0.15999999999999701</v>
      </c>
      <c r="J165">
        <v>144060.68831480001</v>
      </c>
      <c r="K165" s="89">
        <f>VLOOKUP(H165,$D$3:F236,3,FALSE)</f>
        <v>145129.76754635799</v>
      </c>
      <c r="L165" s="94">
        <f t="shared" si="4"/>
        <v>1069.0792315579893</v>
      </c>
      <c r="M165" s="89">
        <f t="shared" si="5"/>
        <v>-702369.67996424425</v>
      </c>
    </row>
    <row r="166" spans="4:13" x14ac:dyDescent="0.2">
      <c r="D166" t="s">
        <v>344</v>
      </c>
      <c r="E166" s="92">
        <v>-0.45200000000000001</v>
      </c>
      <c r="F166" s="167">
        <v>-49563.955725312197</v>
      </c>
      <c r="G166" s="92"/>
      <c r="H166" t="s">
        <v>344</v>
      </c>
      <c r="I166" s="98">
        <v>-0.45200000000000001</v>
      </c>
      <c r="J166">
        <v>-44741.251442813897</v>
      </c>
      <c r="K166" s="89">
        <f>VLOOKUP(H166,$D$3:F237,3,FALSE)</f>
        <v>-49563.955725312197</v>
      </c>
      <c r="L166" s="94">
        <f t="shared" si="4"/>
        <v>-4822.7042824983</v>
      </c>
      <c r="M166" s="89">
        <f t="shared" si="5"/>
        <v>-707192.38424674259</v>
      </c>
    </row>
    <row r="167" spans="4:13" x14ac:dyDescent="0.2">
      <c r="D167" t="s">
        <v>409</v>
      </c>
      <c r="E167" s="92">
        <v>0</v>
      </c>
      <c r="F167" s="167">
        <v>-6.42269732634304E-3</v>
      </c>
      <c r="G167" s="92"/>
      <c r="H167" t="s">
        <v>409</v>
      </c>
      <c r="I167" s="98">
        <v>0</v>
      </c>
      <c r="J167">
        <v>-6.4222567416436496E-3</v>
      </c>
      <c r="K167" s="89">
        <f>VLOOKUP(H167,$D$3:F238,3,FALSE)</f>
        <v>-6.42269732634304E-3</v>
      </c>
      <c r="L167" s="94">
        <f t="shared" si="4"/>
        <v>-4.4058469939045608E-7</v>
      </c>
      <c r="M167" s="89">
        <f t="shared" si="5"/>
        <v>-707192.38424718322</v>
      </c>
    </row>
    <row r="168" spans="4:13" x14ac:dyDescent="0.2">
      <c r="D168" t="s">
        <v>337</v>
      </c>
      <c r="E168" s="92">
        <v>-8.8817999999999997E-16</v>
      </c>
      <c r="F168" s="167">
        <v>-308044.04178808897</v>
      </c>
      <c r="G168" s="92"/>
      <c r="H168" t="s">
        <v>337</v>
      </c>
      <c r="I168" s="98">
        <v>-8.8817999999999997E-16</v>
      </c>
      <c r="J168">
        <v>-308022.907511205</v>
      </c>
      <c r="K168" s="89">
        <f>VLOOKUP(H168,$D$3:F239,3,FALSE)</f>
        <v>-308044.04178808897</v>
      </c>
      <c r="L168" s="94">
        <f t="shared" si="4"/>
        <v>-21.134276883967686</v>
      </c>
      <c r="M168" s="89">
        <f t="shared" si="5"/>
        <v>-707213.51852406724</v>
      </c>
    </row>
    <row r="169" spans="4:13" x14ac:dyDescent="0.2">
      <c r="D169" t="s">
        <v>410</v>
      </c>
      <c r="E169" s="92">
        <v>0</v>
      </c>
      <c r="F169" s="167">
        <v>138222.45802824799</v>
      </c>
      <c r="G169" s="92"/>
      <c r="H169" t="s">
        <v>410</v>
      </c>
      <c r="I169" s="98">
        <v>0</v>
      </c>
      <c r="J169">
        <v>138212.97486578199</v>
      </c>
      <c r="K169" s="89">
        <f>VLOOKUP(H169,$D$3:F240,3,FALSE)</f>
        <v>138222.45802824799</v>
      </c>
      <c r="L169" s="94">
        <f t="shared" si="4"/>
        <v>9.4831624660000671</v>
      </c>
      <c r="M169" s="89">
        <f t="shared" si="5"/>
        <v>-707204.03536160127</v>
      </c>
    </row>
    <row r="170" spans="4:13" x14ac:dyDescent="0.2">
      <c r="D170" t="s">
        <v>411</v>
      </c>
      <c r="E170" s="92">
        <v>-1.6167600000000001E-15</v>
      </c>
      <c r="F170" s="167">
        <v>4.5097310603239302E-3</v>
      </c>
      <c r="G170" s="92"/>
      <c r="H170" t="s">
        <v>411</v>
      </c>
      <c r="I170" s="98">
        <v>-1.6167600000000001E-15</v>
      </c>
      <c r="J170">
        <v>4.50942373026919E-3</v>
      </c>
      <c r="K170" s="89">
        <f>VLOOKUP(H170,$D$3:F241,3,FALSE)</f>
        <v>4.5097310603239302E-3</v>
      </c>
      <c r="L170" s="94">
        <f t="shared" si="4"/>
        <v>3.0733005474022079E-7</v>
      </c>
      <c r="M170" s="89">
        <f t="shared" si="5"/>
        <v>-707204.03536129394</v>
      </c>
    </row>
    <row r="171" spans="4:13" x14ac:dyDescent="0.2">
      <c r="D171" t="s">
        <v>412</v>
      </c>
      <c r="E171" s="92">
        <v>0</v>
      </c>
      <c r="F171" s="167">
        <v>2.9360929329413899E-3</v>
      </c>
      <c r="G171" s="92"/>
      <c r="H171" t="s">
        <v>412</v>
      </c>
      <c r="I171" s="98">
        <v>0</v>
      </c>
      <c r="J171">
        <v>2.9358939646044698E-3</v>
      </c>
      <c r="K171" s="89">
        <f>VLOOKUP(H171,$D$3:F242,3,FALSE)</f>
        <v>2.9360929329413899E-3</v>
      </c>
      <c r="L171" s="94">
        <f t="shared" si="4"/>
        <v>1.9896833692006205E-7</v>
      </c>
      <c r="M171" s="89">
        <f t="shared" si="5"/>
        <v>-707204.03536109498</v>
      </c>
    </row>
    <row r="172" spans="4:13" x14ac:dyDescent="0.2">
      <c r="D172" t="s">
        <v>413</v>
      </c>
      <c r="E172" s="92">
        <v>0</v>
      </c>
      <c r="F172" s="167">
        <v>6.8109207545603602E-3</v>
      </c>
      <c r="G172" s="92"/>
      <c r="H172" t="s">
        <v>413</v>
      </c>
      <c r="I172" s="98">
        <v>0</v>
      </c>
      <c r="J172">
        <v>6.8104534614690203E-3</v>
      </c>
      <c r="K172" s="89">
        <f>VLOOKUP(H172,$D$3:F243,3,FALSE)</f>
        <v>6.8109207545603602E-3</v>
      </c>
      <c r="L172" s="94">
        <f t="shared" si="4"/>
        <v>4.6729309133991537E-7</v>
      </c>
      <c r="M172" s="89">
        <f t="shared" si="5"/>
        <v>-707204.03536062769</v>
      </c>
    </row>
    <row r="173" spans="4:13" x14ac:dyDescent="0.2">
      <c r="D173" t="s">
        <v>414</v>
      </c>
      <c r="E173" s="92">
        <v>0</v>
      </c>
      <c r="F173" s="167">
        <v>-4.71235276199877E-3</v>
      </c>
      <c r="G173" s="92"/>
      <c r="H173" t="s">
        <v>414</v>
      </c>
      <c r="I173" s="98">
        <v>0</v>
      </c>
      <c r="J173">
        <v>-4.7120314557105303E-3</v>
      </c>
      <c r="K173" s="89">
        <f>VLOOKUP(H173,$D$3:F244,3,FALSE)</f>
        <v>-4.71235276199877E-3</v>
      </c>
      <c r="L173" s="94">
        <f t="shared" si="4"/>
        <v>-3.21306288239738E-7</v>
      </c>
      <c r="M173" s="89">
        <f t="shared" si="5"/>
        <v>-707204.035360949</v>
      </c>
    </row>
    <row r="174" spans="4:13" x14ac:dyDescent="0.2">
      <c r="D174" t="s">
        <v>415</v>
      </c>
      <c r="E174" s="92">
        <v>-4.4408900000000003E-15</v>
      </c>
      <c r="F174" s="167">
        <v>-2001.7926018184501</v>
      </c>
      <c r="G174" s="92"/>
      <c r="H174" t="s">
        <v>415</v>
      </c>
      <c r="I174" s="98">
        <v>-4.4408900000000003E-15</v>
      </c>
      <c r="J174">
        <v>-2001.65526288247</v>
      </c>
      <c r="K174" s="89">
        <f>VLOOKUP(H174,$D$3:F245,3,FALSE)</f>
        <v>-2001.7926018184501</v>
      </c>
      <c r="L174" s="94">
        <f t="shared" si="4"/>
        <v>-0.13733893598009672</v>
      </c>
      <c r="M174" s="89">
        <f t="shared" si="5"/>
        <v>-707204.17269988498</v>
      </c>
    </row>
    <row r="175" spans="4:13" x14ac:dyDescent="0.2">
      <c r="D175" t="s">
        <v>416</v>
      </c>
      <c r="E175" s="92">
        <v>0</v>
      </c>
      <c r="F175" s="167">
        <v>0</v>
      </c>
      <c r="G175" s="92"/>
      <c r="H175" t="s">
        <v>416</v>
      </c>
      <c r="I175" s="98">
        <v>0</v>
      </c>
      <c r="J175">
        <v>0</v>
      </c>
      <c r="K175" s="89">
        <f>VLOOKUP(H175,$D$3:F246,3,FALSE)</f>
        <v>0</v>
      </c>
      <c r="L175" s="94">
        <f t="shared" si="4"/>
        <v>0</v>
      </c>
      <c r="M175" s="89">
        <f t="shared" si="5"/>
        <v>-707204.17269988498</v>
      </c>
    </row>
    <row r="176" spans="4:13" x14ac:dyDescent="0.2">
      <c r="D176" t="s">
        <v>417</v>
      </c>
      <c r="E176" s="92">
        <v>0</v>
      </c>
      <c r="F176" s="167">
        <v>-5.6095410232614995E-4</v>
      </c>
      <c r="G176" s="92"/>
      <c r="H176" t="s">
        <v>417</v>
      </c>
      <c r="I176" s="98">
        <v>0</v>
      </c>
      <c r="J176">
        <v>-5.6091562055371501E-4</v>
      </c>
      <c r="K176" s="89">
        <f>VLOOKUP(H176,$D$3:F247,3,FALSE)</f>
        <v>-5.6095410232614995E-4</v>
      </c>
      <c r="L176" s="94">
        <f t="shared" si="4"/>
        <v>-3.8481772434936258E-8</v>
      </c>
      <c r="M176" s="89">
        <f t="shared" si="5"/>
        <v>-707204.17269992351</v>
      </c>
    </row>
    <row r="177" spans="4:13" x14ac:dyDescent="0.2">
      <c r="D177" t="s">
        <v>418</v>
      </c>
      <c r="E177" s="92">
        <v>0</v>
      </c>
      <c r="F177" s="167">
        <v>6.7486814244688297E-4</v>
      </c>
      <c r="G177" s="92"/>
      <c r="H177" t="s">
        <v>418</v>
      </c>
      <c r="I177" s="98">
        <v>0</v>
      </c>
      <c r="J177">
        <v>6.7482184087452901E-4</v>
      </c>
      <c r="K177" s="89">
        <f>VLOOKUP(H177,$D$3:F248,3,FALSE)</f>
        <v>6.7486814244688297E-4</v>
      </c>
      <c r="L177" s="94">
        <f t="shared" si="4"/>
        <v>4.6301572353968368E-8</v>
      </c>
      <c r="M177" s="89">
        <f t="shared" si="5"/>
        <v>-707204.17269987718</v>
      </c>
    </row>
    <row r="178" spans="4:13" x14ac:dyDescent="0.2">
      <c r="D178" t="s">
        <v>338</v>
      </c>
      <c r="E178" s="92">
        <v>-0.17399999999999999</v>
      </c>
      <c r="F178" s="167">
        <v>-8493.5234168695206</v>
      </c>
      <c r="G178" s="92"/>
      <c r="H178" t="s">
        <v>338</v>
      </c>
      <c r="I178" s="98">
        <v>-0.17399999999999999</v>
      </c>
      <c r="J178">
        <v>-6255.9447284338103</v>
      </c>
      <c r="K178" s="89">
        <f>VLOOKUP(H178,$D$3:F249,3,FALSE)</f>
        <v>-8493.5234168695206</v>
      </c>
      <c r="L178" s="94">
        <f t="shared" si="4"/>
        <v>-2237.5786884357103</v>
      </c>
      <c r="M178" s="89">
        <f t="shared" si="5"/>
        <v>-709441.7513883129</v>
      </c>
    </row>
    <row r="179" spans="4:13" x14ac:dyDescent="0.2">
      <c r="D179" t="s">
        <v>419</v>
      </c>
      <c r="E179" s="92">
        <v>-1.7350000000000001E-17</v>
      </c>
      <c r="F179" s="167">
        <v>7.4635548333787903E-3</v>
      </c>
      <c r="G179" s="92"/>
      <c r="H179" t="s">
        <v>419</v>
      </c>
      <c r="I179" s="98">
        <v>-1.7350000000000001E-17</v>
      </c>
      <c r="J179">
        <v>7.4630428530326797E-3</v>
      </c>
      <c r="K179" s="89">
        <f>VLOOKUP(H179,$D$3:F250,3,FALSE)</f>
        <v>7.4635548333787903E-3</v>
      </c>
      <c r="L179" s="94">
        <f t="shared" si="4"/>
        <v>5.1198034611062843E-7</v>
      </c>
      <c r="M179" s="89">
        <f t="shared" si="5"/>
        <v>-709441.7513878009</v>
      </c>
    </row>
    <row r="180" spans="4:13" x14ac:dyDescent="0.2">
      <c r="D180" t="s">
        <v>420</v>
      </c>
      <c r="E180" s="92">
        <v>0</v>
      </c>
      <c r="F180" s="167">
        <v>-1.6208475125893101E-2</v>
      </c>
      <c r="G180" s="92"/>
      <c r="H180" t="s">
        <v>420</v>
      </c>
      <c r="I180" s="98">
        <v>0</v>
      </c>
      <c r="J180">
        <v>-1.6207363095446702E-2</v>
      </c>
      <c r="K180" s="89">
        <f>VLOOKUP(H180,$D$3:F251,3,FALSE)</f>
        <v>-1.6208475125893101E-2</v>
      </c>
      <c r="L180" s="94">
        <f t="shared" si="4"/>
        <v>-1.1120304463999031E-6</v>
      </c>
      <c r="M180" s="89">
        <f t="shared" si="5"/>
        <v>-709441.7513889129</v>
      </c>
    </row>
    <row r="181" spans="4:13" x14ac:dyDescent="0.2">
      <c r="D181" t="s">
        <v>421</v>
      </c>
      <c r="E181" s="92">
        <v>0</v>
      </c>
      <c r="F181" s="167">
        <v>-2.02768356221483E-3</v>
      </c>
      <c r="G181" s="92"/>
      <c r="H181" t="s">
        <v>421</v>
      </c>
      <c r="I181" s="98">
        <v>0</v>
      </c>
      <c r="J181">
        <v>-2.0275444475057699E-3</v>
      </c>
      <c r="K181" s="89">
        <f>VLOOKUP(H181,$D$3:F252,3,FALSE)</f>
        <v>-2.02768356221483E-3</v>
      </c>
      <c r="L181" s="94">
        <f t="shared" si="4"/>
        <v>-1.3911470906008763E-7</v>
      </c>
      <c r="M181" s="89">
        <f t="shared" si="5"/>
        <v>-709441.75138905202</v>
      </c>
    </row>
    <row r="182" spans="4:13" x14ac:dyDescent="0.2">
      <c r="D182" t="s">
        <v>422</v>
      </c>
      <c r="E182" s="92">
        <v>-1.7763599999999999E-15</v>
      </c>
      <c r="F182" s="167">
        <v>1.184931199532E-2</v>
      </c>
      <c r="G182" s="92"/>
      <c r="H182" t="s">
        <v>422</v>
      </c>
      <c r="I182" s="98">
        <v>-1.7763599999999999E-15</v>
      </c>
      <c r="J182">
        <v>1.18484965059906E-2</v>
      </c>
      <c r="K182" s="89">
        <f>VLOOKUP(H182,$D$3:F253,3,FALSE)</f>
        <v>1.184931199532E-2</v>
      </c>
      <c r="L182" s="94">
        <f t="shared" si="4"/>
        <v>8.154893293994131E-7</v>
      </c>
      <c r="M182" s="89">
        <f t="shared" si="5"/>
        <v>-709441.75138823653</v>
      </c>
    </row>
    <row r="183" spans="4:13" x14ac:dyDescent="0.2">
      <c r="D183" t="s">
        <v>423</v>
      </c>
      <c r="E183" s="92">
        <v>0</v>
      </c>
      <c r="F183" s="167">
        <v>1.9247544730660599E-3</v>
      </c>
      <c r="G183" s="92"/>
      <c r="H183" t="s">
        <v>423</v>
      </c>
      <c r="I183" s="98">
        <v>0</v>
      </c>
      <c r="J183">
        <v>1.9246221581852301E-3</v>
      </c>
      <c r="K183" s="89">
        <f>VLOOKUP(H183,$D$3:F254,3,FALSE)</f>
        <v>1.9247544730660599E-3</v>
      </c>
      <c r="L183" s="94">
        <f t="shared" si="4"/>
        <v>1.3231488082987054E-7</v>
      </c>
      <c r="M183" s="89">
        <f t="shared" si="5"/>
        <v>-709441.75138810417</v>
      </c>
    </row>
    <row r="184" spans="4:13" x14ac:dyDescent="0.2">
      <c r="D184" t="s">
        <v>339</v>
      </c>
      <c r="E184" s="92">
        <v>1.50000000000006E-2</v>
      </c>
      <c r="F184" s="167">
        <v>-36376.277001535498</v>
      </c>
      <c r="G184" s="92"/>
      <c r="H184" t="s">
        <v>339</v>
      </c>
      <c r="I184" s="98">
        <v>1.50000000000006E-2</v>
      </c>
      <c r="J184">
        <v>-36581.566867405498</v>
      </c>
      <c r="K184" s="89">
        <f>VLOOKUP(H184,$D$3:F255,3,FALSE)</f>
        <v>-36376.277001535498</v>
      </c>
      <c r="L184" s="94">
        <f t="shared" si="4"/>
        <v>205.28986586999963</v>
      </c>
      <c r="M184" s="89">
        <f t="shared" si="5"/>
        <v>-709236.46152223414</v>
      </c>
    </row>
    <row r="185" spans="4:13" x14ac:dyDescent="0.2">
      <c r="D185" t="s">
        <v>424</v>
      </c>
      <c r="E185" s="92">
        <v>2E-3</v>
      </c>
      <c r="F185" s="167">
        <v>-9.1626385311213596</v>
      </c>
      <c r="G185" s="92"/>
      <c r="H185" t="s">
        <v>424</v>
      </c>
      <c r="I185" s="98">
        <v>2E-3</v>
      </c>
      <c r="J185">
        <v>-3.6798381639764899</v>
      </c>
      <c r="K185" s="89">
        <f>VLOOKUP(H185,$D$3:F256,3,FALSE)</f>
        <v>-9.1626385311213596</v>
      </c>
      <c r="L185" s="94">
        <f t="shared" si="4"/>
        <v>-5.4828003671448702</v>
      </c>
      <c r="M185" s="89">
        <f t="shared" si="5"/>
        <v>-709241.94432260131</v>
      </c>
    </row>
    <row r="186" spans="4:13" x14ac:dyDescent="0.2">
      <c r="D186" t="s">
        <v>425</v>
      </c>
      <c r="E186" s="92">
        <v>0</v>
      </c>
      <c r="F186" s="167">
        <v>-324.22002382889298</v>
      </c>
      <c r="G186" s="92"/>
      <c r="H186" t="s">
        <v>425</v>
      </c>
      <c r="I186" s="98">
        <v>0</v>
      </c>
      <c r="J186">
        <v>-324.19777975069201</v>
      </c>
      <c r="K186" s="89">
        <f>VLOOKUP(H186,$D$3:F257,3,FALSE)</f>
        <v>-324.22002382889298</v>
      </c>
      <c r="L186" s="94">
        <f t="shared" si="4"/>
        <v>-2.2244078200969852E-2</v>
      </c>
      <c r="M186" s="89">
        <f t="shared" si="5"/>
        <v>-709241.96656667953</v>
      </c>
    </row>
    <row r="187" spans="4:13" x14ac:dyDescent="0.2">
      <c r="D187" t="s">
        <v>345</v>
      </c>
      <c r="E187" s="92">
        <v>0.7</v>
      </c>
      <c r="F187" s="167">
        <v>22521.460949188699</v>
      </c>
      <c r="G187" s="92"/>
      <c r="H187" t="s">
        <v>345</v>
      </c>
      <c r="I187" s="98">
        <v>0.7</v>
      </c>
      <c r="J187">
        <v>17941.809758826199</v>
      </c>
      <c r="K187" s="89">
        <f>VLOOKUP(H187,$D$3:F258,3,FALSE)</f>
        <v>22521.460949188699</v>
      </c>
      <c r="L187" s="94">
        <f t="shared" si="4"/>
        <v>4579.6511903624996</v>
      </c>
      <c r="M187" s="89">
        <f t="shared" si="5"/>
        <v>-704662.31537631701</v>
      </c>
    </row>
    <row r="188" spans="4:13" x14ac:dyDescent="0.2">
      <c r="D188" t="s">
        <v>426</v>
      </c>
      <c r="E188" s="92">
        <v>0</v>
      </c>
      <c r="F188" s="167">
        <v>8.61877399108835E-3</v>
      </c>
      <c r="G188" s="92"/>
      <c r="H188" t="s">
        <v>426</v>
      </c>
      <c r="I188" s="98">
        <v>0</v>
      </c>
      <c r="J188">
        <v>8.6181826744766692E-3</v>
      </c>
      <c r="K188" s="89">
        <f>VLOOKUP(H188,$D$3:F259,3,FALSE)</f>
        <v>8.61877399108835E-3</v>
      </c>
      <c r="L188" s="94">
        <f t="shared" si="4"/>
        <v>5.9131661168075611E-7</v>
      </c>
      <c r="M188" s="89">
        <f t="shared" si="5"/>
        <v>-704662.31537572574</v>
      </c>
    </row>
    <row r="189" spans="4:13" x14ac:dyDescent="0.2">
      <c r="D189" t="s">
        <v>427</v>
      </c>
      <c r="E189" s="92"/>
      <c r="F189" s="167">
        <v>-1229453.5112993999</v>
      </c>
      <c r="G189" s="92"/>
      <c r="H189" t="s">
        <v>427</v>
      </c>
      <c r="I189" s="98"/>
      <c r="J189">
        <v>-1229369.1609877599</v>
      </c>
      <c r="K189" s="89">
        <f>VLOOKUP(H189,$D$3:F260,3,FALSE)</f>
        <v>-1229453.5112993999</v>
      </c>
      <c r="L189" s="94">
        <f t="shared" si="4"/>
        <v>-84.350311639951542</v>
      </c>
      <c r="M189" s="89">
        <f t="shared" si="5"/>
        <v>-704746.66568736569</v>
      </c>
    </row>
    <row r="190" spans="4:13" x14ac:dyDescent="0.2">
      <c r="D190" t="s">
        <v>431</v>
      </c>
      <c r="E190" s="92">
        <v>0</v>
      </c>
      <c r="F190" s="167">
        <v>-1184.5417546147701</v>
      </c>
      <c r="G190" s="92"/>
      <c r="H190" t="s">
        <v>431</v>
      </c>
      <c r="I190" s="98">
        <v>0</v>
      </c>
      <c r="J190">
        <v>-1165.7117720072299</v>
      </c>
      <c r="K190" s="89">
        <f>VLOOKUP(H190,$D$3:F261,3,FALSE)</f>
        <v>-1184.5417546147701</v>
      </c>
      <c r="L190" s="94">
        <f t="shared" si="4"/>
        <v>-18.82998260754016</v>
      </c>
      <c r="M190" s="89">
        <f t="shared" si="5"/>
        <v>-704765.4956699732</v>
      </c>
    </row>
    <row r="191" spans="4:13" x14ac:dyDescent="0.2">
      <c r="D191" t="s">
        <v>385</v>
      </c>
      <c r="E191" s="92">
        <v>0</v>
      </c>
      <c r="F191" s="167">
        <v>0</v>
      </c>
      <c r="G191" s="92"/>
      <c r="H191" t="s">
        <v>385</v>
      </c>
      <c r="I191" s="98">
        <v>0</v>
      </c>
      <c r="J191">
        <v>0</v>
      </c>
      <c r="K191" s="89">
        <f>VLOOKUP(H191,$D$3:F262,3,FALSE)</f>
        <v>0</v>
      </c>
      <c r="L191" s="94">
        <f t="shared" si="4"/>
        <v>0</v>
      </c>
      <c r="M191" s="89">
        <f t="shared" si="5"/>
        <v>-704765.4956699732</v>
      </c>
    </row>
    <row r="192" spans="4:13" x14ac:dyDescent="0.2">
      <c r="D192" t="s">
        <v>386</v>
      </c>
      <c r="E192" s="92">
        <v>0</v>
      </c>
      <c r="F192" s="167">
        <v>0</v>
      </c>
      <c r="G192" s="92"/>
      <c r="H192" t="s">
        <v>386</v>
      </c>
      <c r="I192" s="98">
        <v>0</v>
      </c>
      <c r="J192">
        <v>0</v>
      </c>
      <c r="K192" s="89">
        <f>VLOOKUP(H192,$D$3:F263,3,FALSE)</f>
        <v>0</v>
      </c>
      <c r="L192" s="94">
        <f t="shared" si="4"/>
        <v>0</v>
      </c>
      <c r="M192" s="89">
        <f t="shared" si="5"/>
        <v>-704765.4956699732</v>
      </c>
    </row>
    <row r="193" spans="4:13" x14ac:dyDescent="0.2">
      <c r="D193" t="s">
        <v>340</v>
      </c>
      <c r="E193" s="92">
        <v>-0.62100000000001399</v>
      </c>
      <c r="F193" s="167">
        <v>-22798.270848866101</v>
      </c>
      <c r="G193" s="92"/>
      <c r="H193" t="s">
        <v>340</v>
      </c>
      <c r="I193" s="98">
        <v>-0.62100000000001399</v>
      </c>
      <c r="J193">
        <v>-13854.916306847001</v>
      </c>
      <c r="K193" s="89">
        <f>VLOOKUP(H193,$D$3:F264,3,FALSE)</f>
        <v>-22798.270848866101</v>
      </c>
      <c r="L193" s="94">
        <f t="shared" si="4"/>
        <v>-8943.3545420191003</v>
      </c>
      <c r="M193" s="89">
        <f t="shared" si="5"/>
        <v>-713708.85021199228</v>
      </c>
    </row>
    <row r="194" spans="4:13" x14ac:dyDescent="0.2">
      <c r="D194" t="s">
        <v>341</v>
      </c>
      <c r="E194" s="92">
        <v>-0.22300000000001299</v>
      </c>
      <c r="F194" s="167">
        <v>-44293.299414174697</v>
      </c>
      <c r="G194" s="92"/>
      <c r="H194" t="s">
        <v>341</v>
      </c>
      <c r="I194" s="98">
        <v>-0.22300000000001299</v>
      </c>
      <c r="J194">
        <v>-41024.620458913101</v>
      </c>
      <c r="K194" s="89">
        <f>VLOOKUP(H194,$D$3:F265,3,FALSE)</f>
        <v>-44293.299414174697</v>
      </c>
      <c r="L194" s="94">
        <f t="shared" si="4"/>
        <v>-3268.6789552615955</v>
      </c>
      <c r="M194" s="89">
        <f t="shared" si="5"/>
        <v>-716977.52916725387</v>
      </c>
    </row>
    <row r="195" spans="4:13" x14ac:dyDescent="0.2">
      <c r="D195" t="s">
        <v>428</v>
      </c>
      <c r="E195" s="92">
        <v>0</v>
      </c>
      <c r="F195" s="167">
        <v>346179.74446036603</v>
      </c>
      <c r="G195" s="92"/>
      <c r="H195" t="s">
        <v>428</v>
      </c>
      <c r="I195" s="98">
        <v>0</v>
      </c>
      <c r="J195">
        <v>346155.99377027003</v>
      </c>
      <c r="K195" s="89">
        <f>VLOOKUP(H195,$D$3:F266,3,FALSE)</f>
        <v>346179.74446036603</v>
      </c>
      <c r="L195" s="94">
        <f>K195-J195</f>
        <v>23.750690095999744</v>
      </c>
      <c r="M195" s="89">
        <f t="shared" si="5"/>
        <v>-716953.77847715793</v>
      </c>
    </row>
    <row r="196" spans="4:13" x14ac:dyDescent="0.2">
      <c r="D196" t="s">
        <v>429</v>
      </c>
      <c r="E196" s="92"/>
      <c r="F196" s="167">
        <v>1708762.0256107801</v>
      </c>
      <c r="G196" s="92"/>
      <c r="H196" t="s">
        <v>429</v>
      </c>
      <c r="I196" s="98"/>
      <c r="J196">
        <v>1708644.79091419</v>
      </c>
      <c r="K196" s="89">
        <f>VLOOKUP(H196,$D$3:F267,3,FALSE)</f>
        <v>1708762.0256107801</v>
      </c>
      <c r="L196" s="94">
        <f>K196-J196</f>
        <v>117.2346965901088</v>
      </c>
      <c r="M196" s="89">
        <f t="shared" si="5"/>
        <v>-716836.54378056782</v>
      </c>
    </row>
    <row r="197" spans="4:13" x14ac:dyDescent="0.2">
      <c r="D197" t="s">
        <v>430</v>
      </c>
      <c r="E197" s="92">
        <v>212</v>
      </c>
      <c r="F197" s="167">
        <v>351599.88945375697</v>
      </c>
      <c r="G197" s="92"/>
      <c r="H197" t="s">
        <v>430</v>
      </c>
      <c r="I197" s="98">
        <v>212</v>
      </c>
      <c r="J197">
        <v>42081.232311636202</v>
      </c>
      <c r="K197" s="89">
        <f>VLOOKUP(H197,$D$3:F268,3,FALSE)</f>
        <v>351599.88945375697</v>
      </c>
      <c r="L197" s="94">
        <f>K197-J197</f>
        <v>309518.65714212076</v>
      </c>
      <c r="M197" s="89">
        <f t="shared" si="5"/>
        <v>-407317.88663844706</v>
      </c>
    </row>
    <row r="198" spans="4:13" x14ac:dyDescent="0.2">
      <c r="E198" s="92"/>
      <c r="F198" s="167"/>
      <c r="G198" s="92"/>
      <c r="I198" s="98"/>
      <c r="K198" s="89"/>
      <c r="L198" s="94"/>
      <c r="M198" s="89"/>
    </row>
    <row r="199" spans="4:13" x14ac:dyDescent="0.2">
      <c r="F199" s="167"/>
      <c r="K199" s="89"/>
      <c r="L199" s="94"/>
      <c r="M199" s="89"/>
    </row>
    <row r="200" spans="4:13" x14ac:dyDescent="0.2">
      <c r="F200" s="167"/>
      <c r="K200" s="89"/>
      <c r="L200" s="94"/>
      <c r="M200" s="89"/>
    </row>
    <row r="201" spans="4:13" x14ac:dyDescent="0.2">
      <c r="F201" s="167"/>
      <c r="K201" s="89"/>
      <c r="L201" s="94"/>
      <c r="M201" s="89"/>
    </row>
    <row r="202" spans="4:13" x14ac:dyDescent="0.2">
      <c r="F202" s="167"/>
      <c r="K202" s="89"/>
      <c r="L202" s="94"/>
      <c r="M202" s="89"/>
    </row>
    <row r="203" spans="4:13" x14ac:dyDescent="0.2">
      <c r="F203" s="167"/>
      <c r="K203" s="89"/>
      <c r="L203" s="94"/>
      <c r="M203" s="89"/>
    </row>
    <row r="204" spans="4:13" x14ac:dyDescent="0.2">
      <c r="F204" s="167"/>
      <c r="K204" s="89"/>
      <c r="L204" s="94"/>
      <c r="M204" s="89"/>
    </row>
    <row r="205" spans="4:13" x14ac:dyDescent="0.2">
      <c r="F205" s="167"/>
      <c r="K205" s="89"/>
      <c r="L205" s="94"/>
      <c r="M205" s="89"/>
    </row>
    <row r="206" spans="4:13" x14ac:dyDescent="0.2">
      <c r="F206" s="167"/>
      <c r="K206" s="89"/>
      <c r="L206" s="94"/>
      <c r="M206" s="89"/>
    </row>
    <row r="207" spans="4:13" x14ac:dyDescent="0.2">
      <c r="F207" s="167"/>
      <c r="K207" s="89"/>
      <c r="L207" s="94"/>
      <c r="M207" s="89"/>
    </row>
    <row r="208" spans="4:13" x14ac:dyDescent="0.2">
      <c r="F208" s="167"/>
      <c r="K208" s="89"/>
      <c r="L208" s="94"/>
      <c r="M208" s="89"/>
    </row>
    <row r="209" spans="6:13" x14ac:dyDescent="0.2">
      <c r="F209" s="167"/>
      <c r="K209" s="89"/>
      <c r="L209" s="94"/>
      <c r="M209" s="89"/>
    </row>
    <row r="210" spans="6:13" x14ac:dyDescent="0.2">
      <c r="F210" s="167"/>
      <c r="K210" s="89"/>
      <c r="L210" s="94"/>
      <c r="M210" s="89"/>
    </row>
    <row r="211" spans="6:13" x14ac:dyDescent="0.2">
      <c r="F211" s="167"/>
      <c r="K211" s="89"/>
      <c r="L211" s="94"/>
      <c r="M211" s="89"/>
    </row>
    <row r="212" spans="6:13" x14ac:dyDescent="0.2">
      <c r="F212" s="167"/>
      <c r="K212" s="89"/>
      <c r="L212" s="94"/>
      <c r="M212" s="89"/>
    </row>
    <row r="213" spans="6:13" x14ac:dyDescent="0.2">
      <c r="F213" s="167"/>
      <c r="K213" s="89"/>
      <c r="L213" s="94"/>
      <c r="M213" s="89"/>
    </row>
    <row r="214" spans="6:13" x14ac:dyDescent="0.2">
      <c r="F214" s="167"/>
      <c r="K214" s="89"/>
      <c r="L214" s="94"/>
      <c r="M214" s="89"/>
    </row>
    <row r="215" spans="6:13" x14ac:dyDescent="0.2">
      <c r="F215" s="167"/>
      <c r="K215" s="89"/>
      <c r="L215" s="94"/>
      <c r="M215" s="89"/>
    </row>
    <row r="216" spans="6:13" x14ac:dyDescent="0.2">
      <c r="F216" s="167"/>
      <c r="K216" s="89"/>
      <c r="L216" s="94"/>
      <c r="M216" s="89"/>
    </row>
    <row r="217" spans="6:13" x14ac:dyDescent="0.2">
      <c r="K217" s="89"/>
      <c r="L217" s="94"/>
      <c r="M217" s="89"/>
    </row>
    <row r="218" spans="6:13" x14ac:dyDescent="0.2">
      <c r="K218" s="89"/>
      <c r="L218" s="94"/>
      <c r="M218" s="89"/>
    </row>
    <row r="219" spans="6:13" x14ac:dyDescent="0.2">
      <c r="K219" s="89"/>
      <c r="L219" s="94"/>
      <c r="M219" s="89"/>
    </row>
    <row r="220" spans="6:13" x14ac:dyDescent="0.2">
      <c r="K220" s="89"/>
      <c r="L220" s="94"/>
      <c r="M220" s="89"/>
    </row>
    <row r="221" spans="6:13" x14ac:dyDescent="0.2">
      <c r="K221" s="89"/>
      <c r="L221" s="94"/>
      <c r="M221" s="89"/>
    </row>
    <row r="222" spans="6:13" x14ac:dyDescent="0.2">
      <c r="K222" s="89"/>
      <c r="L222" s="94"/>
      <c r="M222" s="89"/>
    </row>
    <row r="223" spans="6:13" x14ac:dyDescent="0.2">
      <c r="K223" s="89"/>
      <c r="L223" s="94"/>
      <c r="M223" s="89"/>
    </row>
    <row r="224" spans="6:13" x14ac:dyDescent="0.2">
      <c r="K224" s="89"/>
      <c r="L224" s="94"/>
      <c r="M224" s="89"/>
    </row>
    <row r="225" spans="11:13" x14ac:dyDescent="0.2">
      <c r="K225" s="89"/>
      <c r="L225" s="94"/>
      <c r="M225" s="89"/>
    </row>
    <row r="226" spans="11:13" x14ac:dyDescent="0.2">
      <c r="K226" s="89"/>
      <c r="L226" s="94"/>
      <c r="M226" s="89"/>
    </row>
    <row r="227" spans="11:13" x14ac:dyDescent="0.2">
      <c r="K227" s="89"/>
      <c r="L227" s="94"/>
      <c r="M227" s="89"/>
    </row>
    <row r="228" spans="11:13" x14ac:dyDescent="0.2">
      <c r="K228" s="89"/>
      <c r="L228" s="94"/>
      <c r="M228" s="89"/>
    </row>
    <row r="229" spans="11:13" x14ac:dyDescent="0.2">
      <c r="K229" s="89"/>
      <c r="L229" s="94"/>
      <c r="M229" s="89"/>
    </row>
    <row r="230" spans="11:13" x14ac:dyDescent="0.2">
      <c r="K230" s="89"/>
      <c r="L230" s="94"/>
      <c r="M230" s="89"/>
    </row>
    <row r="231" spans="11:13" x14ac:dyDescent="0.2">
      <c r="K231" s="89"/>
      <c r="L231" s="94"/>
      <c r="M231" s="89"/>
    </row>
    <row r="232" spans="11:13" x14ac:dyDescent="0.2">
      <c r="K232" s="89"/>
      <c r="L232" s="94"/>
      <c r="M232" s="89"/>
    </row>
    <row r="233" spans="11:13" x14ac:dyDescent="0.2">
      <c r="K233" s="89"/>
      <c r="L233" s="94"/>
      <c r="M233" s="89"/>
    </row>
    <row r="234" spans="11:13" x14ac:dyDescent="0.2">
      <c r="K234" s="89"/>
      <c r="L234" s="94"/>
      <c r="M234" s="89"/>
    </row>
    <row r="235" spans="11:13" x14ac:dyDescent="0.2">
      <c r="K235" s="89"/>
      <c r="L235" s="94"/>
      <c r="M235" s="89"/>
    </row>
    <row r="236" spans="11:13" x14ac:dyDescent="0.2">
      <c r="K236" s="89"/>
      <c r="L236" s="94"/>
      <c r="M236" s="89"/>
    </row>
    <row r="237" spans="11:13" x14ac:dyDescent="0.2">
      <c r="K237" s="89"/>
      <c r="L237" s="94"/>
      <c r="M237" s="89"/>
    </row>
    <row r="238" spans="11:13" x14ac:dyDescent="0.2">
      <c r="K238" s="89"/>
      <c r="L238" s="94"/>
      <c r="M238" s="89"/>
    </row>
    <row r="239" spans="11:13" x14ac:dyDescent="0.2">
      <c r="K239" s="89"/>
      <c r="L239" s="94"/>
      <c r="M239" s="89"/>
    </row>
    <row r="240" spans="11:13" x14ac:dyDescent="0.2">
      <c r="K240" s="89"/>
      <c r="L240" s="94"/>
      <c r="M240" s="89"/>
    </row>
    <row r="241" spans="11:13" x14ac:dyDescent="0.2">
      <c r="K241" s="89"/>
      <c r="L241" s="94"/>
      <c r="M241" s="89"/>
    </row>
    <row r="242" spans="11:13" x14ac:dyDescent="0.2">
      <c r="K242" s="89"/>
      <c r="L242" s="94"/>
      <c r="M242" s="89"/>
    </row>
    <row r="243" spans="11:13" x14ac:dyDescent="0.2">
      <c r="K243" s="89"/>
      <c r="L243" s="94"/>
      <c r="M243" s="89"/>
    </row>
    <row r="244" spans="11:13" x14ac:dyDescent="0.2">
      <c r="K244" s="89"/>
      <c r="L244" s="94"/>
      <c r="M244" s="89"/>
    </row>
    <row r="245" spans="11:13" x14ac:dyDescent="0.2">
      <c r="K245" s="89"/>
      <c r="L245" s="94"/>
      <c r="M245" s="89"/>
    </row>
    <row r="246" spans="11:13" x14ac:dyDescent="0.2">
      <c r="K246" s="89"/>
      <c r="L246" s="94"/>
      <c r="M246" s="89"/>
    </row>
    <row r="247" spans="11:13" x14ac:dyDescent="0.2">
      <c r="K247" s="89"/>
      <c r="L247" s="94"/>
      <c r="M247" s="89"/>
    </row>
    <row r="248" spans="11:13" x14ac:dyDescent="0.2">
      <c r="K248" s="89"/>
      <c r="L248" s="94"/>
      <c r="M248" s="89"/>
    </row>
    <row r="249" spans="11:13" x14ac:dyDescent="0.2">
      <c r="K249" s="89"/>
      <c r="L249" s="94"/>
      <c r="M249" s="89"/>
    </row>
    <row r="250" spans="11:13" x14ac:dyDescent="0.2">
      <c r="K250" s="89"/>
      <c r="L250" s="94"/>
      <c r="M250" s="89"/>
    </row>
    <row r="251" spans="11:13" x14ac:dyDescent="0.2">
      <c r="K251" s="89"/>
      <c r="L251" s="94"/>
      <c r="M251" s="89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O39"/>
  <sheetViews>
    <sheetView topLeftCell="A4" workbookViewId="0">
      <selection activeCell="J21" sqref="J21"/>
    </sheetView>
  </sheetViews>
  <sheetFormatPr defaultRowHeight="12.75" x14ac:dyDescent="0.2"/>
  <cols>
    <col min="1" max="2" width="6.85546875" customWidth="1"/>
    <col min="3" max="3" width="9.5703125" bestFit="1" customWidth="1"/>
    <col min="6" max="6" width="10.42578125" customWidth="1"/>
    <col min="7" max="7" width="10.7109375" customWidth="1"/>
    <col min="8" max="8" width="13.140625" bestFit="1" customWidth="1"/>
    <col min="9" max="9" width="16" customWidth="1"/>
    <col min="10" max="10" width="16.7109375" bestFit="1" customWidth="1"/>
    <col min="11" max="11" width="14.42578125" customWidth="1"/>
    <col min="12" max="12" width="13.85546875" bestFit="1" customWidth="1"/>
    <col min="13" max="13" width="14.7109375" bestFit="1" customWidth="1"/>
  </cols>
  <sheetData>
    <row r="1" spans="1:15" ht="13.5" thickBot="1" x14ac:dyDescent="0.25"/>
    <row r="2" spans="1:15" ht="16.5" thickBot="1" x14ac:dyDescent="0.3">
      <c r="A2" s="106"/>
      <c r="B2" s="192" t="s">
        <v>432</v>
      </c>
      <c r="C2" s="192"/>
      <c r="D2" s="107"/>
      <c r="F2" s="117" t="s">
        <v>1</v>
      </c>
      <c r="G2" s="118" t="s">
        <v>2</v>
      </c>
      <c r="H2" s="118" t="s">
        <v>0</v>
      </c>
      <c r="I2" s="118" t="s">
        <v>6</v>
      </c>
      <c r="J2" s="118" t="s">
        <v>7</v>
      </c>
      <c r="K2" s="119" t="s">
        <v>4</v>
      </c>
      <c r="L2" s="120" t="s">
        <v>3</v>
      </c>
      <c r="N2" s="88"/>
      <c r="O2" s="88"/>
    </row>
    <row r="3" spans="1:15" x14ac:dyDescent="0.2">
      <c r="A3" s="108"/>
      <c r="B3" s="102"/>
      <c r="C3" s="102"/>
      <c r="D3" s="109"/>
      <c r="F3" s="106"/>
      <c r="G3" s="121"/>
      <c r="H3" s="121"/>
      <c r="I3" s="121"/>
      <c r="J3" s="121"/>
      <c r="K3" s="121"/>
      <c r="L3" s="107"/>
    </row>
    <row r="4" spans="1:15" x14ac:dyDescent="0.2">
      <c r="A4" s="108"/>
      <c r="B4" s="103" t="s">
        <v>226</v>
      </c>
      <c r="C4" s="103" t="s">
        <v>227</v>
      </c>
      <c r="D4" s="109"/>
      <c r="F4" s="144" t="s">
        <v>523</v>
      </c>
      <c r="G4" s="101">
        <f>7000*0.0452</f>
        <v>316.39999999999998</v>
      </c>
      <c r="H4" s="115">
        <v>126</v>
      </c>
      <c r="I4" s="115">
        <v>0</v>
      </c>
      <c r="J4" s="129">
        <f>+H4+I4</f>
        <v>126</v>
      </c>
      <c r="K4" s="115">
        <v>0</v>
      </c>
      <c r="L4" s="116">
        <f>G4-H4-I4+K4</f>
        <v>190.39999999999998</v>
      </c>
    </row>
    <row r="5" spans="1:15" x14ac:dyDescent="0.2">
      <c r="A5" s="108"/>
      <c r="B5" s="102"/>
      <c r="C5" s="102"/>
      <c r="D5" s="109"/>
      <c r="F5" s="111"/>
      <c r="G5" s="100"/>
      <c r="H5" s="101"/>
      <c r="I5" s="101"/>
      <c r="J5" s="101"/>
      <c r="K5" s="102"/>
      <c r="L5" s="116"/>
    </row>
    <row r="6" spans="1:15" ht="14.25" x14ac:dyDescent="0.2">
      <c r="A6" s="108"/>
      <c r="B6" s="104">
        <v>135</v>
      </c>
      <c r="C6" s="105">
        <v>1.3320000000000001</v>
      </c>
      <c r="D6" s="109"/>
      <c r="F6" s="136" t="s">
        <v>436</v>
      </c>
      <c r="G6" s="101">
        <f>0*0.0452</f>
        <v>0</v>
      </c>
      <c r="H6" s="115">
        <v>0</v>
      </c>
      <c r="I6" s="115">
        <v>0</v>
      </c>
      <c r="J6" s="129">
        <f>+H6+I6</f>
        <v>0</v>
      </c>
      <c r="K6" s="103">
        <v>0</v>
      </c>
      <c r="L6" s="116">
        <f>G6-H6-I6+K6</f>
        <v>0</v>
      </c>
    </row>
    <row r="7" spans="1:15" ht="15" thickBot="1" x14ac:dyDescent="0.25">
      <c r="A7" s="108"/>
      <c r="B7" s="104">
        <v>150</v>
      </c>
      <c r="C7" s="105">
        <v>1.3360000000000001</v>
      </c>
      <c r="D7" s="110">
        <f>(C7-C6)*100</f>
        <v>0.40000000000000036</v>
      </c>
      <c r="F7" s="122"/>
      <c r="G7" s="114"/>
      <c r="H7" s="123"/>
      <c r="I7" s="123"/>
      <c r="J7" s="123"/>
      <c r="K7" s="124"/>
      <c r="L7" s="125"/>
    </row>
    <row r="8" spans="1:15" ht="14.25" x14ac:dyDescent="0.2">
      <c r="A8" s="108"/>
      <c r="B8" s="104">
        <v>100</v>
      </c>
      <c r="C8" s="105">
        <v>1.341</v>
      </c>
      <c r="D8" s="110">
        <f>(C8-C7)*100</f>
        <v>0.49999999999998934</v>
      </c>
    </row>
    <row r="9" spans="1:15" ht="14.25" x14ac:dyDescent="0.2">
      <c r="A9" s="108"/>
      <c r="B9" s="130">
        <v>0</v>
      </c>
      <c r="C9" s="113">
        <v>1.095</v>
      </c>
      <c r="D9" s="110">
        <f>(C9-C8)*100</f>
        <v>-24.6</v>
      </c>
      <c r="J9" s="175" t="s">
        <v>435</v>
      </c>
      <c r="K9" s="176">
        <v>2.02</v>
      </c>
      <c r="L9" s="184">
        <v>1.57</v>
      </c>
    </row>
    <row r="10" spans="1:15" ht="14.25" x14ac:dyDescent="0.2">
      <c r="B10" s="130">
        <v>0</v>
      </c>
      <c r="C10" s="131">
        <v>1.0740000000000001</v>
      </c>
      <c r="D10" s="110">
        <f>(C10-C9)*100</f>
        <v>-2.0999999999999908</v>
      </c>
      <c r="F10" s="8"/>
      <c r="H10" s="88"/>
      <c r="J10" s="177" t="s">
        <v>433</v>
      </c>
      <c r="K10" s="178">
        <v>16</v>
      </c>
      <c r="L10" s="185">
        <v>100</v>
      </c>
    </row>
    <row r="11" spans="1:15" x14ac:dyDescent="0.2">
      <c r="A11" s="108"/>
      <c r="B11" s="102"/>
      <c r="C11" s="102"/>
      <c r="D11" s="109"/>
      <c r="F11" s="88"/>
      <c r="G11" s="8"/>
      <c r="H11" s="88"/>
      <c r="J11" s="179" t="s">
        <v>434</v>
      </c>
      <c r="K11" s="180">
        <f>+-(K10/K9)*10</f>
        <v>-79.207920792079207</v>
      </c>
      <c r="L11" s="180">
        <f>+(L10*L9)/10</f>
        <v>15.7</v>
      </c>
    </row>
    <row r="12" spans="1:15" ht="15" x14ac:dyDescent="0.25">
      <c r="A12" s="111" t="s">
        <v>5</v>
      </c>
      <c r="B12" s="103">
        <f>SUM(B6:B10)</f>
        <v>385</v>
      </c>
      <c r="C12" s="112" t="s">
        <v>228</v>
      </c>
      <c r="D12" s="145">
        <f>(B6*C6+B7*C7+B8*C8+B9*C9+B10*C10)/B12</f>
        <v>1.3358961038961041</v>
      </c>
      <c r="F12" s="88"/>
      <c r="G12" s="140"/>
      <c r="H12" s="88"/>
    </row>
    <row r="13" spans="1:15" x14ac:dyDescent="0.2">
      <c r="F13" s="88" t="s">
        <v>252</v>
      </c>
      <c r="G13" s="140">
        <v>0</v>
      </c>
      <c r="H13" s="139" t="s">
        <v>266</v>
      </c>
      <c r="I13" s="163"/>
      <c r="J13" s="163"/>
      <c r="K13" s="140"/>
      <c r="L13" s="139"/>
    </row>
    <row r="14" spans="1:15" x14ac:dyDescent="0.2">
      <c r="F14" s="88" t="s">
        <v>256</v>
      </c>
      <c r="G14" s="88">
        <v>0</v>
      </c>
      <c r="H14" s="139" t="s">
        <v>267</v>
      </c>
      <c r="I14" s="138"/>
      <c r="J14" s="88"/>
      <c r="K14" s="88"/>
      <c r="L14" s="139"/>
    </row>
    <row r="15" spans="1:15" x14ac:dyDescent="0.2">
      <c r="A15" s="127"/>
      <c r="B15" s="128"/>
      <c r="C15" s="128"/>
      <c r="D15" s="128"/>
      <c r="F15" s="88" t="s">
        <v>255</v>
      </c>
      <c r="G15" s="137">
        <v>0</v>
      </c>
      <c r="H15" s="88"/>
      <c r="I15" s="93"/>
      <c r="J15" s="88"/>
      <c r="K15" s="137"/>
    </row>
    <row r="16" spans="1:15" ht="13.5" thickBot="1" x14ac:dyDescent="0.25">
      <c r="A16" s="108"/>
      <c r="B16" s="102"/>
      <c r="C16" s="102"/>
      <c r="D16" s="124"/>
      <c r="F16" s="88" t="s">
        <v>257</v>
      </c>
      <c r="G16" s="137">
        <v>0</v>
      </c>
      <c r="H16" s="140"/>
      <c r="I16" s="187"/>
      <c r="J16" s="93"/>
      <c r="K16" s="137"/>
    </row>
    <row r="17" spans="1:12" ht="15.75" x14ac:dyDescent="0.25">
      <c r="A17" s="106"/>
      <c r="B17" s="192" t="s">
        <v>251</v>
      </c>
      <c r="C17" s="192"/>
      <c r="D17" s="109"/>
      <c r="F17" s="88" t="s">
        <v>254</v>
      </c>
      <c r="G17" s="140">
        <v>0</v>
      </c>
      <c r="H17" s="138"/>
      <c r="I17" s="188"/>
      <c r="J17" s="181"/>
      <c r="K17" s="165"/>
      <c r="L17" s="89"/>
    </row>
    <row r="18" spans="1:12" x14ac:dyDescent="0.2">
      <c r="A18" s="108"/>
      <c r="B18" s="102"/>
      <c r="C18" s="102"/>
      <c r="D18" s="109"/>
      <c r="F18" s="88" t="s">
        <v>253</v>
      </c>
      <c r="G18" s="159">
        <f>SUM(G13:G17)</f>
        <v>0</v>
      </c>
      <c r="H18" s="186"/>
      <c r="I18" s="187"/>
      <c r="J18" s="93"/>
      <c r="K18" s="159"/>
    </row>
    <row r="19" spans="1:12" x14ac:dyDescent="0.2">
      <c r="A19" s="108"/>
      <c r="B19" s="103" t="s">
        <v>226</v>
      </c>
      <c r="C19" s="103" t="s">
        <v>227</v>
      </c>
      <c r="D19" s="109"/>
      <c r="H19" s="186"/>
      <c r="I19" s="187"/>
      <c r="J19" s="187"/>
      <c r="K19" s="93"/>
      <c r="L19" s="151"/>
    </row>
    <row r="20" spans="1:12" x14ac:dyDescent="0.2">
      <c r="A20" s="108"/>
      <c r="B20" s="102"/>
      <c r="C20" s="102"/>
      <c r="D20" s="109"/>
      <c r="H20" s="140"/>
      <c r="I20" s="187"/>
      <c r="J20" s="182"/>
      <c r="L20" s="151"/>
    </row>
    <row r="21" spans="1:12" ht="14.25" x14ac:dyDescent="0.2">
      <c r="A21" s="108"/>
      <c r="B21" s="104">
        <v>60</v>
      </c>
      <c r="C21" s="105">
        <v>0.51400000000000001</v>
      </c>
      <c r="D21" s="109"/>
      <c r="G21" s="88"/>
      <c r="H21" s="88"/>
      <c r="I21" s="187"/>
      <c r="J21" s="140"/>
      <c r="K21" s="88"/>
      <c r="L21" s="134"/>
    </row>
    <row r="22" spans="1:12" ht="14.25" x14ac:dyDescent="0.2">
      <c r="A22" s="108"/>
      <c r="B22" s="104">
        <v>80</v>
      </c>
      <c r="C22" s="105">
        <v>0.52100000000000002</v>
      </c>
      <c r="D22" s="110">
        <f>(C22-C21)*100</f>
        <v>0.70000000000000062</v>
      </c>
      <c r="G22" s="88"/>
      <c r="H22" s="88"/>
      <c r="I22" s="187"/>
      <c r="J22" s="93"/>
      <c r="L22" s="151"/>
    </row>
    <row r="23" spans="1:12" ht="14.25" x14ac:dyDescent="0.2">
      <c r="A23" s="108"/>
      <c r="B23" s="104">
        <v>0</v>
      </c>
      <c r="C23" s="105">
        <v>0.75</v>
      </c>
      <c r="D23" s="110">
        <f>(C23-C22)*100</f>
        <v>22.9</v>
      </c>
      <c r="G23" s="88"/>
      <c r="H23" s="88"/>
      <c r="I23" s="187"/>
      <c r="J23" s="93"/>
    </row>
    <row r="24" spans="1:12" ht="14.25" x14ac:dyDescent="0.2">
      <c r="A24" s="108"/>
      <c r="B24" s="130">
        <v>0</v>
      </c>
      <c r="C24" s="113">
        <v>0.76</v>
      </c>
      <c r="D24" s="110">
        <f>(C24-C23)*100</f>
        <v>1.0000000000000009</v>
      </c>
      <c r="G24" s="88"/>
      <c r="H24" s="93"/>
      <c r="I24" s="187"/>
      <c r="J24" s="93"/>
    </row>
    <row r="25" spans="1:12" ht="14.25" x14ac:dyDescent="0.2">
      <c r="B25" s="130">
        <v>0</v>
      </c>
      <c r="C25" s="131">
        <v>0.79</v>
      </c>
      <c r="D25" s="110">
        <f>(C25-C24)*100</f>
        <v>3.0000000000000027</v>
      </c>
      <c r="G25" s="88"/>
      <c r="H25" s="93"/>
      <c r="I25" s="187"/>
      <c r="J25" s="93"/>
    </row>
    <row r="26" spans="1:12" x14ac:dyDescent="0.2">
      <c r="A26" s="108"/>
      <c r="B26" s="102"/>
      <c r="C26" s="102"/>
      <c r="D26" s="109"/>
      <c r="G26" s="88"/>
      <c r="H26" s="93"/>
      <c r="I26" s="187"/>
      <c r="J26" s="93"/>
    </row>
    <row r="27" spans="1:12" ht="15" x14ac:dyDescent="0.25">
      <c r="A27" s="111" t="s">
        <v>5</v>
      </c>
      <c r="B27" s="103">
        <f>SUM(B21:B25)</f>
        <v>140</v>
      </c>
      <c r="C27" s="112" t="s">
        <v>228</v>
      </c>
      <c r="D27" s="126">
        <f>(B21*C21+B22*C22+B23*C23+B24*C24+B25*C25)/B27</f>
        <v>0.51800000000000002</v>
      </c>
      <c r="G27" s="88"/>
      <c r="I27" s="187"/>
      <c r="J27" s="89"/>
    </row>
    <row r="28" spans="1:12" x14ac:dyDescent="0.2">
      <c r="H28" s="89"/>
      <c r="I28" s="187"/>
    </row>
    <row r="29" spans="1:12" x14ac:dyDescent="0.2">
      <c r="H29" s="89"/>
      <c r="I29" s="187"/>
    </row>
    <row r="30" spans="1:12" x14ac:dyDescent="0.2">
      <c r="I30" s="187"/>
    </row>
    <row r="31" spans="1:12" x14ac:dyDescent="0.2">
      <c r="I31" s="187"/>
    </row>
    <row r="32" spans="1:12" x14ac:dyDescent="0.2">
      <c r="I32" s="187"/>
    </row>
    <row r="33" spans="9:9" x14ac:dyDescent="0.2">
      <c r="I33" s="187"/>
    </row>
    <row r="34" spans="9:9" x14ac:dyDescent="0.2">
      <c r="I34" s="187"/>
    </row>
    <row r="35" spans="9:9" x14ac:dyDescent="0.2">
      <c r="I35" s="187"/>
    </row>
    <row r="36" spans="9:9" x14ac:dyDescent="0.2">
      <c r="I36" s="187"/>
    </row>
    <row r="37" spans="9:9" x14ac:dyDescent="0.2">
      <c r="I37" s="187"/>
    </row>
    <row r="38" spans="9:9" x14ac:dyDescent="0.2">
      <c r="I38" s="187"/>
    </row>
    <row r="39" spans="9:9" x14ac:dyDescent="0.2">
      <c r="I39" s="187"/>
    </row>
  </sheetData>
  <mergeCells count="2">
    <mergeCell ref="B2:C2"/>
    <mergeCell ref="B17:C17"/>
  </mergeCell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80"/>
  <sheetViews>
    <sheetView showGridLines="0" tabSelected="1" topLeftCell="B1" zoomScale="85" workbookViewId="0">
      <pane xSplit="10" ySplit="5" topLeftCell="T6" activePane="bottomRight" state="frozen"/>
      <selection activeCell="B1" sqref="B1"/>
      <selection pane="topRight" activeCell="L1" sqref="L1"/>
      <selection pane="bottomLeft" activeCell="B6" sqref="B6"/>
      <selection pane="bottomRight" activeCell="V14" sqref="V14"/>
    </sheetView>
  </sheetViews>
  <sheetFormatPr defaultRowHeight="12.75" outlineLevelCol="1" x14ac:dyDescent="0.2"/>
  <cols>
    <col min="1" max="1" width="9.7109375" hidden="1" customWidth="1"/>
    <col min="2" max="2" width="13.7109375" customWidth="1"/>
    <col min="3" max="3" width="14.28515625" hidden="1" customWidth="1" outlineLevel="1"/>
    <col min="4" max="4" width="10.7109375" customWidth="1" collapsed="1"/>
    <col min="5" max="5" width="5.85546875" customWidth="1"/>
    <col min="6" max="6" width="13.28515625" customWidth="1"/>
    <col min="7" max="9" width="13.7109375" hidden="1" customWidth="1" outlineLevel="1"/>
    <col min="10" max="11" width="15" hidden="1" customWidth="1" outlineLevel="1"/>
    <col min="12" max="12" width="4.140625" customWidth="1" collapsed="1"/>
    <col min="13" max="13" width="8.7109375" customWidth="1"/>
    <col min="14" max="15" width="9.140625" customWidth="1"/>
    <col min="16" max="16" width="9.7109375" customWidth="1" collapsed="1"/>
    <col min="17" max="17" width="9.85546875" customWidth="1"/>
    <col min="18" max="18" width="9.5703125" customWidth="1"/>
    <col min="19" max="19" width="9.42578125" customWidth="1" collapsed="1"/>
    <col min="20" max="21" width="10.7109375" customWidth="1"/>
    <col min="22" max="22" width="9.7109375" customWidth="1"/>
    <col min="23" max="23" width="10.7109375" customWidth="1"/>
    <col min="24" max="24" width="9.85546875" customWidth="1"/>
    <col min="25" max="25" width="10" customWidth="1"/>
    <col min="26" max="26" width="10.7109375" customWidth="1"/>
    <col min="27" max="29" width="9.140625" hidden="1" customWidth="1" outlineLevel="1"/>
    <col min="30" max="32" width="12.7109375" hidden="1" customWidth="1" outlineLevel="1"/>
    <col min="33" max="33" width="10.7109375" customWidth="1" collapsed="1"/>
    <col min="34" max="36" width="10.7109375" customWidth="1"/>
    <col min="42" max="42" width="9.28515625" bestFit="1" customWidth="1"/>
  </cols>
  <sheetData>
    <row r="1" spans="1:43" ht="15" customHeight="1" x14ac:dyDescent="0.2">
      <c r="A1" s="1"/>
      <c r="B1" s="8" t="s">
        <v>27</v>
      </c>
      <c r="C1" s="3"/>
      <c r="D1" s="8" t="s">
        <v>29</v>
      </c>
      <c r="E1" s="6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1"/>
      <c r="U1" s="3"/>
      <c r="V1" s="1"/>
      <c r="W1" s="3"/>
      <c r="X1" s="8"/>
      <c r="Y1" s="8" t="s">
        <v>200</v>
      </c>
      <c r="Z1" s="8"/>
      <c r="AA1" s="3"/>
      <c r="AB1" s="3"/>
      <c r="AC1" s="3"/>
      <c r="AD1" s="3"/>
      <c r="AE1" s="3"/>
      <c r="AF1" s="3"/>
      <c r="AG1" s="3"/>
      <c r="AI1" s="8" t="s">
        <v>201</v>
      </c>
      <c r="AJ1" s="8" t="s">
        <v>202</v>
      </c>
      <c r="AM1" s="9" t="s">
        <v>92</v>
      </c>
      <c r="AN1" s="10" t="s">
        <v>93</v>
      </c>
      <c r="AO1" s="10" t="s">
        <v>94</v>
      </c>
      <c r="AP1" s="10" t="s">
        <v>95</v>
      </c>
      <c r="AQ1" s="11" t="s">
        <v>96</v>
      </c>
    </row>
    <row r="2" spans="1:43" ht="15" customHeight="1" thickBot="1" x14ac:dyDescent="0.25">
      <c r="A2" s="1"/>
      <c r="B2" s="12">
        <f ca="1">TODAY()</f>
        <v>41626</v>
      </c>
      <c r="C2" s="3"/>
      <c r="D2" s="13" t="s">
        <v>101</v>
      </c>
      <c r="E2" s="6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1"/>
      <c r="U2" s="3"/>
      <c r="V2" s="1"/>
      <c r="W2" s="3"/>
      <c r="X2" s="5"/>
      <c r="Y2" s="5"/>
      <c r="Z2" s="5"/>
      <c r="AA2" s="3"/>
      <c r="AB2" s="3"/>
      <c r="AC2" s="3"/>
      <c r="AD2" s="3"/>
      <c r="AE2" s="3"/>
      <c r="AF2" s="3"/>
      <c r="AG2" s="5" t="s">
        <v>42</v>
      </c>
      <c r="AH2" s="5" t="s">
        <v>42</v>
      </c>
      <c r="AI2" s="6"/>
      <c r="AJ2" s="3"/>
      <c r="AM2" s="14">
        <v>4</v>
      </c>
      <c r="AN2" s="15">
        <v>1</v>
      </c>
      <c r="AO2" s="15">
        <v>0</v>
      </c>
      <c r="AP2" s="15">
        <v>2</v>
      </c>
      <c r="AQ2" s="16">
        <v>1</v>
      </c>
    </row>
    <row r="3" spans="1:43" ht="15" customHeight="1" thickBot="1" x14ac:dyDescent="0.25">
      <c r="A3" s="7" t="s">
        <v>57</v>
      </c>
      <c r="B3" s="7" t="s">
        <v>37</v>
      </c>
      <c r="C3" s="7" t="s">
        <v>38</v>
      </c>
      <c r="D3" s="7" t="s">
        <v>39</v>
      </c>
      <c r="E3" s="7" t="s">
        <v>110</v>
      </c>
      <c r="F3" s="7" t="s">
        <v>43</v>
      </c>
      <c r="G3" s="7" t="s">
        <v>102</v>
      </c>
      <c r="H3" s="7" t="s">
        <v>103</v>
      </c>
      <c r="I3" s="7" t="s">
        <v>104</v>
      </c>
      <c r="J3" s="7" t="s">
        <v>13</v>
      </c>
      <c r="K3" s="7" t="s">
        <v>15</v>
      </c>
      <c r="L3" s="7" t="s">
        <v>40</v>
      </c>
      <c r="M3" s="7" t="s">
        <v>44</v>
      </c>
      <c r="N3" s="7"/>
      <c r="O3" s="7"/>
      <c r="P3" s="7" t="s">
        <v>106</v>
      </c>
      <c r="Q3" s="7" t="s">
        <v>18</v>
      </c>
      <c r="R3" s="7" t="s">
        <v>19</v>
      </c>
      <c r="S3" s="7" t="s">
        <v>105</v>
      </c>
      <c r="T3" s="7" t="s">
        <v>205</v>
      </c>
      <c r="U3" s="7" t="s">
        <v>203</v>
      </c>
      <c r="V3" s="7" t="s">
        <v>207</v>
      </c>
      <c r="W3" s="7" t="s">
        <v>41</v>
      </c>
      <c r="X3" s="7" t="s">
        <v>206</v>
      </c>
      <c r="Y3" s="7" t="s">
        <v>41</v>
      </c>
      <c r="Z3" s="7" t="s">
        <v>204</v>
      </c>
      <c r="AA3" s="7"/>
      <c r="AB3" s="7"/>
      <c r="AC3" s="7"/>
      <c r="AD3" s="7"/>
      <c r="AE3" s="7"/>
      <c r="AF3" s="7"/>
      <c r="AG3" s="7" t="s">
        <v>108</v>
      </c>
      <c r="AH3" s="7" t="s">
        <v>109</v>
      </c>
      <c r="AI3" s="7" t="s">
        <v>97</v>
      </c>
      <c r="AJ3" s="7" t="s">
        <v>107</v>
      </c>
    </row>
    <row r="4" spans="1:43" ht="15" hidden="1" customHeight="1" x14ac:dyDescent="0.2">
      <c r="B4" s="3"/>
      <c r="C4" s="3"/>
      <c r="D4" s="13"/>
      <c r="E4" s="6"/>
      <c r="F4" s="3"/>
      <c r="G4" s="3"/>
      <c r="H4" s="3"/>
      <c r="I4" s="3"/>
      <c r="J4" s="3"/>
      <c r="K4" s="3"/>
      <c r="L4" s="3"/>
      <c r="M4" s="8"/>
      <c r="N4" s="3"/>
      <c r="O4" s="3"/>
      <c r="P4" s="3"/>
      <c r="Q4" s="3" t="s">
        <v>25</v>
      </c>
      <c r="R4" s="3" t="s">
        <v>26</v>
      </c>
      <c r="S4" s="3"/>
      <c r="T4" s="8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6"/>
      <c r="AJ4" s="3"/>
    </row>
    <row r="5" spans="1:43" ht="15" hidden="1" customHeight="1" thickBot="1" x14ac:dyDescent="0.25">
      <c r="B5" s="7" t="s">
        <v>28</v>
      </c>
      <c r="C5" s="4">
        <f t="array" ref="C5:C80">_xll.GetLogicBookInstruments(D2,"n")</f>
        <v>40</v>
      </c>
      <c r="D5" s="7" t="s">
        <v>14</v>
      </c>
      <c r="E5" s="7" t="s">
        <v>8</v>
      </c>
      <c r="F5" s="7" t="s">
        <v>9</v>
      </c>
      <c r="G5" s="7" t="s">
        <v>10</v>
      </c>
      <c r="H5" s="7" t="s">
        <v>11</v>
      </c>
      <c r="I5" s="7" t="s">
        <v>12</v>
      </c>
      <c r="J5" s="7" t="s">
        <v>13</v>
      </c>
      <c r="K5" s="7" t="s">
        <v>15</v>
      </c>
      <c r="L5" s="7" t="s">
        <v>17</v>
      </c>
      <c r="M5" s="7" t="s">
        <v>62</v>
      </c>
      <c r="N5" s="7" t="s">
        <v>238</v>
      </c>
      <c r="O5" s="7" t="s">
        <v>16</v>
      </c>
      <c r="P5" s="4"/>
      <c r="Q5" s="7" t="s">
        <v>23</v>
      </c>
      <c r="R5" s="7" t="s">
        <v>24</v>
      </c>
      <c r="S5" s="4"/>
      <c r="T5" s="7" t="s">
        <v>20</v>
      </c>
      <c r="U5" s="7"/>
      <c r="V5" s="7" t="s">
        <v>21</v>
      </c>
      <c r="W5" s="7" t="s">
        <v>22</v>
      </c>
      <c r="X5" s="7" t="s">
        <v>21</v>
      </c>
      <c r="Y5" s="7" t="s">
        <v>22</v>
      </c>
      <c r="Z5" s="7"/>
      <c r="AA5" s="7" t="s">
        <v>35</v>
      </c>
      <c r="AB5" s="7" t="s">
        <v>31</v>
      </c>
      <c r="AC5" s="7" t="s">
        <v>32</v>
      </c>
      <c r="AD5" s="7" t="s">
        <v>33</v>
      </c>
      <c r="AE5" s="7" t="s">
        <v>34</v>
      </c>
      <c r="AF5" s="7" t="s">
        <v>36</v>
      </c>
      <c r="AG5" s="7" t="s">
        <v>30</v>
      </c>
      <c r="AH5" s="18"/>
      <c r="AI5" s="17"/>
      <c r="AJ5" s="18"/>
    </row>
    <row r="6" spans="1:43" ht="15.75" x14ac:dyDescent="0.25">
      <c r="A6" s="2" t="s">
        <v>59</v>
      </c>
      <c r="B6" s="19">
        <f ca="1">IF(C6=0,NA(),MAX(_xll.xlBondValueDate(D6,$B$2),I6))</f>
        <v>41628</v>
      </c>
      <c r="C6" s="20" t="str">
        <v>IT0004921620</v>
      </c>
      <c r="D6" s="86" t="str">
        <f t="array" ref="D6:N6">_xll.BondInfo(C6,$D$5:$N$5)</f>
        <v>BOT</v>
      </c>
      <c r="E6" s="20">
        <v>0</v>
      </c>
      <c r="F6" s="87">
        <v>41627</v>
      </c>
      <c r="G6" s="19">
        <v>41408</v>
      </c>
      <c r="H6" s="19">
        <v>41627</v>
      </c>
      <c r="I6" s="19">
        <v>41408</v>
      </c>
      <c r="J6" s="20">
        <v>99.760999999999996</v>
      </c>
      <c r="K6" s="20" t="str">
        <v>IT492162=TT</v>
      </c>
      <c r="L6" s="20" t="str">
        <v>N</v>
      </c>
      <c r="M6" s="20" t="str">
        <v>EJ6694594</v>
      </c>
      <c r="N6" s="20" t="str">
        <v>BOTS</v>
      </c>
      <c r="O6" s="21">
        <f>_xll.BondOutstanding(C6)</f>
        <v>5500000000</v>
      </c>
      <c r="P6" s="25" t="str">
        <f ca="1">_xll.xlBondYieldSensCustom(D6,E6,F6,G6,H6,I6,J6,B6,Q6,$AM$2,$AN$2,$AO$2,$AP$2,$AQ$2,"y")</f>
        <v>Bond not alive on calculation date</v>
      </c>
      <c r="Q6" s="26">
        <f>_xll.RtGet("IDN",$K6,IF(OR($D6="BTP,$E11=""CTZ"),Q$5,Q$4))</f>
        <v>99.999669999999995</v>
      </c>
      <c r="R6" s="27">
        <f>_xll.RtGet("IDN",$K6,IF(OR($D6="BTP,$E11=""CTZ"),R$5,R$4))</f>
        <v>99.999780000000001</v>
      </c>
      <c r="S6" s="28" t="str">
        <f ca="1">_xll.xlBondYieldSensCustom(D6,E6,F6,G6,H6,I6,J6,B6,R6,$AM$2,$AN$2,$AO$2,$AP$2,$AQ$2,"y")</f>
        <v>Bond not alive on calculation date</v>
      </c>
      <c r="T6" s="23">
        <f>AVERAGE(Q6:R6)</f>
        <v>99.999724999999998</v>
      </c>
      <c r="U6" s="83" t="str">
        <f ca="1">_xll.xlBondYieldSensCustom(D6,E6,F6,G6,H6,I6,J6,B6,T6,$AM$2,$AN$2,$AO$2,$AP$2,$AQ$2,"y")</f>
        <v>Bond not alive on calculation date</v>
      </c>
      <c r="V6" s="23"/>
      <c r="W6" s="23">
        <f t="shared" ref="W6:W37" si="0">IF(ISNUMBER(V6),V6,T6)</f>
        <v>99.999724999999998</v>
      </c>
      <c r="X6" s="22"/>
      <c r="Y6" s="22" t="str">
        <f t="shared" ref="Y6:Y36" ca="1" si="1">IF(ISNUMBER(X6),X6,AH6)</f>
        <v>Bond not alive on calculation date</v>
      </c>
      <c r="Z6" s="23" t="e">
        <f ca="1">_xll.xlBondPriceCustom(D6,E6,F6,G6,H6,I6,J6,B6,Y6,$AM$2,$AN$2,$AO$2,$AP$2,$AQ$2)</f>
        <v>#NUM!</v>
      </c>
      <c r="AA6" s="20" t="str">
        <f t="array" aca="1" ref="AA6:AG6" ca="1">_xll.xlBondYieldSens(D6,E6,F6,G6,H6,I6,J6,B6,W6,$AA$5&amp;$AB$5&amp;$AC$5&amp;$AD$5&amp;$AE$5&amp;$AF$5&amp;$AG$5)</f>
        <v>Bond not alive on calculation date</v>
      </c>
      <c r="AB6" s="20" t="str">
        <f ca="1"/>
        <v>Bond not alive on calculation date</v>
      </c>
      <c r="AC6" s="20" t="str">
        <f ca="1"/>
        <v>Bond not alive on calculation date</v>
      </c>
      <c r="AD6" s="20" t="str">
        <f ca="1"/>
        <v>Bond not alive on calculation date</v>
      </c>
      <c r="AE6" s="20" t="str">
        <f ca="1"/>
        <v>Bond not alive on calculation date</v>
      </c>
      <c r="AF6" s="20" t="str">
        <f ca="1"/>
        <v>Bond not alive on calculation date</v>
      </c>
      <c r="AG6" s="24" t="str">
        <f ca="1"/>
        <v>Bond not alive on calculation date</v>
      </c>
      <c r="AH6" s="22" t="str">
        <f ca="1">_xll.xlBondYieldSensCustom(D6,E6,F6,G6,H6,I6,J6,B6,W6,$AM$2,$AN$2,$AO$2,$AP$2,$AQ$2,"y")</f>
        <v>Bond not alive on calculation date</v>
      </c>
      <c r="AI6" s="22" t="str">
        <f ca="1">IF(OR(TRIM($D6)="CTZ",TRIM($D6)="BTP",TRIM($D6)="BOT"),_xll.xlShmInterpRateFwd("EONIA",_xll.xlDateSettle("target",$B$2,2),0,4,$F6),"")</f>
        <v>Invalid date.</v>
      </c>
      <c r="AJ6" s="85" t="e">
        <f t="shared" ref="AJ6:AJ37" ca="1" si="2">$Y6-$AI6</f>
        <v>#VALUE!</v>
      </c>
      <c r="AO6" s="84"/>
    </row>
    <row r="7" spans="1:43" ht="15.75" x14ac:dyDescent="0.25">
      <c r="A7" s="2" t="s">
        <v>60</v>
      </c>
      <c r="B7" s="19">
        <f ca="1">MAX(_xll.xlBondValueDate(D7,$B$2),I7)</f>
        <v>41628</v>
      </c>
      <c r="C7" s="20" t="str">
        <v>IT0004960495</v>
      </c>
      <c r="D7" s="86" t="str">
        <f t="array" ref="D7:N7">_xll.BondInfo(C7,$D$5:$N$5)</f>
        <v>BOT</v>
      </c>
      <c r="E7" s="20">
        <v>0</v>
      </c>
      <c r="F7" s="87">
        <v>41631</v>
      </c>
      <c r="G7" s="19">
        <v>41530</v>
      </c>
      <c r="H7" s="19">
        <v>41631</v>
      </c>
      <c r="I7" s="19">
        <v>41530</v>
      </c>
      <c r="J7" s="20">
        <v>99.856999999999999</v>
      </c>
      <c r="K7" s="20" t="str">
        <v>IT496049=TT</v>
      </c>
      <c r="L7" s="20" t="str">
        <v>N</v>
      </c>
      <c r="M7" s="20" t="str">
        <v>EJ8238408</v>
      </c>
      <c r="N7" s="20" t="str">
        <v>BOTS</v>
      </c>
      <c r="O7" s="21">
        <f>_xll.BondOutstanding(C7)</f>
        <v>3000000000</v>
      </c>
      <c r="P7" s="25">
        <f ca="1">_xll.xlBondYieldSensCustom(D7,E7,F7,G7,H7,I7,J7,B7,Q7,$AM$2,$AN$2,$AO$2,$AP$2,$AQ$2,"y")</f>
        <v>1.4280169934011155E-3</v>
      </c>
      <c r="Q7" s="26">
        <f>_xll.RtGet("IDN",$K7,IF(OR($D7="BTP,$E11=""CTZ"),Q$5,Q$4))</f>
        <v>99.998810000000006</v>
      </c>
      <c r="R7" s="27">
        <f>_xll.RtGet("IDN",$K7,IF(OR($D7="BTP,$E11=""CTZ"),R$5,R$4))</f>
        <v>99.999070000000003</v>
      </c>
      <c r="S7" s="28">
        <f ca="1">_xll.xlBondYieldSensCustom(D7,E7,F7,G7,H7,I7,J7,B7,R7,$AM$2,$AN$2,$AO$2,$AP$2,$AQ$2,"y")</f>
        <v>1.1160103779737085E-3</v>
      </c>
      <c r="T7" s="23">
        <f t="shared" ref="T7:T70" si="3">AVERAGE(Q7:R7)</f>
        <v>99.998940000000005</v>
      </c>
      <c r="U7" s="83">
        <f ca="1">_xll.xlBondYieldSensCustom(D7,E7,F7,G7,H7,I7,J7,B7,T7,$AM$2,$AN$2,$AO$2,$AP$2,$AQ$2,"y")</f>
        <v>1.2720134833443808E-3</v>
      </c>
      <c r="V7" s="23"/>
      <c r="W7" s="23">
        <f t="shared" si="0"/>
        <v>99.998940000000005</v>
      </c>
      <c r="X7" s="22"/>
      <c r="Y7" s="22">
        <f t="shared" ca="1" si="1"/>
        <v>1.2720134833443808E-3</v>
      </c>
      <c r="Z7" s="23">
        <f ca="1">_xll.xlBondPriceCustom(D7,E7,F7,G7,H7,I7,J7,B7,Y7,$AM$2,$AN$2,$AO$2,$AP$2,$AQ$2)</f>
        <v>99.998940000000005</v>
      </c>
      <c r="AA7" s="20">
        <f t="array" aca="1" ref="AA7:AG7" ca="1">_xll.xlBondYieldSens(D7,E7,F7,G7,H7,I7,J7,B7,W7,$AA$5&amp;$AB$5&amp;$AC$5&amp;$AD$5&amp;$AE$5&amp;$AF$5&amp;$AG$5)</f>
        <v>0</v>
      </c>
      <c r="AB7" s="20">
        <f ca="1"/>
        <v>8.3332449999999995E-3</v>
      </c>
      <c r="AC7" s="20">
        <f ca="1"/>
        <v>-8.3331566676030002E-3</v>
      </c>
      <c r="AD7" s="20">
        <f ca="1"/>
        <v>1.3888741666666666E-6</v>
      </c>
      <c r="AE7" s="20">
        <f ca="1"/>
        <v>1.3888447226903871E-6</v>
      </c>
      <c r="AF7" s="20">
        <f ca="1"/>
        <v>8.3331566663957801E-3</v>
      </c>
      <c r="AG7" s="24">
        <f ca="1"/>
        <v>1.2720134833443808E-3</v>
      </c>
      <c r="AH7" s="22">
        <f ca="1">_xll.xlBondYieldSensCustom(D7,E7,F7,G7,H7,I7,J7,B7,W7,$AM$2,$AN$2,$AO$2,$AP$2,$AQ$2,"y")</f>
        <v>1.2720134833443808E-3</v>
      </c>
      <c r="AI7" s="22">
        <f ca="1">IF(OR(TRIM($D7)="CTZ",TRIM($D7)="BTP",TRIM($D7)="BOT"),_xll.xlShmInterpRateFwd("EONIA",_xll.xlDateSettle("target",$B$2,2),0,4,$F7),"")</f>
        <v>2.200000000004392E-3</v>
      </c>
      <c r="AJ7" s="85">
        <f t="shared" ca="1" si="2"/>
        <v>-9.2798651666001122E-4</v>
      </c>
      <c r="AO7" s="84"/>
    </row>
    <row r="8" spans="1:43" ht="15.75" x14ac:dyDescent="0.25">
      <c r="A8" s="2" t="s">
        <v>61</v>
      </c>
      <c r="B8" s="19">
        <f ca="1">MAX(_xll.xlBondValueDate(D8,$B$2),I8)</f>
        <v>41628</v>
      </c>
      <c r="C8" s="20" t="str">
        <v>IT0004932072</v>
      </c>
      <c r="D8" s="86" t="str">
        <f t="array" ref="D8:N8">_xll.BondInfo(C8,$D$5:$N$5)</f>
        <v>BOT</v>
      </c>
      <c r="E8" s="20">
        <v>0</v>
      </c>
      <c r="F8" s="87">
        <v>41639</v>
      </c>
      <c r="G8" s="19">
        <v>41453</v>
      </c>
      <c r="H8" s="19">
        <v>41639</v>
      </c>
      <c r="I8" s="19">
        <v>41453</v>
      </c>
      <c r="J8" s="20">
        <v>99.459000000000003</v>
      </c>
      <c r="K8" s="20" t="str">
        <v>IT493207=TT</v>
      </c>
      <c r="L8" s="20" t="str">
        <v>N</v>
      </c>
      <c r="M8" s="20" t="str">
        <v>EJ7066438</v>
      </c>
      <c r="N8" s="20" t="str">
        <v>BOTS</v>
      </c>
      <c r="O8" s="21">
        <f>_xll.BondOutstanding(C8)</f>
        <v>9200000000</v>
      </c>
      <c r="P8" s="25">
        <f ca="1">_xll.xlBondYieldSensCustom(D8,E8,F8,G8,H8,I8,J8,B8,Q8,$AM$2,$AN$2,$AO$2,$AP$2,$AQ$2,"y")</f>
        <v>2.0390361226362589E-3</v>
      </c>
      <c r="Q8" s="26">
        <f>_xll.RtGet("IDN",$K8,IF(OR($D8="BTP,$E11=""CTZ"),Q$5,Q$4))</f>
        <v>99.993769999999998</v>
      </c>
      <c r="R8" s="27">
        <f>_xll.RtGet("IDN",$K8,IF(OR($D8="BTP,$E11=""CTZ"),R$5,R$4))</f>
        <v>99.994900000000001</v>
      </c>
      <c r="S8" s="28">
        <f ca="1">_xll.xlBondYieldSensCustom(D8,E8,F8,G8,H8,I8,J8,B8,R8,$AM$2,$AN$2,$AO$2,$AP$2,$AQ$2,"y")</f>
        <v>1.6691760370690645E-3</v>
      </c>
      <c r="T8" s="23">
        <f t="shared" si="3"/>
        <v>99.994335000000007</v>
      </c>
      <c r="U8" s="83">
        <f ca="1">_xll.xlBondYieldSensCustom(D8,E8,F8,G8,H8,I8,J8,B8,T8,$AM$2,$AN$2,$AO$2,$AP$2,$AQ$2,"y")</f>
        <v>1.8541050350458347E-3</v>
      </c>
      <c r="V8" s="23"/>
      <c r="W8" s="23">
        <f t="shared" si="0"/>
        <v>99.994335000000007</v>
      </c>
      <c r="X8" s="22"/>
      <c r="Y8" s="22">
        <f t="shared" ca="1" si="1"/>
        <v>1.8541050350458347E-3</v>
      </c>
      <c r="Z8" s="23">
        <f ca="1">_xll.xlBondPriceCustom(D8,E8,F8,G8,H8,I8,J8,B8,Y8,$AM$2,$AN$2,$AO$2,$AP$2,$AQ$2)</f>
        <v>99.994335000000007</v>
      </c>
      <c r="AA8" s="20">
        <f t="array" aca="1" ref="AA8:AG8" ca="1">_xll.xlBondYieldSens(D8,E8,F8,G8,H8,I8,J8,B8,W8,$AA$5&amp;$AB$5&amp;$AC$5&amp;$AD$5&amp;$AE$5&amp;$AF$5&amp;$AG$5)</f>
        <v>0</v>
      </c>
      <c r="AB8" s="20">
        <f ca="1"/>
        <v>3.0553824583333337E-2</v>
      </c>
      <c r="AC8" s="20">
        <f ca="1"/>
        <v>-3.0552093709170693E-2</v>
      </c>
      <c r="AD8" s="20">
        <f ca="1"/>
        <v>1.8671781689814814E-5</v>
      </c>
      <c r="AE8" s="20">
        <f ca="1"/>
        <v>1.8669666236871268E-5</v>
      </c>
      <c r="AF8" s="20">
        <f ca="1"/>
        <v>3.0552093708280381E-2</v>
      </c>
      <c r="AG8" s="24">
        <f ca="1"/>
        <v>1.8541050350458347E-3</v>
      </c>
      <c r="AH8" s="22">
        <f ca="1">_xll.xlBondYieldSensCustom(D8,E8,F8,G8,H8,I8,J8,B8,W8,$AM$2,$AN$2,$AO$2,$AP$2,$AQ$2,"y")</f>
        <v>1.8541050350458347E-3</v>
      </c>
      <c r="AI8" s="22">
        <f ca="1">IF(OR(TRIM($D8)="CTZ",TRIM($D8)="BTP",TRIM($D8)="BOT"),_xll.xlShmInterpRateFwd("EONIA",_xll.xlDateSettle("target",$B$2,2),0,4,$F8),"")</f>
        <v>2.198479249166775E-3</v>
      </c>
      <c r="AJ8" s="85">
        <f t="shared" ca="1" si="2"/>
        <v>-3.4437421412094032E-4</v>
      </c>
      <c r="AO8" s="84"/>
    </row>
    <row r="9" spans="1:43" ht="15.75" x14ac:dyDescent="0.25">
      <c r="A9" s="2" t="s">
        <v>52</v>
      </c>
      <c r="B9" s="19">
        <f ca="1">MAX(_xll.xlBondValueDate(D9,$B$2),I9)</f>
        <v>41628</v>
      </c>
      <c r="C9" s="20" t="str">
        <v>IT0004885965</v>
      </c>
      <c r="D9" s="86" t="str">
        <f t="array" ref="D9:N9">_xll.BondInfo(C9,$D$5:$N$5)</f>
        <v>BOT</v>
      </c>
      <c r="E9" s="20">
        <v>0</v>
      </c>
      <c r="F9" s="87">
        <v>41653</v>
      </c>
      <c r="G9" s="19">
        <v>41288</v>
      </c>
      <c r="H9" s="19">
        <v>41653</v>
      </c>
      <c r="I9" s="19">
        <v>41288</v>
      </c>
      <c r="J9" s="20">
        <v>99.132000000000005</v>
      </c>
      <c r="K9" s="20" t="str">
        <v>IT488596=TT</v>
      </c>
      <c r="L9" s="20" t="str">
        <v>N</v>
      </c>
      <c r="M9" s="20" t="str">
        <v>EJ4982124</v>
      </c>
      <c r="N9" s="20" t="str">
        <v>BOTS</v>
      </c>
      <c r="O9" s="21">
        <f>_xll.BondOutstanding(C9)</f>
        <v>9775000000</v>
      </c>
      <c r="P9" s="25">
        <f ca="1">_xll.xlBondYieldSensCustom(D9,E9,F9,G9,H9,I9,J9,B9,Q9,$AM$2,$AN$2,$AO$2,$AP$2,$AQ$2,"y")</f>
        <v>4.4394482379466636E-3</v>
      </c>
      <c r="Q9" s="26">
        <f>_xll.RtGet("IDN",$K9,IF(OR($D9="BTP,$E11=""CTZ"),Q$5,Q$4))</f>
        <v>99.969179999999994</v>
      </c>
      <c r="R9" s="27">
        <f>_xll.RtGet("IDN",$K9,IF(OR($D9="BTP,$E11=""CTZ"),R$5,R$4))</f>
        <v>99.971670000000003</v>
      </c>
      <c r="S9" s="28">
        <f ca="1">_xll.xlBondYieldSensCustom(D9,E9,F9,G9,H9,I9,J9,B9,R9,$AM$2,$AN$2,$AO$2,$AP$2,$AQ$2,"y")</f>
        <v>4.0806760556399979E-3</v>
      </c>
      <c r="T9" s="23">
        <f t="shared" si="3"/>
        <v>99.970425000000006</v>
      </c>
      <c r="U9" s="83">
        <f ca="1">_xll.xlBondYieldSensCustom(D9,E9,F9,G9,H9,I9,J9,B9,T9,$AM$2,$AN$2,$AO$2,$AP$2,$AQ$2,"y")</f>
        <v>4.2600599127187166E-3</v>
      </c>
      <c r="V9" s="23"/>
      <c r="W9" s="23">
        <f t="shared" si="0"/>
        <v>99.970425000000006</v>
      </c>
      <c r="X9" s="22"/>
      <c r="Y9" s="22">
        <f t="shared" ca="1" si="1"/>
        <v>4.2600599127187166E-3</v>
      </c>
      <c r="Z9" s="141">
        <f ca="1">_xll.xlBondPriceCustom(D9,E9,F9,G9,H9,I9,J9,B9,Y9,$AM$2,$AN$2,$AO$2,$AP$2,$AQ$2)</f>
        <v>99.970425000000006</v>
      </c>
      <c r="AA9" s="20">
        <f t="array" aca="1" ref="AA9:AG9" ca="1">_xll.xlBondYieldSens(D9,E9,F9,G9,H9,I9,J9,B9,W9,$AA$5&amp;$AB$5&amp;$AC$5&amp;$AD$5&amp;$AE$5&amp;$AF$5&amp;$AG$5)</f>
        <v>0</v>
      </c>
      <c r="AB9" s="20">
        <f ca="1"/>
        <v>6.942390625E-2</v>
      </c>
      <c r="AC9" s="20">
        <f ca="1"/>
        <v>-6.9403374129726567E-2</v>
      </c>
      <c r="AD9" s="20">
        <f ca="1"/>
        <v>9.6422092013888905E-5</v>
      </c>
      <c r="AE9" s="20">
        <f ca="1"/>
        <v>9.6365066780316265E-5</v>
      </c>
      <c r="AF9" s="20">
        <f ca="1"/>
        <v>6.9403374133258922E-2</v>
      </c>
      <c r="AG9" s="24">
        <f ca="1"/>
        <v>4.2600599127187166E-3</v>
      </c>
      <c r="AH9" s="22">
        <f ca="1">_xll.xlBondYieldSensCustom(D9,E9,F9,G9,H9,I9,J9,B9,W9,$AM$2,$AN$2,$AO$2,$AP$2,$AQ$2,"y")</f>
        <v>4.2600599127187166E-3</v>
      </c>
      <c r="AI9" s="22">
        <f ca="1">IF(OR(TRIM($D9)="CTZ",TRIM($D9)="BTP",TRIM($D9)="BOT"),_xll.xlShmInterpRateFwd("EONIA",_xll.xlDateSettle("target",$B$2,2),0,4,$F9),"")</f>
        <v>2.0908612042654876E-3</v>
      </c>
      <c r="AJ9" s="85">
        <f t="shared" ca="1" si="2"/>
        <v>2.169198708453229E-3</v>
      </c>
      <c r="AO9" s="84"/>
    </row>
    <row r="10" spans="1:43" ht="15.75" x14ac:dyDescent="0.25">
      <c r="A10" s="2" t="s">
        <v>53</v>
      </c>
      <c r="B10" s="19">
        <f ca="1">MAX(_xll.xlBondValueDate(D10,$B$2),I10)</f>
        <v>41628</v>
      </c>
      <c r="C10" s="20" t="str">
        <v>IT0004940109</v>
      </c>
      <c r="D10" s="86" t="str">
        <f t="array" ref="D10:N10">_xll.BondInfo(C10,$D$5:$N$5)</f>
        <v>BOT</v>
      </c>
      <c r="E10" s="20">
        <v>0</v>
      </c>
      <c r="F10" s="87">
        <v>41670</v>
      </c>
      <c r="G10" s="19">
        <v>41486</v>
      </c>
      <c r="H10" s="19">
        <v>41670</v>
      </c>
      <c r="I10" s="19">
        <v>41486</v>
      </c>
      <c r="J10" s="20">
        <v>99.593000000000004</v>
      </c>
      <c r="K10" s="20" t="str">
        <v>IT494010=TT</v>
      </c>
      <c r="L10" s="20" t="str">
        <v>N</v>
      </c>
      <c r="M10" s="20" t="str">
        <v>EJ7413762</v>
      </c>
      <c r="N10" s="20" t="str">
        <v>BOTS</v>
      </c>
      <c r="O10" s="21">
        <f>_xll.BondOutstanding(C10)</f>
        <v>9775000000</v>
      </c>
      <c r="P10" s="25">
        <f ca="1">_xll.xlBondYieldSensCustom(D10,E10,F10,G10,H10,I10,J10,B10,Q10,$AM$2,$AN$2,$AO$2,$AP$2,$AQ$2,"y")</f>
        <v>5.5596037351416227E-3</v>
      </c>
      <c r="Q10" s="26">
        <f>_xll.RtGet("IDN",$K10,IF(OR($D10="BTP,$E11=""CTZ"),Q$5,Q$4))</f>
        <v>99.935180000000003</v>
      </c>
      <c r="R10" s="27">
        <f>_xll.RtGet("IDN",$K10,IF(OR($D10="BTP,$E11=""CTZ"),R$5,R$4))</f>
        <v>99.939599999999999</v>
      </c>
      <c r="S10" s="28">
        <f ca="1">_xll.xlBondYieldSensCustom(D10,E10,F10,G10,H10,I10,J10,B10,R10,$AM$2,$AN$2,$AO$2,$AP$2,$AQ$2,"y")</f>
        <v>5.1802717412741117E-3</v>
      </c>
      <c r="T10" s="23">
        <f t="shared" si="3"/>
        <v>99.937389999999994</v>
      </c>
      <c r="U10" s="83">
        <f ca="1">_xll.xlBondYieldSensCustom(D10,E10,F10,G10,H10,I10,J10,B10,T10,$AM$2,$AN$2,$AO$2,$AP$2,$AQ$2,"y")</f>
        <v>5.3699335439638674E-3</v>
      </c>
      <c r="V10" s="23"/>
      <c r="W10" s="23">
        <f t="shared" si="0"/>
        <v>99.937389999999994</v>
      </c>
      <c r="X10" s="22"/>
      <c r="Y10" s="22">
        <f t="shared" ca="1" si="1"/>
        <v>5.3699335439638674E-3</v>
      </c>
      <c r="Z10" s="23">
        <f ca="1">_xll.xlBondPriceCustom(D10,E10,F10,G10,H10,I10,J10,B10,Y10,$AM$2,$AN$2,$AO$2,$AP$2,$AQ$2)</f>
        <v>99.937389999999994</v>
      </c>
      <c r="AA10" s="20">
        <f t="array" aca="1" ref="AA10:AG10" ca="1">_xll.xlBondYieldSens(D10,E10,F10,G10,H10,I10,J10,B10,W10,$AA$5&amp;$AB$5&amp;$AC$5&amp;$AD$5&amp;$AE$5&amp;$AF$5&amp;$AG$5)</f>
        <v>0</v>
      </c>
      <c r="AB10" s="20">
        <f ca="1"/>
        <v>0.11659362166666667</v>
      </c>
      <c r="AC10" s="20">
        <f ca="1"/>
        <v>-0.11652062240014116</v>
      </c>
      <c r="AD10" s="20">
        <f ca="1"/>
        <v>2.7205178388888885E-4</v>
      </c>
      <c r="AE10" s="20">
        <f ca="1"/>
        <v>2.7171122728973163E-4</v>
      </c>
      <c r="AF10" s="20">
        <f ca="1"/>
        <v>0.1165206224172266</v>
      </c>
      <c r="AG10" s="24">
        <f ca="1"/>
        <v>5.3699335439638674E-3</v>
      </c>
      <c r="AH10" s="22">
        <f ca="1">_xll.xlBondYieldSensCustom(D10,E10,F10,G10,H10,I10,J10,B10,W10,$AM$2,$AN$2,$AO$2,$AP$2,$AQ$2,"y")</f>
        <v>5.3699335439638674E-3</v>
      </c>
      <c r="AI10" s="22">
        <f ca="1">IF(OR(TRIM($D10)="CTZ",TRIM($D10)="BTP",TRIM($D10)="BOT"),_xll.xlShmInterpRateFwd("EONIA",_xll.xlDateSettle("target",$B$2,2),0,4,$F10),"")</f>
        <v>1.9365332633117019E-3</v>
      </c>
      <c r="AJ10" s="85">
        <f t="shared" ca="1" si="2"/>
        <v>3.4334002806521652E-3</v>
      </c>
      <c r="AO10" s="84"/>
    </row>
    <row r="11" spans="1:43" ht="15.75" x14ac:dyDescent="0.25">
      <c r="A11" s="2" t="s">
        <v>56</v>
      </c>
      <c r="B11" s="19">
        <f ca="1">MAX(_xll.xlBondValueDate(D11,$B$2),I11)</f>
        <v>41631</v>
      </c>
      <c r="C11" s="20" t="str">
        <v>IT0004793045</v>
      </c>
      <c r="D11" s="86" t="str">
        <f t="array" ref="D11:N11">_xll.BondInfo(C11,$D$5:$N$5)</f>
        <v>CTZ</v>
      </c>
      <c r="E11" s="20">
        <v>0</v>
      </c>
      <c r="F11" s="87">
        <v>41670</v>
      </c>
      <c r="G11" s="19">
        <v>40939</v>
      </c>
      <c r="H11" s="19">
        <v>41670</v>
      </c>
      <c r="I11" s="19">
        <v>40939</v>
      </c>
      <c r="J11" s="20">
        <v>92.87</v>
      </c>
      <c r="K11" s="20" t="str">
        <v>IT479304=TT</v>
      </c>
      <c r="L11" s="20" t="str">
        <v>N</v>
      </c>
      <c r="M11" s="20" t="str">
        <v>EI9997707</v>
      </c>
      <c r="N11" s="20" t="str">
        <v>ICTZ</v>
      </c>
      <c r="O11" s="21">
        <f>_xll.BondOutstanding(C11)</f>
        <v>14491500000</v>
      </c>
      <c r="P11" s="25">
        <f ca="1">_xll.xlBondYieldSensCustom(D11,E11,F11,G11,H11,I11,J11,B11,Q11,$AM$2,$AN$2,$AO$2,$AP$2,$AQ$2,"y")</f>
        <v>7.2056203838998497E-3</v>
      </c>
      <c r="Q11" s="26">
        <f>_xll.RtGet("IDN",$K11,IF(OR($D11="BTP,$E11=""CTZ"),Q$5,Q$4))</f>
        <v>99.921999999999997</v>
      </c>
      <c r="R11" s="27">
        <f>_xll.RtGet("IDN",$K11,IF(OR($D11="BTP,$E11=""CTZ"),R$5,R$4))</f>
        <v>99.93</v>
      </c>
      <c r="S11" s="28">
        <f ca="1">_xll.xlBondYieldSensCustom(D11,E11,F11,G11,H11,I11,J11,B11,R11,$AM$2,$AN$2,$AO$2,$AP$2,$AQ$2,"y")</f>
        <v>6.466064706832214E-3</v>
      </c>
      <c r="T11" s="23">
        <f t="shared" si="3"/>
        <v>99.926000000000002</v>
      </c>
      <c r="U11" s="83">
        <f ca="1">_xll.xlBondYieldSensCustom(D11,E11,F11,G11,H11,I11,J11,B11,T11,$AM$2,$AN$2,$AO$2,$AP$2,$AQ$2,"y")</f>
        <v>6.8358277432987681E-3</v>
      </c>
      <c r="V11" s="23"/>
      <c r="W11" s="23">
        <f t="shared" si="0"/>
        <v>99.926000000000002</v>
      </c>
      <c r="X11" s="22"/>
      <c r="Y11" s="22">
        <f t="shared" ca="1" si="1"/>
        <v>6.8358277432987681E-3</v>
      </c>
      <c r="Z11" s="23">
        <f ca="1">_xll.xlBondPriceCustom(D11,E11,F11,G11,H11,I11,J11,B11,Y11,$AM$2,$AN$2,$AO$2,$AP$2,$AQ$2)</f>
        <v>99.926000000000002</v>
      </c>
      <c r="AA11" s="20">
        <f t="array" aca="1" ref="AA11:AG11" ca="1">_xll.xlBondYieldSens(D11,E11,F11,G11,H11,I11,J11,B11,W11,$AA$5&amp;$AB$5&amp;$AC$5&amp;$AD$5&amp;$AE$5&amp;$AF$5&amp;$AG$5)</f>
        <v>0</v>
      </c>
      <c r="AB11" s="20">
        <f ca="1"/>
        <v>0.10677024657534248</v>
      </c>
      <c r="AC11" s="20">
        <f ca="1"/>
        <v>-0.10669123659287673</v>
      </c>
      <c r="AD11" s="20">
        <f ca="1"/>
        <v>2.2816655432538943E-4</v>
      </c>
      <c r="AE11" s="20">
        <f ca="1"/>
        <v>2.27828992768993E-4</v>
      </c>
      <c r="AF11" s="20">
        <f ca="1"/>
        <v>0.10669123660491664</v>
      </c>
      <c r="AG11" s="24">
        <f ca="1"/>
        <v>6.9307697952890289E-3</v>
      </c>
      <c r="AH11" s="22">
        <f ca="1">_xll.xlBondYieldSensCustom(D11,E11,F11,G11,H11,I11,J11,B11,W11,$AM$2,$AN$2,$AO$2,$AP$2,$AQ$2,"y")</f>
        <v>6.8358277432987681E-3</v>
      </c>
      <c r="AI11" s="22">
        <f ca="1">IF(OR(TRIM($D11)="CTZ",TRIM($D11)="BTP",TRIM($D11)="BOT"),_xll.xlShmInterpRateFwd("EONIA",_xll.xlDateSettle("target",$B$2,2),0,4,$F11),"")</f>
        <v>1.9365332633117019E-3</v>
      </c>
      <c r="AJ11" s="85">
        <f t="shared" ca="1" si="2"/>
        <v>4.8992944799870659E-3</v>
      </c>
      <c r="AO11" s="84"/>
    </row>
    <row r="12" spans="1:43" ht="15.75" x14ac:dyDescent="0.25">
      <c r="A12" s="2" t="s">
        <v>55</v>
      </c>
      <c r="B12" s="19">
        <f ca="1">MAX(_xll.xlBondValueDate(D12,$B$2),I12)</f>
        <v>41628</v>
      </c>
      <c r="C12" s="20" t="str">
        <v>IT0004892649</v>
      </c>
      <c r="D12" s="86" t="str">
        <f t="array" ref="D12:N12">_xll.BondInfo(C12,$D$5:$N$5)</f>
        <v>BOT</v>
      </c>
      <c r="E12" s="20">
        <v>0</v>
      </c>
      <c r="F12" s="87">
        <v>41684</v>
      </c>
      <c r="G12" s="19">
        <v>41319</v>
      </c>
      <c r="H12" s="19">
        <v>41684</v>
      </c>
      <c r="I12" s="19">
        <v>41319</v>
      </c>
      <c r="J12" s="20">
        <v>98.903000000000006</v>
      </c>
      <c r="K12" s="20" t="str">
        <v>IT489264=TT</v>
      </c>
      <c r="L12" s="20" t="str">
        <v>N</v>
      </c>
      <c r="M12" s="20" t="str">
        <v>EJ5417625</v>
      </c>
      <c r="N12" s="20" t="str">
        <v>BOTS</v>
      </c>
      <c r="O12" s="21">
        <f>_xll.BondOutstanding(C12)</f>
        <v>9665000000</v>
      </c>
      <c r="P12" s="25">
        <f ca="1">_xll.xlBondYieldSensCustom(D12,E12,F12,G12,H12,I12,J12,B12,Q12,$AM$2,$AN$2,$AO$2,$AP$2,$AQ$2,"y")</f>
        <v>5.9396972202182697E-3</v>
      </c>
      <c r="Q12" s="26">
        <f>_xll.RtGet("IDN",$K12,IF(OR($D12="BTP,$E11=""CTZ"),Q$5,Q$4))</f>
        <v>99.907690000000002</v>
      </c>
      <c r="R12" s="27">
        <f>_xll.RtGet("IDN",$K12,IF(OR($D12="BTP,$E11=""CTZ"),R$5,R$4))</f>
        <v>99.913740000000004</v>
      </c>
      <c r="S12" s="28">
        <f ca="1">_xll.xlBondYieldSensCustom(D12,E12,F12,G12,H12,I12,J12,B12,R12,$AM$2,$AN$2,$AO$2,$AP$2,$AQ$2,"y")</f>
        <v>5.5500732074336458E-3</v>
      </c>
      <c r="T12" s="23">
        <f t="shared" si="3"/>
        <v>99.91071500000001</v>
      </c>
      <c r="U12" s="83">
        <f ca="1">_xll.xlBondYieldSensCustom(D12,E12,F12,G12,H12,I12,J12,B12,T12,$AM$2,$AN$2,$AO$2,$AP$2,$AQ$2,"y")</f>
        <v>5.7448793154955624E-3</v>
      </c>
      <c r="V12" s="23"/>
      <c r="W12" s="23">
        <f t="shared" si="0"/>
        <v>99.91071500000001</v>
      </c>
      <c r="X12" s="22"/>
      <c r="Y12" s="22">
        <f t="shared" ca="1" si="1"/>
        <v>5.7448793154955624E-3</v>
      </c>
      <c r="Z12" s="23">
        <f ca="1">_xll.xlBondPriceCustom(D12,E12,F12,G12,H12,I12,J12,B12,Y12,$AM$2,$AN$2,$AO$2,$AP$2,$AQ$2)</f>
        <v>99.91071500000001</v>
      </c>
      <c r="AA12" s="20">
        <f t="array" aca="1" ref="AA12:AG12" ca="1">_xll.xlBondYieldSens(D12,E12,F12,G12,H12,I12,J12,B12,W12,$AA$5&amp;$AB$5&amp;$AC$5&amp;$AD$5&amp;$AE$5&amp;$AF$5&amp;$AG$5)</f>
        <v>0</v>
      </c>
      <c r="AB12" s="20">
        <f ca="1"/>
        <v>0.15541666777777782</v>
      </c>
      <c r="AC12" s="20">
        <f ca="1"/>
        <v>-0.15527790400595246</v>
      </c>
      <c r="AD12" s="20">
        <f ca="1"/>
        <v>4.8351852197530873E-4</v>
      </c>
      <c r="AE12" s="20">
        <f ca="1"/>
        <v>4.8265548840245576E-4</v>
      </c>
      <c r="AF12" s="20">
        <f ca="1"/>
        <v>0.15527790404448183</v>
      </c>
      <c r="AG12" s="24">
        <f ca="1"/>
        <v>5.7448793154955624E-3</v>
      </c>
      <c r="AH12" s="22">
        <f ca="1">_xll.xlBondYieldSensCustom(D12,E12,F12,G12,H12,I12,J12,B12,W12,$AM$2,$AN$2,$AO$2,$AP$2,$AQ$2,"y")</f>
        <v>5.7448793154955624E-3</v>
      </c>
      <c r="AI12" s="22">
        <f ca="1">IF(OR(TRIM($D12)="CTZ",TRIM($D12)="BTP",TRIM($D12)="BOT"),_xll.xlShmInterpRateFwd("EONIA",_xll.xlDateSettle("target",$B$2,2),0,4,$F12),"")</f>
        <v>1.8689098931167752E-3</v>
      </c>
      <c r="AJ12" s="85">
        <f t="shared" ca="1" si="2"/>
        <v>3.8759694223787873E-3</v>
      </c>
      <c r="AO12" s="84"/>
    </row>
    <row r="13" spans="1:43" ht="15.75" x14ac:dyDescent="0.25">
      <c r="A13" s="2" t="s">
        <v>54</v>
      </c>
      <c r="B13" s="19">
        <f ca="1">MAX(_xll.xlBondValueDate(D13,$B$2),I13)</f>
        <v>41628</v>
      </c>
      <c r="C13" s="20" t="str">
        <v>IT0004954720</v>
      </c>
      <c r="D13" s="86" t="str">
        <f t="array" ref="D13:N13">_xll.BondInfo(C13,$D$5:$N$5)</f>
        <v>BOT</v>
      </c>
      <c r="E13" s="20">
        <v>0</v>
      </c>
      <c r="F13" s="87">
        <v>41698</v>
      </c>
      <c r="G13" s="19">
        <v>41516</v>
      </c>
      <c r="H13" s="19">
        <v>41698</v>
      </c>
      <c r="I13" s="19">
        <v>41516</v>
      </c>
      <c r="J13" s="20">
        <v>99.554000000000002</v>
      </c>
      <c r="K13" s="20" t="str">
        <v>IT495472=TT</v>
      </c>
      <c r="L13" s="20" t="str">
        <v>N</v>
      </c>
      <c r="M13" s="20" t="str">
        <v>EJ7805918</v>
      </c>
      <c r="N13" s="20" t="str">
        <v>BOTS</v>
      </c>
      <c r="O13" s="21">
        <f>_xll.BondOutstanding(C13)</f>
        <v>9775000000</v>
      </c>
      <c r="P13" s="25">
        <f ca="1">_xll.xlBondYieldSensCustom(D13,E13,F13,G13,H13,I13,J13,B13,Q13,$AM$2,$AN$2,$AO$2,$AP$2,$AQ$2,"y")</f>
        <v>5.940167456908999E-3</v>
      </c>
      <c r="Q13" s="26">
        <f>_xll.RtGet("IDN",$K13,IF(OR($D13="BTP,$E11=""CTZ"),Q$5,Q$4))</f>
        <v>99.884630000000001</v>
      </c>
      <c r="R13" s="27">
        <f>_xll.RtGet("IDN",$K13,IF(OR($D13="BTP,$E11=""CTZ"),R$5,R$4))</f>
        <v>99.892009999999999</v>
      </c>
      <c r="S13" s="28">
        <f ca="1">_xll.xlBondYieldSensCustom(D13,E13,F13,G13,H13,I13,J13,B13,R13,$AM$2,$AN$2,$AO$2,$AP$2,$AQ$2,"y")</f>
        <v>5.5597754300021097E-3</v>
      </c>
      <c r="T13" s="23">
        <f t="shared" si="3"/>
        <v>99.888319999999993</v>
      </c>
      <c r="U13" s="83">
        <f ca="1">_xll.xlBondYieldSensCustom(D13,E13,F13,G13,H13,I13,J13,B13,T13,$AM$2,$AN$2,$AO$2,$AP$2,$AQ$2,"y")</f>
        <v>5.7499644173474151E-3</v>
      </c>
      <c r="V13" s="23"/>
      <c r="W13" s="23">
        <f t="shared" si="0"/>
        <v>99.888319999999993</v>
      </c>
      <c r="X13" s="22"/>
      <c r="Y13" s="22">
        <f t="shared" ca="1" si="1"/>
        <v>5.7499644173474151E-3</v>
      </c>
      <c r="Z13" s="23">
        <f ca="1">_xll.xlBondPriceCustom(D13,E13,F13,G13,H13,I13,J13,B13,Y13,$AM$2,$AN$2,$AO$2,$AP$2,$AQ$2)</f>
        <v>99.888320000001102</v>
      </c>
      <c r="AA13" s="20">
        <f t="array" aca="1" ref="AA13:AG13" ca="1">_xll.xlBondYieldSens(D13,E13,F13,G13,H13,I13,J13,B13,W13,$AA$5&amp;$AB$5&amp;$AC$5&amp;$AD$5&amp;$AE$5&amp;$AF$5&amp;$AG$5)</f>
        <v>0</v>
      </c>
      <c r="AB13" s="20">
        <f ca="1"/>
        <v>0.19422728888888893</v>
      </c>
      <c r="AC13" s="20">
        <f ca="1"/>
        <v>-0.19401037585265782</v>
      </c>
      <c r="AD13" s="20">
        <f ca="1"/>
        <v>7.5532834567901253E-4</v>
      </c>
      <c r="AE13" s="20">
        <f ca="1"/>
        <v>7.5364218636352163E-4</v>
      </c>
      <c r="AF13" s="20">
        <f ca="1"/>
        <v>0.19401037592601256</v>
      </c>
      <c r="AG13" s="24">
        <f ca="1"/>
        <v>5.7499644173474151E-3</v>
      </c>
      <c r="AH13" s="22">
        <f ca="1">_xll.xlBondYieldSensCustom(D13,E13,F13,G13,H13,I13,J13,B13,W13,$AM$2,$AN$2,$AO$2,$AP$2,$AQ$2,"y")</f>
        <v>5.7499644173474151E-3</v>
      </c>
      <c r="AI13" s="22">
        <f ca="1">IF(OR(TRIM($D13)="CTZ",TRIM($D13)="BTP",TRIM($D13)="BOT"),_xll.xlShmInterpRateFwd("EONIA",_xll.xlDateSettle("target",$B$2,2),0,4,$F13),"")</f>
        <v>1.8200796213108414E-3</v>
      </c>
      <c r="AJ13" s="85">
        <f t="shared" ca="1" si="2"/>
        <v>3.9298847960365733E-3</v>
      </c>
      <c r="AO13" s="84"/>
    </row>
    <row r="14" spans="1:43" ht="15.75" x14ac:dyDescent="0.25">
      <c r="A14" s="2" t="s">
        <v>101</v>
      </c>
      <c r="B14" s="19">
        <f ca="1">MAX(_xll.xlBondValueDate(D14,$B$2),I14)</f>
        <v>41628</v>
      </c>
      <c r="C14" s="20" t="str">
        <v>IT0004899099</v>
      </c>
      <c r="D14" s="160" t="str">
        <f t="array" ref="D14:N14">_xll.BondInfo(C14,$D$5:$N$5)</f>
        <v>BOT</v>
      </c>
      <c r="E14" s="161">
        <v>0</v>
      </c>
      <c r="F14" s="162">
        <v>41712</v>
      </c>
      <c r="G14" s="19">
        <v>41347</v>
      </c>
      <c r="H14" s="19">
        <v>41712</v>
      </c>
      <c r="I14" s="19">
        <v>41347</v>
      </c>
      <c r="J14" s="20">
        <v>98.718999999999994</v>
      </c>
      <c r="K14" s="20" t="str">
        <v>IT489909=TT</v>
      </c>
      <c r="L14" s="20" t="str">
        <v>Y</v>
      </c>
      <c r="M14" s="20" t="str">
        <v>EJ5784057</v>
      </c>
      <c r="N14" s="20" t="str">
        <v>BOTS</v>
      </c>
      <c r="O14" s="21">
        <f>_xll.BondOutstanding(C14)</f>
        <v>7750000000</v>
      </c>
      <c r="P14" s="25">
        <f ca="1">_xll.xlBondYieldSensCustom(D14,E14,F14,G14,H14,I14,J14,B14,Q14,$AM$2,$AN$2,$AO$2,$AP$2,$AQ$2,"y")</f>
        <v>5.8700290257295128E-3</v>
      </c>
      <c r="Q14" s="26">
        <f>_xll.RtGet("IDN",$K14,IF(OR($D14="BTP,$E11=""CTZ"),Q$5,Q$4))</f>
        <v>99.863219999999998</v>
      </c>
      <c r="R14" s="27">
        <f>_xll.RtGet("IDN",$K14,IF(OR($D14="BTP,$E11=""CTZ"),R$5,R$4))</f>
        <v>99.870429999999999</v>
      </c>
      <c r="S14" s="28">
        <f ca="1">_xll.xlBondYieldSensCustom(D14,E14,F14,G14,H14,I14,J14,B14,R14,$AM$2,$AN$2,$AO$2,$AP$2,$AQ$2,"y")</f>
        <v>5.560204356785471E-3</v>
      </c>
      <c r="T14" s="23">
        <f t="shared" si="3"/>
        <v>99.866825000000006</v>
      </c>
      <c r="U14" s="83">
        <f ca="1">_xll.xlBondYieldSensCustom(D14,E14,F14,G14,H14,I14,J14,B14,T14,$AM$2,$AN$2,$AO$2,$AP$2,$AQ$2,"y")</f>
        <v>5.715111099206447E-3</v>
      </c>
      <c r="V14" s="23"/>
      <c r="W14" s="23">
        <f t="shared" si="0"/>
        <v>99.866825000000006</v>
      </c>
      <c r="X14" s="22"/>
      <c r="Y14" s="157">
        <f t="shared" ca="1" si="1"/>
        <v>5.715111099206447E-3</v>
      </c>
      <c r="Z14" s="23">
        <f ca="1">_xll.xlBondPriceCustom(D14,E14,F14,G14,H14,I14,J14,B14,Y14,$AM$2,$AN$2,$AO$2,$AP$2,$AQ$2)</f>
        <v>99.866825000000006</v>
      </c>
      <c r="AA14" s="20">
        <f t="array" aca="1" ref="AA14:AG14" ca="1">_xll.xlBondYieldSens(D14,E14,F14,G14,H14,I14,J14,B14,W14,$AA$5&amp;$AB$5&amp;$AC$5&amp;$AD$5&amp;$AE$5&amp;$AF$5&amp;$AG$5)</f>
        <v>0</v>
      </c>
      <c r="AB14" s="20">
        <f ca="1"/>
        <v>0.23302259166666664</v>
      </c>
      <c r="AC14" s="20">
        <f ca="1"/>
        <v>-0.23271226383021454</v>
      </c>
      <c r="AD14" s="20">
        <f ca="1"/>
        <v>1.087438761111111E-3</v>
      </c>
      <c r="AE14" s="20">
        <f ca="1"/>
        <v>1.0845442966066737E-3</v>
      </c>
      <c r="AF14" s="20">
        <f ca="1"/>
        <v>0.23271226395564781</v>
      </c>
      <c r="AG14" s="24">
        <f ca="1"/>
        <v>5.715111099206447E-3</v>
      </c>
      <c r="AH14" s="22">
        <f ca="1">_xll.xlBondYieldSensCustom(D14,E14,F14,G14,H14,I14,J14,B14,W14,$AM$2,$AN$2,$AO$2,$AP$2,$AQ$2,"y")</f>
        <v>5.715111099206447E-3</v>
      </c>
      <c r="AI14" s="22">
        <f ca="1">IF(OR(TRIM($D14)="CTZ",TRIM($D14)="BTP",TRIM($D14)="BOT"),_xll.xlShmInterpRateFwd("EONIA",_xll.xlDateSettle("target",$B$2,2),0,4,$F14),"")</f>
        <v>1.7850549895828596E-3</v>
      </c>
      <c r="AJ14" s="158">
        <f t="shared" ca="1" si="2"/>
        <v>3.9300561096235875E-3</v>
      </c>
      <c r="AO14" s="84"/>
    </row>
    <row r="15" spans="1:43" ht="15.75" x14ac:dyDescent="0.25">
      <c r="A15" s="2" t="s">
        <v>235</v>
      </c>
      <c r="B15" s="19">
        <f ca="1">MAX(_xll.xlBondValueDate(D15,$B$2),I15)</f>
        <v>41628</v>
      </c>
      <c r="C15" s="20" t="str">
        <v>IT0004958176</v>
      </c>
      <c r="D15" s="86" t="str">
        <f t="array" ref="D15:N15">_xll.BondInfo(C15,$D$5:$N$5)</f>
        <v>BOT</v>
      </c>
      <c r="E15" s="20">
        <v>0</v>
      </c>
      <c r="F15" s="87">
        <v>41729</v>
      </c>
      <c r="G15" s="19">
        <v>41547</v>
      </c>
      <c r="H15" s="19">
        <v>41729</v>
      </c>
      <c r="I15" s="19">
        <v>41547</v>
      </c>
      <c r="J15" s="20">
        <v>99.606999999999999</v>
      </c>
      <c r="K15" s="20" t="str">
        <v>IT495817=TT</v>
      </c>
      <c r="L15" s="20" t="str">
        <v>N</v>
      </c>
      <c r="M15" s="20" t="str">
        <v>EJ8127700</v>
      </c>
      <c r="N15" s="20" t="str">
        <v>BOTS</v>
      </c>
      <c r="O15" s="21">
        <f>_xll.BondOutstanding(C15)</f>
        <v>8570000000</v>
      </c>
      <c r="P15" s="25">
        <f ca="1">_xll.xlBondYieldSensCustom(D15,E15,F15,G15,H15,I15,J15,B15,Q15,$AM$2,$AN$2,$AO$2,$AP$2,$AQ$2,"y")</f>
        <v>6.169869455210782E-3</v>
      </c>
      <c r="Q15" s="26">
        <f>_xll.RtGet("IDN",$K15,IF(OR($D15="BTP,$E11=""CTZ"),Q$5,Q$4))</f>
        <v>99.827200000000005</v>
      </c>
      <c r="R15" s="27">
        <f>_xll.RtGet("IDN",$K15,IF(OR($D15="BTP,$E11=""CTZ"),R$5,R$4))</f>
        <v>99.83614</v>
      </c>
      <c r="S15" s="28">
        <f ca="1">_xll.xlBondYieldSensCustom(D15,E15,F15,G15,H15,I15,J15,B15,R15,$AM$2,$AN$2,$AO$2,$AP$2,$AQ$2,"y")</f>
        <v>5.8501404956335526E-3</v>
      </c>
      <c r="T15" s="23">
        <f t="shared" si="3"/>
        <v>99.831670000000003</v>
      </c>
      <c r="U15" s="83">
        <f ca="1">_xll.xlBondYieldSensCustom(D15,E15,F15,G15,H15,I15,J15,B15,T15,$AM$2,$AN$2,$AO$2,$AP$2,$AQ$2,"y")</f>
        <v>6.0099978174733724E-3</v>
      </c>
      <c r="V15" s="23"/>
      <c r="W15" s="23">
        <f t="shared" si="0"/>
        <v>99.831670000000003</v>
      </c>
      <c r="X15" s="22"/>
      <c r="Y15" s="22">
        <f ca="1">IF(ISNUMBER(X15),X15,AH15)</f>
        <v>6.0099978174733724E-3</v>
      </c>
      <c r="Z15" s="141">
        <f ca="1">_xll.xlBondPriceCustom(D15,E15,F15,G15,H15,I15,J15,B15,Y15,$AM$2,$AN$2,$AO$2,$AP$2,$AQ$2)</f>
        <v>99.831669999999207</v>
      </c>
      <c r="AA15" s="20">
        <f t="array" aca="1" ref="AA15:AG15" ca="1">_xll.xlBondYieldSens(D15,E15,F15,G15,H15,I15,J15,B15,W15,$AA$5&amp;$AB$5&amp;$AC$5&amp;$AD$5&amp;$AE$5&amp;$AF$5&amp;$AG$5)</f>
        <v>0</v>
      </c>
      <c r="AB15" s="20">
        <f ca="1"/>
        <v>0.2800832963888889</v>
      </c>
      <c r="AC15" s="20">
        <f ca="1"/>
        <v>-0.27961183217607749</v>
      </c>
      <c r="AD15" s="20">
        <f ca="1"/>
        <v>1.5715784964043212E-3</v>
      </c>
      <c r="AE15" s="20">
        <f ca="1"/>
        <v>1.5662920733042515E-3</v>
      </c>
      <c r="AF15" s="20">
        <f ca="1"/>
        <v>0.27961183239639809</v>
      </c>
      <c r="AG15" s="24">
        <f ca="1"/>
        <v>6.0099978174733724E-3</v>
      </c>
      <c r="AH15" s="22">
        <f ca="1">_xll.xlBondYieldSensCustom(D15,E15,F15,G15,H15,I15,J15,B15,W15,$AM$2,$AN$2,$AO$2,$AP$2,$AQ$2,"y")</f>
        <v>6.0099978174733724E-3</v>
      </c>
      <c r="AI15" s="22">
        <f ca="1">IF(OR(TRIM($D15)="CTZ",TRIM($D15)="BTP",TRIM($D15)="BOT"),_xll.xlShmInterpRateFwd("EONIA",_xll.xlDateSettle("target",$B$2,2),0,4,$F15),"")</f>
        <v>1.7467252512914186E-3</v>
      </c>
      <c r="AJ15" s="85">
        <f t="shared" ca="1" si="2"/>
        <v>4.263272566181954E-3</v>
      </c>
      <c r="AO15" s="84"/>
    </row>
    <row r="16" spans="1:43" ht="15.75" x14ac:dyDescent="0.25">
      <c r="A16" s="2" t="s">
        <v>236</v>
      </c>
      <c r="B16" s="19">
        <f ca="1">MAX(_xll.xlBondValueDate(D16,$B$2),I16)</f>
        <v>41631</v>
      </c>
      <c r="C16" s="20" t="str">
        <v>IT0004707995</v>
      </c>
      <c r="D16" s="152" t="str">
        <f t="array" ref="D16:N16">_xll.BondInfo(C16,$D$5:$N$5)</f>
        <v>BTP</v>
      </c>
      <c r="E16" s="153">
        <v>3</v>
      </c>
      <c r="F16" s="154">
        <v>41730</v>
      </c>
      <c r="G16" s="19">
        <v>40634</v>
      </c>
      <c r="H16" s="19">
        <v>40817</v>
      </c>
      <c r="I16" s="19">
        <v>40634</v>
      </c>
      <c r="J16" s="20">
        <v>99.4</v>
      </c>
      <c r="K16" s="20" t="str">
        <v>IT470799=TT</v>
      </c>
      <c r="L16" s="20" t="str">
        <v>N</v>
      </c>
      <c r="M16" s="20" t="str">
        <v>EI6216440</v>
      </c>
      <c r="N16" s="20" t="str">
        <v>BTPS</v>
      </c>
      <c r="O16" s="21">
        <f>_xll.BondOutstanding(C16)</f>
        <v>14797674000</v>
      </c>
      <c r="P16" s="25">
        <f ca="1">_xll.xlBondYieldSensCustom(D16,E16,F16,G16,H16,I16,J16,B16,Q16,$AM$2,$AN$2,$AO$2,$AP$2,$AQ$2,"y")</f>
        <v>6.8531953036459967E-3</v>
      </c>
      <c r="Q16" s="26">
        <f>_xll.RtGet("IDN",$K16,IF(OR($D16="BTP,$E11=""CTZ"),Q$5,Q$4))</f>
        <v>100.625</v>
      </c>
      <c r="R16" s="27">
        <f>_xll.RtGet("IDN",$K16,IF(OR($D16="BTP,$E11=""CTZ"),R$5,R$4))</f>
        <v>100.637</v>
      </c>
      <c r="S16" s="28">
        <f ca="1">_xll.xlBondYieldSensCustom(D16,E16,F16,G16,H16,I16,J16,B16,R16,$AM$2,$AN$2,$AO$2,$AP$2,$AQ$2,"y")</f>
        <v>6.4217095836872906E-3</v>
      </c>
      <c r="T16" s="23">
        <f t="shared" si="3"/>
        <v>100.631</v>
      </c>
      <c r="U16" s="83">
        <f ca="1">_xll.xlBondYieldSensCustom(D16,E16,F16,G16,H16,I16,J16,B16,T16,$AM$2,$AN$2,$AO$2,$AP$2,$AQ$2,"y")</f>
        <v>6.6374396673869636E-3</v>
      </c>
      <c r="V16" s="23"/>
      <c r="W16" s="23">
        <f t="shared" si="0"/>
        <v>100.631</v>
      </c>
      <c r="X16" s="22"/>
      <c r="Y16" s="22">
        <f t="shared" ca="1" si="1"/>
        <v>6.6374396673869636E-3</v>
      </c>
      <c r="Z16" s="23">
        <f ca="1">_xll.xlBondPriceCustom(D16,E16,F16,G16,H16,I16,J16,B16,Y16,$AM$2,$AN$2,$AO$2,$AP$2,$AQ$2)</f>
        <v>100.63100001722498</v>
      </c>
      <c r="AA16" s="20">
        <f t="array" aca="1" ref="AA16:AG16" ca="1">_xll.xlBondYieldSens(D16,E16,F16,G16,H16,I16,J16,B16,W16,$AA$5&amp;$AB$5&amp;$AC$5&amp;$AD$5&amp;$AE$5&amp;$AF$5&amp;$AG$5)</f>
        <v>0.68406999999999996</v>
      </c>
      <c r="AB16" s="20">
        <f ca="1"/>
        <v>0.27148246138968107</v>
      </c>
      <c r="AC16" s="20">
        <f ca="1"/>
        <v>-0.27098780374303716</v>
      </c>
      <c r="AD16" s="20">
        <f ca="1"/>
        <v>1.4767452570098036E-3</v>
      </c>
      <c r="AE16" s="20">
        <f ca="1"/>
        <v>1.4713687193348712E-3</v>
      </c>
      <c r="AF16" s="20">
        <f ca="1"/>
        <v>0.27505267108409726</v>
      </c>
      <c r="AG16" s="24">
        <f ca="1"/>
        <v>6.7111890122508906E-3</v>
      </c>
      <c r="AH16" s="22">
        <f ca="1">_xll.xlBondYieldSensCustom(D16,E16,F16,G16,H16,I16,J16,B16,W16,$AM$2,$AN$2,$AO$2,$AP$2,$AQ$2,"y")</f>
        <v>6.6374396673869636E-3</v>
      </c>
      <c r="AI16" s="22">
        <f ca="1">IF(OR(TRIM($D16)="CTZ",TRIM($D16)="BTP",TRIM($D16)="BOT"),_xll.xlShmInterpRateFwd("EONIA",_xll.xlDateSettle("target",$B$2,2),0,4,$F16),"")</f>
        <v>1.7446058843199532E-3</v>
      </c>
      <c r="AJ16" s="85">
        <f t="shared" ca="1" si="2"/>
        <v>4.8928337830670106E-3</v>
      </c>
      <c r="AO16" s="84"/>
    </row>
    <row r="17" spans="1:41" ht="15.75" x14ac:dyDescent="0.25">
      <c r="A17" s="2" t="s">
        <v>237</v>
      </c>
      <c r="B17" s="19">
        <f ca="1">MAX(_xll.xlBondValueDate(D17,$B$2),I17)</f>
        <v>41628</v>
      </c>
      <c r="C17" s="20" t="str">
        <v>IT0004909369</v>
      </c>
      <c r="D17" s="86" t="str">
        <f t="array" ref="D17:N17">_xll.BondInfo(C17,$D$5:$N$5)</f>
        <v>BOT</v>
      </c>
      <c r="E17" s="20">
        <v>0</v>
      </c>
      <c r="F17" s="87">
        <v>41743</v>
      </c>
      <c r="G17" s="19">
        <v>41376</v>
      </c>
      <c r="H17" s="19">
        <v>41743</v>
      </c>
      <c r="I17" s="19">
        <v>41376</v>
      </c>
      <c r="J17" s="20">
        <v>99.069000000000003</v>
      </c>
      <c r="K17" s="20" t="str">
        <v>IT490936=TT</v>
      </c>
      <c r="L17" s="20" t="str">
        <v>N</v>
      </c>
      <c r="M17" s="20" t="str">
        <v>EJ6187599</v>
      </c>
      <c r="N17" s="20" t="str">
        <v>BOTS</v>
      </c>
      <c r="O17" s="21">
        <f>_xll.BondOutstanding(C17)</f>
        <v>8869643981.9300003</v>
      </c>
      <c r="P17" s="25">
        <f ca="1">_xll.xlBondYieldSensCustom(D17,E17,F17,G17,H17,I17,J17,B17,Q17,$AM$2,$AN$2,$AO$2,$AP$2,$AQ$2,"y")</f>
        <v>6.2900743556705135E-3</v>
      </c>
      <c r="Q17" s="26">
        <f>_xll.RtGet("IDN",$K17,IF(OR($D17="BTP,$E11=""CTZ"),Q$5,Q$4))</f>
        <v>99.799469999999999</v>
      </c>
      <c r="R17" s="27">
        <f>_xll.RtGet("IDN",$K17,IF(OR($D17="BTP,$E11=""CTZ"),R$5,R$4))</f>
        <v>99.810929999999999</v>
      </c>
      <c r="S17" s="28">
        <f ca="1">_xll.xlBondYieldSensCustom(D17,E17,F17,G17,H17,I17,J17,B17,R17,$AM$2,$AN$2,$AO$2,$AP$2,$AQ$2,"y")</f>
        <v>5.9299247522074054E-3</v>
      </c>
      <c r="T17" s="23">
        <f t="shared" si="3"/>
        <v>99.805199999999999</v>
      </c>
      <c r="U17" s="83">
        <f ca="1">_xll.xlBondYieldSensCustom(D17,E17,F17,G17,H17,I17,J17,B17,T17,$AM$2,$AN$2,$AO$2,$AP$2,$AQ$2,"y")</f>
        <v>6.1099892155138868E-3</v>
      </c>
      <c r="V17" s="23"/>
      <c r="W17" s="23">
        <f t="shared" si="0"/>
        <v>99.805199999999999</v>
      </c>
      <c r="X17" s="22"/>
      <c r="Y17" s="22">
        <f t="shared" ca="1" si="1"/>
        <v>6.1099892155138868E-3</v>
      </c>
      <c r="Z17" s="23">
        <f ca="1">_xll.xlBondPriceCustom(D17,E17,F17,G17,H17,I17,J17,B17,Y17,$AM$2,$AN$2,$AO$2,$AP$2,$AQ$2)</f>
        <v>99.805199999999999</v>
      </c>
      <c r="AA17" s="20">
        <f t="array" aca="1" ref="AA17:AG17" ca="1">_xll.xlBondYieldSens(D17,E17,F17,G17,H17,I17,J17,B17,W17,$AA$5&amp;$AB$5&amp;$AC$5&amp;$AD$5&amp;$AE$5&amp;$AF$5&amp;$AG$5)</f>
        <v>0</v>
      </c>
      <c r="AB17" s="20">
        <f ca="1"/>
        <v>0.31882216666666663</v>
      </c>
      <c r="AC17" s="20">
        <f ca="1"/>
        <v>-0.31820110108599992</v>
      </c>
      <c r="AD17" s="20">
        <f ca="1"/>
        <v>2.0369193981481476E-3</v>
      </c>
      <c r="AE17" s="20">
        <f ca="1"/>
        <v>2.02899128967915E-3</v>
      </c>
      <c r="AF17" s="20">
        <f ca="1"/>
        <v>0.31820110141040914</v>
      </c>
      <c r="AG17" s="24">
        <f ca="1"/>
        <v>6.1099892155138868E-3</v>
      </c>
      <c r="AH17" s="22">
        <f ca="1">_xll.xlBondYieldSensCustom(D17,E17,F17,G17,H17,I17,J17,B17,W17,$AM$2,$AN$2,$AO$2,$AP$2,$AQ$2,"y")</f>
        <v>6.1099892155138868E-3</v>
      </c>
      <c r="AI17" s="22">
        <f ca="1">IF(OR(TRIM($D17)="CTZ",TRIM($D17)="BTP",TRIM($D17)="BOT"),_xll.xlShmInterpRateFwd("EONIA",_xll.xlDateSettle("target",$B$2,2),0,4,$F17),"")</f>
        <v>1.717012438402716E-3</v>
      </c>
      <c r="AJ17" s="85">
        <f t="shared" ca="1" si="2"/>
        <v>4.3929767771111704E-3</v>
      </c>
      <c r="AO17" s="84"/>
    </row>
    <row r="18" spans="1:41" ht="15.75" x14ac:dyDescent="0.25">
      <c r="A18" s="2" t="s">
        <v>45</v>
      </c>
      <c r="B18" s="19">
        <f ca="1">MAX(_xll.xlBondValueDate(D18,$B$2),I18)</f>
        <v>41628</v>
      </c>
      <c r="C18" s="20" t="str">
        <v>IT0004965098</v>
      </c>
      <c r="D18" s="86" t="str">
        <f t="array" ref="D18:N18">_xll.BondInfo(C18,$D$5:$N$5)</f>
        <v>BOT</v>
      </c>
      <c r="E18" s="20">
        <v>0</v>
      </c>
      <c r="F18" s="87">
        <v>41759</v>
      </c>
      <c r="G18" s="19">
        <v>41578</v>
      </c>
      <c r="H18" s="19">
        <v>41759</v>
      </c>
      <c r="I18" s="19">
        <v>41578</v>
      </c>
      <c r="J18" s="20">
        <v>99.685000000000002</v>
      </c>
      <c r="K18" s="20" t="str">
        <v>IT496509=TT</v>
      </c>
      <c r="L18" s="20" t="str">
        <v>N</v>
      </c>
      <c r="M18" s="20" t="str">
        <v>EJ8635611</v>
      </c>
      <c r="N18" s="20" t="str">
        <v>BOTS</v>
      </c>
      <c r="O18" s="21">
        <f>_xll.BondOutstanding(C18)</f>
        <v>8094000000</v>
      </c>
      <c r="P18" s="25">
        <f ca="1">_xll.xlBondYieldSensCustom(D18,E18,F18,G18,H18,I18,J18,B18,Q18,$AM$2,$AN$2,$AO$2,$AP$2,$AQ$2,"y")</f>
        <v>6.390122154309113E-3</v>
      </c>
      <c r="Q18" s="26">
        <f>_xll.RtGet("IDN",$K18,IF(OR($D18="BTP,$E11=""CTZ"),Q$5,Q$4))</f>
        <v>99.768010000000004</v>
      </c>
      <c r="R18" s="27">
        <f>_xll.RtGet("IDN",$K18,IF(OR($D18="BTP,$E11=""CTZ"),R$5,R$4))</f>
        <v>99.781419999999997</v>
      </c>
      <c r="S18" s="28">
        <f ca="1">_xll.xlBondYieldSensCustom(D18,E18,F18,G18,H18,I18,J18,B18,R18,$AM$2,$AN$2,$AO$2,$AP$2,$AQ$2,"y")</f>
        <v>6.0199370042584499E-3</v>
      </c>
      <c r="T18" s="23">
        <f t="shared" si="3"/>
        <v>99.774715</v>
      </c>
      <c r="U18" s="83">
        <f ca="1">_xll.xlBondYieldSensCustom(D18,E18,F18,G18,H18,I18,J18,B18,T18,$AM$2,$AN$2,$AO$2,$AP$2,$AQ$2,"y")</f>
        <v>6.2050171408045271E-3</v>
      </c>
      <c r="V18" s="23"/>
      <c r="W18" s="23">
        <f t="shared" si="0"/>
        <v>99.774715</v>
      </c>
      <c r="X18" s="22"/>
      <c r="Y18" s="22">
        <f t="shared" ca="1" si="1"/>
        <v>6.2050171408045271E-3</v>
      </c>
      <c r="Z18" s="141">
        <f ca="1">_xll.xlBondPriceCustom(D18,E18,F18,G18,H18,I18,J18,B18,Y18,$AM$2,$AN$2,$AO$2,$AP$2,$AQ$2)</f>
        <v>99.774715</v>
      </c>
      <c r="AA18" s="20">
        <f t="array" aca="1" ref="AA18:AG18" ca="1">_xll.xlBondYieldSens(D18,E18,F18,G18,H18,I18,J18,B18,W18,$AA$5&amp;$AB$5&amp;$AC$5&amp;$AD$5&amp;$AE$5&amp;$AF$5&amp;$AG$5)</f>
        <v>0</v>
      </c>
      <c r="AB18" s="20">
        <f ca="1"/>
        <v>0.36306910180555557</v>
      </c>
      <c r="AC18" s="20">
        <f ca="1"/>
        <v>-0.36225116157955295</v>
      </c>
      <c r="AD18" s="20">
        <f ca="1"/>
        <v>2.6423362409182102E-3</v>
      </c>
      <c r="AE18" s="20">
        <f ca="1"/>
        <v>2.6304440772541493E-3</v>
      </c>
      <c r="AF18" s="20">
        <f ca="1"/>
        <v>0.36225116205557129</v>
      </c>
      <c r="AG18" s="24">
        <f ca="1"/>
        <v>6.2050171408045271E-3</v>
      </c>
      <c r="AH18" s="22">
        <f ca="1">_xll.xlBondYieldSensCustom(D18,E18,F18,G18,H18,I18,J18,B18,W18,$AM$2,$AN$2,$AO$2,$AP$2,$AQ$2,"y")</f>
        <v>6.2050171408045271E-3</v>
      </c>
      <c r="AI18" s="22">
        <f ca="1">IF(OR(TRIM($D18)="CTZ",TRIM($D18)="BTP",TRIM($D18)="BOT"),_xll.xlShmInterpRateFwd("EONIA",_xll.xlDateSettle("target",$B$2,2),0,4,$F18),"")</f>
        <v>1.6857381355233423E-3</v>
      </c>
      <c r="AJ18" s="85">
        <f t="shared" ca="1" si="2"/>
        <v>4.5192790052811845E-3</v>
      </c>
      <c r="AO18" s="84"/>
    </row>
    <row r="19" spans="1:41" ht="15.75" x14ac:dyDescent="0.25">
      <c r="A19" s="2" t="s">
        <v>45</v>
      </c>
      <c r="B19" s="19">
        <f ca="1">MAX(_xll.xlBondValueDate(D19,$B$2),I19)</f>
        <v>41628</v>
      </c>
      <c r="C19" s="20" t="str">
        <v>IT0004920077</v>
      </c>
      <c r="D19" s="86" t="str">
        <f t="array" ref="D19:N19">_xll.BondInfo(C19,$D$5:$N$5)</f>
        <v>BOT</v>
      </c>
      <c r="E19" s="20">
        <v>0</v>
      </c>
      <c r="F19" s="87">
        <v>41773</v>
      </c>
      <c r="G19" s="19">
        <v>41408</v>
      </c>
      <c r="H19" s="19">
        <v>41773</v>
      </c>
      <c r="I19" s="19">
        <v>41408</v>
      </c>
      <c r="J19" s="20">
        <v>99.292000000000002</v>
      </c>
      <c r="K19" s="20" t="str">
        <v>IT492007=TT</v>
      </c>
      <c r="L19" s="20" t="str">
        <v>N</v>
      </c>
      <c r="M19" s="20" t="str">
        <v>EJ6624674</v>
      </c>
      <c r="N19" s="20" t="str">
        <v>BOTS</v>
      </c>
      <c r="O19" s="21">
        <f>_xll.BondOutstanding(C19)</f>
        <v>7000000000</v>
      </c>
      <c r="P19" s="25">
        <f ca="1">_xll.xlBondYieldSensCustom(D19,E19,F19,G19,H19,I19,J19,B19,Q19,$AM$2,$AN$2,$AO$2,$AP$2,$AQ$2,"y")</f>
        <v>6.4300722315682787E-3</v>
      </c>
      <c r="Q19" s="26">
        <f>_xll.RtGet("IDN",$K19,IF(OR($D19="BTP,$E11=""CTZ"),Q$5,Q$4))</f>
        <v>99.741680000000002</v>
      </c>
      <c r="R19" s="27">
        <f>_xll.RtGet("IDN",$K19,IF(OR($D19="BTP,$E11=""CTZ"),R$5,R$4))</f>
        <v>99.756510000000006</v>
      </c>
      <c r="S19" s="28">
        <f ca="1">_xll.xlBondYieldSensCustom(D19,E19,F19,G19,H19,I19,J19,B19,R19,$AM$2,$AN$2,$AO$2,$AP$2,$AQ$2,"y")</f>
        <v>6.0600245192047276E-3</v>
      </c>
      <c r="T19" s="23">
        <f t="shared" si="3"/>
        <v>99.749095000000011</v>
      </c>
      <c r="U19" s="83">
        <f ca="1">_xll.xlBondYieldSensCustom(D19,E19,F19,G19,H19,I19,J19,B19,T19,$AM$2,$AN$2,$AO$2,$AP$2,$AQ$2,"y")</f>
        <v>6.245034621357691E-3</v>
      </c>
      <c r="V19" s="23"/>
      <c r="W19" s="23">
        <f t="shared" si="0"/>
        <v>99.749095000000011</v>
      </c>
      <c r="X19" s="22"/>
      <c r="Y19" s="22">
        <f t="shared" ca="1" si="1"/>
        <v>6.245034621357691E-3</v>
      </c>
      <c r="Z19" s="23">
        <f ca="1">_xll.xlBondPriceCustom(D19,E19,F19,G19,H19,I19,J19,B19,Y19,$AM$2,$AN$2,$AO$2,$AP$2,$AQ$2)</f>
        <v>99.749095000000025</v>
      </c>
      <c r="AA19" s="20">
        <f t="array" aca="1" ref="AA19:AG19" ca="1">_xll.xlBondYieldSens(D19,E19,F19,G19,H19,I19,J19,B19,W19,$AA$5&amp;$AB$5&amp;$AC$5&amp;$AD$5&amp;$AE$5&amp;$AF$5&amp;$AG$5)</f>
        <v>0</v>
      </c>
      <c r="AB19" s="20">
        <f ca="1"/>
        <v>0.40176718819444451</v>
      </c>
      <c r="AC19" s="20">
        <f ca="1"/>
        <v>-0.40075913423090531</v>
      </c>
      <c r="AD19" s="20">
        <f ca="1"/>
        <v>3.2364579048996924E-3</v>
      </c>
      <c r="AE19" s="20">
        <f ca="1"/>
        <v>3.2202374100638162E-3</v>
      </c>
      <c r="AF19" s="20">
        <f ca="1"/>
        <v>0.40075913487740422</v>
      </c>
      <c r="AG19" s="24">
        <f ca="1"/>
        <v>6.245034621357691E-3</v>
      </c>
      <c r="AH19" s="22">
        <f ca="1">_xll.xlBondYieldSensCustom(D19,E19,F19,G19,H19,I19,J19,B19,W19,$AM$2,$AN$2,$AO$2,$AP$2,$AQ$2,"y")</f>
        <v>6.245034621357691E-3</v>
      </c>
      <c r="AI19" s="22">
        <f ca="1">IF(OR(TRIM($D19)="CTZ",TRIM($D19)="BTP",TRIM($D19)="BOT"),_xll.xlShmInterpRateFwd("EONIA",_xll.xlDateSettle("target",$B$2,2),0,4,$F19),"")</f>
        <v>1.6607321533843925E-3</v>
      </c>
      <c r="AJ19" s="85">
        <f t="shared" ca="1" si="2"/>
        <v>4.5843024679732983E-3</v>
      </c>
      <c r="AO19" s="84"/>
    </row>
    <row r="20" spans="1:41" ht="15.75" x14ac:dyDescent="0.25">
      <c r="A20" s="2" t="s">
        <v>46</v>
      </c>
      <c r="B20" s="19">
        <f ca="1">MAX(_xll.xlBondValueDate(D20,$B$2),I20)</f>
        <v>41628</v>
      </c>
      <c r="C20" s="20" t="str">
        <v>IT0004969454</v>
      </c>
      <c r="D20" s="86" t="str">
        <f t="array" ref="D20:N20">_xll.BondInfo(C20,$D$5:$N$5)</f>
        <v>BOT</v>
      </c>
      <c r="E20" s="20">
        <v>0</v>
      </c>
      <c r="F20" s="87">
        <v>41789</v>
      </c>
      <c r="G20" s="19">
        <v>41607</v>
      </c>
      <c r="H20" s="19">
        <v>41789</v>
      </c>
      <c r="I20" s="19">
        <v>41607</v>
      </c>
      <c r="J20" s="20">
        <v>99.727999999999994</v>
      </c>
      <c r="K20" s="20" t="str">
        <v>IT496945=TT</v>
      </c>
      <c r="L20" s="20" t="str">
        <v>N</v>
      </c>
      <c r="M20" s="20" t="str">
        <v>EJ9204490</v>
      </c>
      <c r="N20" s="20" t="str">
        <v>BOTS</v>
      </c>
      <c r="O20" s="21">
        <f>_xll.BondOutstanding(C20)</f>
        <v>7000000000</v>
      </c>
      <c r="P20" s="25">
        <f ca="1">_xll.xlBondYieldSensCustom(D20,E20,F20,G20,H20,I20,J20,B20,Q20,$AM$2,$AN$2,$AO$2,$AP$2,$AQ$2,"y")</f>
        <v>6.549888021920856E-3</v>
      </c>
      <c r="Q20" s="26">
        <f>_xll.RtGet("IDN",$K20,IF(OR($D20="BTP,$E11=""CTZ"),Q$5,Q$4))</f>
        <v>99.707930000000005</v>
      </c>
      <c r="R20" s="27">
        <f>_xll.RtGet("IDN",$K20,IF(OR($D20="BTP,$E11=""CTZ"),R$5,R$4))</f>
        <v>99.715479999999999</v>
      </c>
      <c r="S20" s="28">
        <f ca="1">_xll.xlBondYieldSensCustom(D20,E20,F20,G20,H20,I20,J20,B20,R20,$AM$2,$AN$2,$AO$2,$AP$2,$AQ$2,"y")</f>
        <v>6.3800905217513285E-3</v>
      </c>
      <c r="T20" s="23">
        <f t="shared" si="3"/>
        <v>99.711704999999995</v>
      </c>
      <c r="U20" s="83">
        <f ca="1">_xll.xlBondYieldSensCustom(D20,E20,F20,G20,H20,I20,J20,B20,T20,$AM$2,$AN$2,$AO$2,$AP$2,$AQ$2,"y")</f>
        <v>6.4649860576561748E-3</v>
      </c>
      <c r="V20" s="23"/>
      <c r="W20" s="23">
        <f t="shared" si="0"/>
        <v>99.711704999999995</v>
      </c>
      <c r="X20" s="22"/>
      <c r="Y20" s="22">
        <f t="shared" ca="1" si="1"/>
        <v>6.4649860576561748E-3</v>
      </c>
      <c r="Z20" s="23">
        <f ca="1">_xll.xlBondPriceCustom(D20,E20,F20,G20,H20,I20,J20,B20,Y20,$AM$2,$AN$2,$AO$2,$AP$2,$AQ$2)</f>
        <v>99.711704999999355</v>
      </c>
      <c r="AA20" s="20">
        <f t="array" aca="1" ref="AA20:AG20" ca="1">_xll.xlBondYieldSens(D20,E20,F20,G20,H20,I20,J20,B20,W20,$AA$5&amp;$AB$5&amp;$AC$5&amp;$AD$5&amp;$AE$5&amp;$AF$5&amp;$AG$5)</f>
        <v>0</v>
      </c>
      <c r="AB20" s="20">
        <f ca="1"/>
        <v>0.4459329029166666</v>
      </c>
      <c r="AC20" s="20">
        <f ca="1"/>
        <v>-0.44464730065420299</v>
      </c>
      <c r="AD20" s="20">
        <f ca="1"/>
        <v>3.988622076087963E-3</v>
      </c>
      <c r="AE20" s="20">
        <f ca="1"/>
        <v>3.9656572310957719E-3</v>
      </c>
      <c r="AF20" s="20">
        <f ca="1"/>
        <v>0.44464730153848109</v>
      </c>
      <c r="AG20" s="24">
        <f ca="1"/>
        <v>6.4649860576561748E-3</v>
      </c>
      <c r="AH20" s="22">
        <f ca="1">_xll.xlBondYieldSensCustom(D20,E20,F20,G20,H20,I20,J20,B20,W20,$AM$2,$AN$2,$AO$2,$AP$2,$AQ$2,"y")</f>
        <v>6.4649860576561748E-3</v>
      </c>
      <c r="AI20" s="22">
        <f ca="1">IF(OR(TRIM($D20)="CTZ",TRIM($D20)="BTP",TRIM($D20)="BOT"),_xll.xlShmInterpRateFwd("EONIA",_xll.xlDateSettle("target",$B$2,2),0,4,$F20),"")</f>
        <v>1.6371213606379419E-3</v>
      </c>
      <c r="AJ20" s="85">
        <f t="shared" ca="1" si="2"/>
        <v>4.8278646970182325E-3</v>
      </c>
      <c r="AO20" s="84"/>
    </row>
    <row r="21" spans="1:41" ht="15.75" x14ac:dyDescent="0.25">
      <c r="A21" s="2" t="s">
        <v>50</v>
      </c>
      <c r="B21" s="19">
        <f ca="1">MAX(_xll.xlBondValueDate(D21,$B$2),I21)</f>
        <v>41631</v>
      </c>
      <c r="C21" s="20" t="str">
        <v>IT0004820251</v>
      </c>
      <c r="D21" s="160" t="str">
        <f t="array" ref="D21:N21">_xll.BondInfo(C21,$D$5:$N$5)</f>
        <v>CTZ</v>
      </c>
      <c r="E21" s="161">
        <v>0</v>
      </c>
      <c r="F21" s="162">
        <v>41789</v>
      </c>
      <c r="G21" s="19">
        <v>41060</v>
      </c>
      <c r="H21" s="19">
        <v>41789</v>
      </c>
      <c r="I21" s="19">
        <v>41060</v>
      </c>
      <c r="J21" s="20">
        <v>92.4</v>
      </c>
      <c r="K21" s="20" t="str">
        <v>IT482025=TT</v>
      </c>
      <c r="L21" s="20" t="str">
        <v>N</v>
      </c>
      <c r="M21" s="20" t="str">
        <v>EJ2144891</v>
      </c>
      <c r="N21" s="20" t="str">
        <v>ICTZ</v>
      </c>
      <c r="O21" s="21">
        <f>_xll.BondOutstanding(C21)</f>
        <v>12816000000</v>
      </c>
      <c r="P21" s="25">
        <f ca="1">_xll.xlBondYieldSensCustom(D21,E21,F21,G21,H21,I21,J21,B21,Q21,$AM$2,$AN$2,$AO$2,$AP$2,$AQ$2,"y")</f>
        <v>6.9935521683691755E-3</v>
      </c>
      <c r="Q21" s="26">
        <f>_xll.RtGet("IDN",$K21,IF(OR($D21="BTP,$E11=""CTZ"),Q$5,Q$4))</f>
        <v>99.694000000000003</v>
      </c>
      <c r="R21" s="27">
        <f>_xll.RtGet("IDN",$K21,IF(OR($D21="BTP,$E11=""CTZ"),R$5,R$4))</f>
        <v>99.703999999999994</v>
      </c>
      <c r="S21" s="28">
        <f ca="1">_xll.xlBondYieldSensCustom(D21,E21,F21,G21,H21,I21,J21,B21,R21,$AM$2,$AN$2,$AO$2,$AP$2,$AQ$2,"y")</f>
        <v>6.7643262030436125E-3</v>
      </c>
      <c r="T21" s="23">
        <f t="shared" si="3"/>
        <v>99.698999999999998</v>
      </c>
      <c r="U21" s="83">
        <f ca="1">_xll.xlBondYieldSensCustom(D21,E21,F21,G21,H21,I21,J21,B21,T21,$AM$2,$AN$2,$AO$2,$AP$2,$AQ$2,"y")</f>
        <v>6.8789334377490716E-3</v>
      </c>
      <c r="V21" s="23"/>
      <c r="W21" s="23">
        <f t="shared" si="0"/>
        <v>99.698999999999998</v>
      </c>
      <c r="X21" s="22"/>
      <c r="Y21" s="164">
        <f t="shared" ca="1" si="1"/>
        <v>6.8789334377490716E-3</v>
      </c>
      <c r="Z21" s="135">
        <f ca="1">_xll.xlBondPriceCustom(D21,E21,F21,G21,H21,I21,J21,B21,Y21,$AM$2,$AN$2,$AO$2,$AP$2,$AQ$2)</f>
        <v>99.698999999999998</v>
      </c>
      <c r="AA21" s="20">
        <f t="array" aca="1" ref="AA21:AG21" ca="1">_xll.xlBondYieldSens(D21,E21,F21,G21,H21,I21,J21,B21,W21,$AA$5&amp;$AB$5&amp;$AC$5&amp;$AD$5&amp;$AE$5&amp;$AF$5&amp;$AG$5)</f>
        <v>0</v>
      </c>
      <c r="AB21" s="20">
        <f ca="1"/>
        <v>0.43157375342465742</v>
      </c>
      <c r="AC21" s="20">
        <f ca="1"/>
        <v>-0.43027471642684917</v>
      </c>
      <c r="AD21" s="20">
        <f ca="1"/>
        <v>3.7363645501970345E-3</v>
      </c>
      <c r="AE21" s="20">
        <f ca="1"/>
        <v>3.7139054874413087E-3</v>
      </c>
      <c r="AF21" s="20">
        <f ca="1"/>
        <v>0.43027471722822952</v>
      </c>
      <c r="AG21" s="24">
        <f ca="1"/>
        <v>6.9744741799400312E-3</v>
      </c>
      <c r="AH21" s="22">
        <f ca="1">_xll.xlBondYieldSensCustom(D21,E21,F21,G21,H21,I21,J21,B21,W21,$AM$2,$AN$2,$AO$2,$AP$2,$AQ$2,"y")</f>
        <v>6.8789334377490716E-3</v>
      </c>
      <c r="AI21" s="22">
        <f ca="1">IF(OR(TRIM($D21)="CTZ",TRIM($D21)="BTP",TRIM($D21)="BOT"),_xll.xlShmInterpRateFwd("EONIA",_xll.xlDateSettle("target",$B$2,2),0,4,$F21),"")</f>
        <v>1.6371213606379419E-3</v>
      </c>
      <c r="AJ21" s="158">
        <f t="shared" ca="1" si="2"/>
        <v>5.2418120771111302E-3</v>
      </c>
      <c r="AO21" s="84"/>
    </row>
    <row r="22" spans="1:41" ht="15.75" x14ac:dyDescent="0.25">
      <c r="A22" s="2" t="s">
        <v>48</v>
      </c>
      <c r="B22" s="19">
        <f ca="1">MAX(_xll.xlBondValueDate(D22,$B$2),I22)</f>
        <v>41631</v>
      </c>
      <c r="C22" s="20" t="str">
        <v>IT0004505076</v>
      </c>
      <c r="D22" s="86" t="str">
        <f t="array" ref="D22:N22">_xll.BondInfo(C22,$D$5:$N$5)</f>
        <v>BTP</v>
      </c>
      <c r="E22" s="20">
        <v>3.5</v>
      </c>
      <c r="F22" s="87">
        <v>41791</v>
      </c>
      <c r="G22" s="19">
        <v>39965</v>
      </c>
      <c r="H22" s="19">
        <v>40148</v>
      </c>
      <c r="I22" s="19">
        <v>39979</v>
      </c>
      <c r="J22" s="20">
        <v>99.64</v>
      </c>
      <c r="K22" s="20" t="str">
        <v>IT450507=TT</v>
      </c>
      <c r="L22" s="20" t="str">
        <v>N</v>
      </c>
      <c r="M22" s="20" t="str">
        <v>EH8572222</v>
      </c>
      <c r="N22" s="20" t="str">
        <v>BTPS</v>
      </c>
      <c r="O22" s="21">
        <f>_xll.BondOutstanding(C22)</f>
        <v>19421810000</v>
      </c>
      <c r="P22" s="25">
        <f ca="1">_xll.xlBondYieldSensCustom(D22,E22,F22,G22,H22,I22,J22,B22,Q22,$AM$2,$AN$2,$AO$2,$AP$2,$AQ$2,"y")</f>
        <v>7.2636205298833439E-3</v>
      </c>
      <c r="Q22" s="26">
        <f>_xll.RtGet("IDN",$K22,IF(OR($D22="BTP,$E11=""CTZ"),Q$5,Q$4))</f>
        <v>101.209</v>
      </c>
      <c r="R22" s="27">
        <f>_xll.RtGet("IDN",$K22,IF(OR($D22="BTP,$E11=""CTZ"),R$5,R$4))</f>
        <v>101.23</v>
      </c>
      <c r="S22" s="28">
        <f ca="1">_xll.xlBondYieldSensCustom(D22,E22,F22,G22,H22,I22,J22,B22,R22,$AM$2,$AN$2,$AO$2,$AP$2,$AQ$2,"y")</f>
        <v>6.799224889229169E-3</v>
      </c>
      <c r="T22" s="23">
        <f t="shared" si="3"/>
        <v>101.21950000000001</v>
      </c>
      <c r="U22" s="83">
        <f ca="1">_xll.xlBondYieldSensCustom(D22,E22,F22,G22,H22,I22,J22,B22,T22,$AM$2,$AN$2,$AO$2,$AP$2,$AQ$2,"y")</f>
        <v>7.031398675208439E-3</v>
      </c>
      <c r="V22" s="23"/>
      <c r="W22" s="23">
        <f t="shared" si="0"/>
        <v>101.21950000000001</v>
      </c>
      <c r="X22" s="22"/>
      <c r="Y22" s="22">
        <f t="shared" ca="1" si="1"/>
        <v>7.031398675208439E-3</v>
      </c>
      <c r="Z22" s="23">
        <f ca="1">_xll.xlBondPriceCustom(D22,E22,F22,G22,H22,I22,J22,B22,Y22,$AM$2,$AN$2,$AO$2,$AP$2,$AQ$2)</f>
        <v>101.21950018019658</v>
      </c>
      <c r="AA22" s="20">
        <f t="array" aca="1" ref="AA22:AG22" ca="1">_xll.xlBondYieldSens(D22,E22,F22,G22,H22,I22,J22,B22,W22,$AA$5&amp;$AB$5&amp;$AC$5&amp;$AD$5&amp;$AE$5&amp;$AF$5&amp;$AG$5)</f>
        <v>0.21154000000000001</v>
      </c>
      <c r="AB22" s="20">
        <f ca="1"/>
        <v>0.44090596327009524</v>
      </c>
      <c r="AC22" s="20">
        <f ca="1"/>
        <v>-0.43952359430453675</v>
      </c>
      <c r="AD22" s="20">
        <f ca="1"/>
        <v>3.9001896024330584E-3</v>
      </c>
      <c r="AE22" s="20">
        <f ca="1"/>
        <v>3.8757714745355255E-3</v>
      </c>
      <c r="AF22" s="20">
        <f ca="1"/>
        <v>0.44721575315023188</v>
      </c>
      <c r="AG22" s="24">
        <f ca="1"/>
        <v>7.1097667321269598E-3</v>
      </c>
      <c r="AH22" s="22">
        <f ca="1">_xll.xlBondYieldSensCustom(D22,E22,F22,G22,H22,I22,J22,B22,W22,$AM$2,$AN$2,$AO$2,$AP$2,$AQ$2,"y")</f>
        <v>7.031398675208439E-3</v>
      </c>
      <c r="AI22" s="22">
        <f ca="1">IF(OR(TRIM($D22)="CTZ",TRIM($D22)="BTP",TRIM($D22)="BOT"),_xll.xlShmInterpRateFwd("EONIA",_xll.xlDateSettle("target",$B$2,2),0,4,$F22),"")</f>
        <v>1.634542509821163E-3</v>
      </c>
      <c r="AJ22" s="85">
        <f t="shared" ca="1" si="2"/>
        <v>5.3968561653872761E-3</v>
      </c>
      <c r="AO22" s="84"/>
    </row>
    <row r="23" spans="1:41" ht="15.75" x14ac:dyDescent="0.25">
      <c r="A23" s="2" t="s">
        <v>58</v>
      </c>
      <c r="B23" s="19">
        <f ca="1">MAX(_xll.xlBondValueDate(D23,$B$2),I23)</f>
        <v>41628</v>
      </c>
      <c r="C23" s="20" t="str">
        <v>IT0004932064</v>
      </c>
      <c r="D23" s="86" t="str">
        <f t="array" ref="D23:N23">_xll.BondInfo(C23,$D$5:$N$5)</f>
        <v>BOT</v>
      </c>
      <c r="E23" s="20">
        <v>0</v>
      </c>
      <c r="F23" s="87">
        <v>41803</v>
      </c>
      <c r="G23" s="19">
        <v>41439</v>
      </c>
      <c r="H23" s="19">
        <v>41803</v>
      </c>
      <c r="I23" s="19">
        <v>41439</v>
      </c>
      <c r="J23" s="20">
        <v>99.037000000000006</v>
      </c>
      <c r="K23" s="20" t="str">
        <v>IT493206=TT</v>
      </c>
      <c r="L23" s="20" t="str">
        <v>Y</v>
      </c>
      <c r="M23" s="20" t="str">
        <v>EJ7066388</v>
      </c>
      <c r="N23" s="20" t="str">
        <v>BOTS</v>
      </c>
      <c r="O23" s="21">
        <f>_xll.BondOutstanding(C23)</f>
        <v>7000000000</v>
      </c>
      <c r="P23" s="25">
        <f ca="1">_xll.xlBondYieldSensCustom(D23,E23,F23,G23,H23,I23,J23,B23,Q23,$AM$2,$AN$2,$AO$2,$AP$2,$AQ$2,"y")</f>
        <v>6.5600989568496103E-3</v>
      </c>
      <c r="Q23" s="26">
        <f>_xll.RtGet("IDN",$K23,IF(OR($D23="BTP,$E11=""CTZ"),Q$5,Q$4))</f>
        <v>99.682119999999998</v>
      </c>
      <c r="R23" s="27">
        <f>_xll.RtGet("IDN",$K23,IF(OR($D23="BTP,$E11=""CTZ"),R$5,R$4))</f>
        <v>99.694199999999995</v>
      </c>
      <c r="S23" s="28">
        <f ca="1">_xll.xlBondYieldSensCustom(D23,E23,F23,G23,H23,I23,J23,B23,R23,$AM$2,$AN$2,$AO$2,$AP$2,$AQ$2,"y")</f>
        <v>6.3100389562567982E-3</v>
      </c>
      <c r="T23" s="23">
        <f t="shared" si="3"/>
        <v>99.688159999999996</v>
      </c>
      <c r="U23" s="83">
        <f ca="1">_xll.xlBondYieldSensCustom(D23,E23,F23,G23,H23,I23,J23,B23,T23,$AM$2,$AN$2,$AO$2,$AP$2,$AQ$2,"y")</f>
        <v>6.4350613811396127E-3</v>
      </c>
      <c r="V23" s="23"/>
      <c r="W23" s="23">
        <f t="shared" si="0"/>
        <v>99.688159999999996</v>
      </c>
      <c r="X23" s="22"/>
      <c r="Y23" s="22">
        <f t="shared" ca="1" si="1"/>
        <v>6.4350613811396127E-3</v>
      </c>
      <c r="Z23" s="23">
        <f ca="1">_xll.xlBondPriceCustom(D23,E23,F23,G23,H23,I23,J23,B23,Y23,$AM$2,$AN$2,$AO$2,$AP$2,$AQ$2)</f>
        <v>99.6881599999993</v>
      </c>
      <c r="AA23" s="20">
        <f t="array" aca="1" ref="AA23:AG23" ca="1">_xll.xlBondYieldSens(D23,E23,F23,G23,H23,I23,J23,B23,W23,$AA$5&amp;$AB$5&amp;$AC$5&amp;$AD$5&amp;$AE$5&amp;$AF$5&amp;$AG$5)</f>
        <v>0</v>
      </c>
      <c r="AB23" s="20">
        <f ca="1"/>
        <v>0.48459522222222212</v>
      </c>
      <c r="AC23" s="20">
        <f ca="1"/>
        <v>-0.4830840604812443</v>
      </c>
      <c r="AD23" s="20">
        <f ca="1"/>
        <v>4.7113424382716042E-3</v>
      </c>
      <c r="AE23" s="20">
        <f ca="1"/>
        <v>4.6820045528184404E-3</v>
      </c>
      <c r="AF23" s="20">
        <f ca="1"/>
        <v>0.48308406161581274</v>
      </c>
      <c r="AG23" s="24">
        <f ca="1"/>
        <v>6.4350613811396127E-3</v>
      </c>
      <c r="AH23" s="22">
        <f ca="1">_xll.xlBondYieldSensCustom(D23,E23,F23,G23,H23,I23,J23,B23,W23,$AM$2,$AN$2,$AO$2,$AP$2,$AQ$2,"y")</f>
        <v>6.4350613811396127E-3</v>
      </c>
      <c r="AI23" s="22">
        <f ca="1">IF(OR(TRIM($D23)="CTZ",TRIM($D23)="BTP",TRIM($D23)="BOT"),_xll.xlShmInterpRateFwd("EONIA",_xll.xlDateSettle("target",$B$2,2),0,4,$F23),"")</f>
        <v>1.619050422805949E-3</v>
      </c>
      <c r="AJ23" s="85">
        <f t="shared" ca="1" si="2"/>
        <v>4.8160109583336632E-3</v>
      </c>
      <c r="AO23" s="84"/>
    </row>
    <row r="24" spans="1:41" ht="15.75" x14ac:dyDescent="0.25">
      <c r="A24" s="2" t="s">
        <v>51</v>
      </c>
      <c r="B24" s="19">
        <f ca="1">MAX(_xll.xlBondValueDate(D24,$B$2),I24)</f>
        <v>41641</v>
      </c>
      <c r="C24" s="20" t="str">
        <v>IT0004981269</v>
      </c>
      <c r="D24" s="86" t="str">
        <f t="array" ref="D24:N24">_xll.BondInfo(C24,$D$5:$N$5)</f>
        <v>BOT</v>
      </c>
      <c r="E24" s="20">
        <v>0</v>
      </c>
      <c r="F24" s="87">
        <v>41820</v>
      </c>
      <c r="G24" s="19">
        <v>41641</v>
      </c>
      <c r="H24" s="19">
        <v>41820</v>
      </c>
      <c r="I24" s="19">
        <v>41641</v>
      </c>
      <c r="J24" s="20">
        <v>999</v>
      </c>
      <c r="K24" s="20" t="str">
        <v>IT498126=TT</v>
      </c>
      <c r="L24" s="20" t="str">
        <v>N</v>
      </c>
      <c r="M24" s="20" t="str">
        <v>EJ9723317</v>
      </c>
      <c r="N24" s="20" t="str">
        <v>BOTS</v>
      </c>
      <c r="O24" s="21">
        <f>_xll.BondOutstanding(C24)</f>
        <v>0</v>
      </c>
      <c r="P24" s="25" t="e">
        <f>_xll.xlBondYieldSensCustom(D24,E24,F24,G24,H24,I24,J24,B24,Q24,$AM$2,$AN$2,$AO$2,$AP$2,$AQ$2,"y")</f>
        <v>#NUM!</v>
      </c>
      <c r="Q24" s="26" t="str">
        <f>_xll.RtGet("IDN",$K24,IF(OR($D24="BTP,$E11=""CTZ"),Q$5,Q$4))</f>
        <v>#N/A The record could not be found</v>
      </c>
      <c r="R24" s="27" t="str">
        <f>_xll.RtGet("IDN",$K24,IF(OR($D24="BTP,$E11=""CTZ"),R$5,R$4))</f>
        <v>#N/A The record could not be found</v>
      </c>
      <c r="S24" s="28" t="e">
        <f>_xll.xlBondYieldSensCustom(D24,E24,F24,G24,H24,I24,J24,B24,R24,$AM$2,$AN$2,$AO$2,$AP$2,$AQ$2,"y")</f>
        <v>#NUM!</v>
      </c>
      <c r="T24" s="23" t="e">
        <f t="shared" si="3"/>
        <v>#DIV/0!</v>
      </c>
      <c r="U24" s="83" t="e">
        <f>_xll.xlBondYieldSensCustom(D24,E24,F24,G24,H24,I24,J24,B24,T24,$AM$2,$AN$2,$AO$2,$AP$2,$AQ$2,"y")</f>
        <v>#NUM!</v>
      </c>
      <c r="V24" s="23"/>
      <c r="W24" s="23" t="e">
        <f t="shared" si="0"/>
        <v>#DIV/0!</v>
      </c>
      <c r="X24" s="22"/>
      <c r="Y24" s="22" t="e">
        <f t="shared" si="1"/>
        <v>#NUM!</v>
      </c>
      <c r="Z24" s="23" t="e">
        <f>_xll.xlBondPriceCustom(D24,E24,F24,G24,H24,I24,J24,B24,Y24,$AM$2,$AN$2,$AO$2,$AP$2,$AQ$2)</f>
        <v>#NUM!</v>
      </c>
      <c r="AA24" s="20" t="e">
        <f t="array" ref="AA24:AG24">_xll.xlBondYieldSens(D24,E24,F24,G24,H24,I24,J24,B24,W24,$AA$5&amp;$AB$5&amp;$AC$5&amp;$AD$5&amp;$AE$5&amp;$AF$5&amp;$AG$5)</f>
        <v>#NUM!</v>
      </c>
      <c r="AB24" s="20" t="e">
        <v>#NUM!</v>
      </c>
      <c r="AC24" s="20" t="e">
        <v>#NUM!</v>
      </c>
      <c r="AD24" s="20" t="e">
        <v>#NUM!</v>
      </c>
      <c r="AE24" s="20" t="e">
        <v>#NUM!</v>
      </c>
      <c r="AF24" s="20" t="e">
        <v>#NUM!</v>
      </c>
      <c r="AG24" s="24" t="e">
        <v>#NUM!</v>
      </c>
      <c r="AH24" s="22" t="e">
        <f>_xll.xlBondYieldSensCustom(D24,E24,F24,G24,H24,I24,J24,B24,W24,$AM$2,$AN$2,$AO$2,$AP$2,$AQ$2,"y")</f>
        <v>#NUM!</v>
      </c>
      <c r="AI24" s="22">
        <f ca="1">IF(OR(TRIM($D24)="CTZ",TRIM($D24)="BTP",TRIM($D24)="BOT"),_xll.xlShmInterpRateFwd("EONIA",_xll.xlDateSettle("target",$B$2,2),0,4,$F24),"")</f>
        <v>1.6003407020586467E-3</v>
      </c>
      <c r="AJ24" s="85" t="e">
        <f t="shared" ca="1" si="2"/>
        <v>#NUM!</v>
      </c>
      <c r="AO24" s="84"/>
    </row>
    <row r="25" spans="1:41" ht="15.75" x14ac:dyDescent="0.25">
      <c r="A25" s="2" t="s">
        <v>49</v>
      </c>
      <c r="B25" s="19">
        <f ca="1">MAX(_xll.xlBondValueDate(D25,$B$2),I25)</f>
        <v>41631</v>
      </c>
      <c r="C25" s="20" t="str">
        <v>IT0004750409</v>
      </c>
      <c r="D25" s="86" t="str">
        <f t="array" ref="D25:N25">_xll.BondInfo(C25,$D$5:$N$5)</f>
        <v>BTP</v>
      </c>
      <c r="E25" s="20">
        <v>4.25</v>
      </c>
      <c r="F25" s="87">
        <v>41821</v>
      </c>
      <c r="G25" s="19">
        <v>40725</v>
      </c>
      <c r="H25" s="19">
        <v>40909</v>
      </c>
      <c r="I25" s="19">
        <v>40756</v>
      </c>
      <c r="J25" s="20">
        <v>98.67</v>
      </c>
      <c r="K25" s="20" t="str">
        <v>IT475040=TT</v>
      </c>
      <c r="L25" s="20" t="str">
        <v>N</v>
      </c>
      <c r="M25" s="20" t="str">
        <v>EI7592385</v>
      </c>
      <c r="N25" s="20" t="str">
        <v>BTPS</v>
      </c>
      <c r="O25" s="21">
        <f>_xll.BondOutstanding(C25)</f>
        <v>13891000000</v>
      </c>
      <c r="P25" s="25">
        <f ca="1">_xll.xlBondYieldSensCustom(D25,E25,F25,G25,H25,I25,J25,B25,Q25,$AM$2,$AN$2,$AO$2,$AP$2,$AQ$2,"y")</f>
        <v>7.1796306519652658E-3</v>
      </c>
      <c r="Q25" s="26">
        <f>_xll.RtGet("IDN",$K25,IF(OR($D25="BTP,$E11=""CTZ"),Q$5,Q$4))</f>
        <v>101.843</v>
      </c>
      <c r="R25" s="27">
        <f>_xll.RtGet("IDN",$K25,IF(OR($D25="BTP,$E11=""CTZ"),R$5,R$4))</f>
        <v>101.857</v>
      </c>
      <c r="S25" s="28">
        <f ca="1">_xll.xlBondYieldSensCustom(D25,E25,F25,G25,H25,I25,J25,B25,R25,$AM$2,$AN$2,$AO$2,$AP$2,$AQ$2,"y")</f>
        <v>6.918239098519012E-3</v>
      </c>
      <c r="T25" s="23">
        <f t="shared" si="3"/>
        <v>101.85</v>
      </c>
      <c r="U25" s="83">
        <f ca="1">_xll.xlBondYieldSensCustom(D25,E25,F25,G25,H25,I25,J25,B25,T25,$AM$2,$AN$2,$AO$2,$AP$2,$AQ$2,"y")</f>
        <v>7.0489259028045231E-3</v>
      </c>
      <c r="V25" s="23"/>
      <c r="W25" s="23">
        <f t="shared" si="0"/>
        <v>101.85</v>
      </c>
      <c r="X25" s="22"/>
      <c r="Y25" s="143">
        <f t="shared" ca="1" si="1"/>
        <v>7.0489259028045231E-3</v>
      </c>
      <c r="Z25" s="23">
        <f ca="1">_xll.xlBondPriceCustom(D25,E25,F25,G25,H25,I25,J25,B25,Y25,$AM$2,$AN$2,$AO$2,$AP$2,$AQ$2)</f>
        <v>101.84999999808966</v>
      </c>
      <c r="AA25" s="20">
        <f t="array" aca="1" ref="AA25:AG25" ca="1">_xll.xlBondYieldSens(D25,E25,F25,G25,H25,I25,J25,B25,W25,$AA$5&amp;$AB$5&amp;$AC$5&amp;$AD$5&amp;$AE$5&amp;$AF$5&amp;$AG$5)</f>
        <v>2.0210599999999999</v>
      </c>
      <c r="AB25" s="20">
        <f ca="1"/>
        <v>0.51428596793974557</v>
      </c>
      <c r="AC25" s="20">
        <f ca="1"/>
        <v>-0.51065742618055199</v>
      </c>
      <c r="AD25" s="20">
        <f ca="1"/>
        <v>7.8372976604208847E-3</v>
      </c>
      <c r="AE25" s="20">
        <f ca="1"/>
        <v>7.7270957818297006E-3</v>
      </c>
      <c r="AF25" s="20">
        <f ca="1"/>
        <v>0.53042527289335339</v>
      </c>
      <c r="AG25" s="24">
        <f ca="1"/>
        <v>7.1056506742445541E-3</v>
      </c>
      <c r="AH25" s="22">
        <f ca="1">_xll.xlBondYieldSensCustom(D25,E25,F25,G25,H25,I25,J25,B25,W25,$AM$2,$AN$2,$AO$2,$AP$2,$AQ$2,"y")</f>
        <v>7.0489259028045231E-3</v>
      </c>
      <c r="AI25" s="22">
        <f ca="1">IF(OR(TRIM($D25)="CTZ",TRIM($D25)="BTP",TRIM($D25)="BOT"),_xll.xlShmInterpRateFwd("EONIA",_xll.xlDateSettle("target",$B$2,2),0,4,$F25),"")</f>
        <v>1.5993737290783511E-3</v>
      </c>
      <c r="AJ25" s="85">
        <f t="shared" ca="1" si="2"/>
        <v>5.4495521737261722E-3</v>
      </c>
      <c r="AO25" s="84"/>
    </row>
    <row r="26" spans="1:41" ht="15.75" x14ac:dyDescent="0.25">
      <c r="A26" s="2" t="s">
        <v>47</v>
      </c>
      <c r="B26" s="19">
        <f ca="1">MAX(_xll.xlBondValueDate(D26,$B$2),I26)</f>
        <v>41628</v>
      </c>
      <c r="C26" s="20" t="str">
        <v>IT0004940091</v>
      </c>
      <c r="D26" s="86" t="str">
        <f t="array" ref="D26:N26">_xll.BondInfo(C26,$D$5:$N$5)</f>
        <v>BOT</v>
      </c>
      <c r="E26" s="20">
        <v>0</v>
      </c>
      <c r="F26" s="87">
        <v>41834</v>
      </c>
      <c r="G26" s="19">
        <v>41467</v>
      </c>
      <c r="H26" s="19">
        <v>41834</v>
      </c>
      <c r="I26" s="19">
        <v>41467</v>
      </c>
      <c r="J26" s="20">
        <v>98.912999999999997</v>
      </c>
      <c r="K26" s="20" t="str">
        <v>IT494009=TT</v>
      </c>
      <c r="L26" s="20" t="str">
        <v>N</v>
      </c>
      <c r="M26" s="20" t="str">
        <v>EJ7412566</v>
      </c>
      <c r="N26" s="20" t="str">
        <v>BOTS</v>
      </c>
      <c r="O26" s="21">
        <f>_xll.BondOutstanding(C26)</f>
        <v>7000000000</v>
      </c>
      <c r="P26" s="25">
        <f ca="1">_xll.xlBondYieldSensCustom(D26,E26,F26,G26,H26,I26,J26,B26,Q26,$AM$2,$AN$2,$AO$2,$AP$2,$AQ$2,"y")</f>
        <v>6.8499683172686676E-3</v>
      </c>
      <c r="Q26" s="26">
        <f>_xll.RtGet("IDN",$K26,IF(OR($D26="BTP,$E11=""CTZ"),Q$5,Q$4))</f>
        <v>99.609560000000002</v>
      </c>
      <c r="R26" s="27">
        <f>_xll.RtGet("IDN",$K26,IF(OR($D26="BTP,$E11=""CTZ"),R$5,R$4))</f>
        <v>99.625460000000004</v>
      </c>
      <c r="S26" s="28">
        <f ca="1">_xll.xlBondYieldSensCustom(D26,E26,F26,G26,H26,I26,J26,B26,R26,$AM$2,$AN$2,$AO$2,$AP$2,$AQ$2,"y")</f>
        <v>6.5699663753631858E-3</v>
      </c>
      <c r="T26" s="23">
        <f t="shared" si="3"/>
        <v>99.61751000000001</v>
      </c>
      <c r="U26" s="83">
        <f ca="1">_xll.xlBondYieldSensCustom(D26,E26,F26,G26,H26,I26,J26,B26,T26,$AM$2,$AN$2,$AO$2,$AP$2,$AQ$2,"y")</f>
        <v>6.7099561735039304E-3</v>
      </c>
      <c r="V26" s="23"/>
      <c r="W26" s="23">
        <f t="shared" si="0"/>
        <v>99.61751000000001</v>
      </c>
      <c r="X26" s="22"/>
      <c r="Y26" s="22">
        <f t="shared" ca="1" si="1"/>
        <v>6.7099561735039304E-3</v>
      </c>
      <c r="Z26" s="23">
        <f ca="1">_xll.xlBondPriceCustom(D26,E26,F26,G26,H26,I26,J26,B26,Y26,$AM$2,$AN$2,$AO$2,$AP$2,$AQ$2)</f>
        <v>99.617509999999996</v>
      </c>
      <c r="AA26" s="20">
        <f t="array" aca="1" ref="AA26:AG26" ca="1">_xll.xlBondYieldSens(D26,E26,F26,G26,H26,I26,J26,B26,W26,$AA$5&amp;$AB$5&amp;$AC$5&amp;$AD$5&amp;$AE$5&amp;$AF$5&amp;$AG$5)</f>
        <v>0</v>
      </c>
      <c r="AB26" s="20">
        <f ca="1"/>
        <v>0.57003352944444441</v>
      </c>
      <c r="AC26" s="20">
        <f ca="1"/>
        <v>-0.56785320819767238</v>
      </c>
      <c r="AD26" s="20">
        <f ca="1"/>
        <v>6.5237170591975306E-3</v>
      </c>
      <c r="AE26" s="20">
        <f ca="1"/>
        <v>6.4739073695054021E-3</v>
      </c>
      <c r="AF26" s="20">
        <f ca="1"/>
        <v>0.56785321004255707</v>
      </c>
      <c r="AG26" s="24">
        <f ca="1"/>
        <v>6.7099561735039304E-3</v>
      </c>
      <c r="AH26" s="22">
        <f ca="1">_xll.xlBondYieldSensCustom(D26,E26,F26,G26,H26,I26,J26,B26,W26,$AM$2,$AN$2,$AO$2,$AP$2,$AQ$2,"y")</f>
        <v>6.7099561735039304E-3</v>
      </c>
      <c r="AI26" s="22">
        <f ca="1">IF(OR(TRIM($D26)="CTZ",TRIM($D26)="BTP",TRIM($D26)="BOT"),_xll.xlShmInterpRateFwd("EONIA",_xll.xlDateSettle("target",$B$2,2),0,4,$F26),"")</f>
        <v>1.5867877492607948E-3</v>
      </c>
      <c r="AJ26" s="85">
        <f t="shared" ca="1" si="2"/>
        <v>5.1231684242431354E-3</v>
      </c>
      <c r="AO26" s="84"/>
    </row>
    <row r="27" spans="1:41" ht="15.75" x14ac:dyDescent="0.25">
      <c r="A27" s="2" t="s">
        <v>234</v>
      </c>
      <c r="B27" s="19">
        <f ca="1">MAX(_xll.xlBondValueDate(D27,$B$2),I27)</f>
        <v>41631</v>
      </c>
      <c r="C27" s="20" t="str">
        <v>IT0003618383</v>
      </c>
      <c r="D27" s="148" t="str">
        <f t="array" ref="D27:N27">_xll.BondInfo(C27,$D$5:$N$5)</f>
        <v>BTP</v>
      </c>
      <c r="E27" s="156">
        <v>4.25</v>
      </c>
      <c r="F27" s="150">
        <v>41852</v>
      </c>
      <c r="G27" s="19">
        <v>38018</v>
      </c>
      <c r="H27" s="19">
        <v>38200</v>
      </c>
      <c r="I27" s="19">
        <v>38019</v>
      </c>
      <c r="J27" s="20">
        <v>99.2</v>
      </c>
      <c r="K27" s="20" t="str">
        <v>IT361838=TT</v>
      </c>
      <c r="L27" s="20" t="str">
        <v>N</v>
      </c>
      <c r="M27" s="20" t="str">
        <v>ED3032684</v>
      </c>
      <c r="N27" s="20" t="str">
        <v>BTPS</v>
      </c>
      <c r="O27" s="21">
        <f>_xll.BondOutstanding(C27)</f>
        <v>27249064000</v>
      </c>
      <c r="P27" s="25">
        <f ca="1">_xll.xlBondYieldSensCustom(D27,E27,F27,G27,H27,I27,J27,B27,Q27,$AM$2,$AN$2,$AO$2,$AP$2,$AQ$2,"y")</f>
        <v>7.6612646778133342E-3</v>
      </c>
      <c r="Q27" s="26">
        <f>_xll.RtGet("IDN",$K27,IF(OR($D27="BTP,$E11=""CTZ"),Q$5,Q$4))</f>
        <v>102.107</v>
      </c>
      <c r="R27" s="27">
        <f>_xll.RtGet("IDN",$K27,IF(OR($D27="BTP,$E11=""CTZ"),R$5,R$4))</f>
        <v>102.134</v>
      </c>
      <c r="S27" s="28">
        <f ca="1">_xll.xlBondYieldSensCustom(D27,E27,F27,G27,H27,I27,J27,B27,R27,$AM$2,$AN$2,$AO$2,$AP$2,$AQ$2,"y")</f>
        <v>7.228376314246221E-3</v>
      </c>
      <c r="T27" s="23">
        <f t="shared" si="3"/>
        <v>102.12049999999999</v>
      </c>
      <c r="U27" s="83">
        <f ca="1">_xll.xlBondYieldSensCustom(D27,E27,F27,G27,H27,I27,J27,B27,T27,$AM$2,$AN$2,$AO$2,$AP$2,$AQ$2,"y")</f>
        <v>7.4447919591176456E-3</v>
      </c>
      <c r="V27" s="23"/>
      <c r="W27" s="23">
        <f t="shared" si="0"/>
        <v>102.12049999999999</v>
      </c>
      <c r="X27" s="22"/>
      <c r="Y27" s="22">
        <f t="shared" ca="1" si="1"/>
        <v>7.4447919591176456E-3</v>
      </c>
      <c r="Z27" s="141">
        <f ca="1">_xll.xlBondPriceCustom(D27,E27,F27,G27,H27,I27,J27,B27,Y27,$AM$2,$AN$2,$AO$2,$AP$2,$AQ$2)</f>
        <v>102.12049999534747</v>
      </c>
      <c r="AA27" s="20">
        <f t="array" aca="1" ref="AA27:AG27" ca="1">_xll.xlBondYieldSens(D27,E27,F27,G27,H27,I27,J27,B27,W27,$AA$5&amp;$AB$5&amp;$AC$5&amp;$AD$5&amp;$AE$5&amp;$AF$5&amp;$AG$5)</f>
        <v>1.6630400000000001</v>
      </c>
      <c r="AB27" s="20">
        <f ca="1"/>
        <v>0.59857978106457765</v>
      </c>
      <c r="AC27" s="20">
        <f ca="1"/>
        <v>-0.59411220456738323</v>
      </c>
      <c r="AD27" s="20">
        <f ca="1"/>
        <v>9.6177725127960315E-3</v>
      </c>
      <c r="AE27" s="20">
        <f ca="1"/>
        <v>9.4747413356214855E-3</v>
      </c>
      <c r="AF27" s="20">
        <f ca="1"/>
        <v>0.61659067414723268</v>
      </c>
      <c r="AG27" s="24">
        <f ca="1"/>
        <v>7.5197643594162797E-3</v>
      </c>
      <c r="AH27" s="22">
        <f ca="1">_xll.xlBondYieldSensCustom(D27,E27,F27,G27,H27,I27,J27,B27,W27,$AM$2,$AN$2,$AO$2,$AP$2,$AQ$2,"y")</f>
        <v>7.4447919591176456E-3</v>
      </c>
      <c r="AI27" s="22">
        <f ca="1">IF(OR(TRIM($D27)="CTZ",TRIM($D27)="BTP",TRIM($D27)="BOT"),_xll.xlShmInterpRateFwd("EONIA",_xll.xlDateSettle("target",$B$2,2),0,4,$F27),"")</f>
        <v>1.5726806087559911E-3</v>
      </c>
      <c r="AJ27" s="85">
        <f t="shared" ca="1" si="2"/>
        <v>5.8721113503616548E-3</v>
      </c>
      <c r="AO27" s="84"/>
    </row>
    <row r="28" spans="1:41" ht="15.75" x14ac:dyDescent="0.25">
      <c r="A28" s="2"/>
      <c r="B28" s="19">
        <f ca="1">MAX(_xll.xlBondValueDate(D28,$B$2),I28)</f>
        <v>41628</v>
      </c>
      <c r="C28" s="20" t="str">
        <v>IT0004954712</v>
      </c>
      <c r="D28" s="148" t="str">
        <f t="array" ref="D28:N28">_xll.BondInfo(C28,$D$5:$N$5)</f>
        <v>BOT</v>
      </c>
      <c r="E28" s="149">
        <v>0</v>
      </c>
      <c r="F28" s="150">
        <v>41865</v>
      </c>
      <c r="G28" s="19">
        <v>41500</v>
      </c>
      <c r="H28" s="19">
        <v>41865</v>
      </c>
      <c r="I28" s="19">
        <v>41500</v>
      </c>
      <c r="J28" s="20">
        <v>98.944000000000003</v>
      </c>
      <c r="K28" s="20" t="str">
        <v>IT495471=TT</v>
      </c>
      <c r="L28" s="20" t="str">
        <v>N</v>
      </c>
      <c r="M28" s="20" t="str">
        <v>EJ7805710</v>
      </c>
      <c r="N28" s="20" t="str">
        <v>BOTS</v>
      </c>
      <c r="O28" s="21">
        <f>_xll.BondOutstanding(C28)</f>
        <v>8625000000</v>
      </c>
      <c r="P28" s="25">
        <f ca="1">_xll.xlBondYieldSensCustom(D28,E28,F28,G28,H28,I28,J28,B28,Q28,$AM$2,$AN$2,$AO$2,$AP$2,$AQ$2,"y")</f>
        <v>7.1899739521086303E-3</v>
      </c>
      <c r="Q28" s="26">
        <f>_xll.RtGet("IDN",$K28,IF(OR($D28="BTP,$E11=""CTZ"),Q$5,Q$4))</f>
        <v>99.528890000000004</v>
      </c>
      <c r="R28" s="27">
        <f>_xll.RtGet("IDN",$K28,IF(OR($D28="BTP,$E11=""CTZ"),R$5,R$4))</f>
        <v>99.542590000000004</v>
      </c>
      <c r="S28" s="28">
        <f ca="1">_xll.xlBondYieldSensCustom(D28,E28,F28,G28,H28,I28,J28,B28,R28,$AM$2,$AN$2,$AO$2,$AP$2,$AQ$2,"y")</f>
        <v>6.9799268835580444E-3</v>
      </c>
      <c r="T28" s="23">
        <f t="shared" si="3"/>
        <v>99.535740000000004</v>
      </c>
      <c r="U28" s="83">
        <f ca="1">_xll.xlBondYieldSensCustom(D28,E28,F28,G28,H28,I28,J28,B28,T28,$AM$2,$AN$2,$AO$2,$AP$2,$AQ$2,"y")</f>
        <v>7.0849431901660962E-3</v>
      </c>
      <c r="V28" s="23"/>
      <c r="W28" s="23">
        <f t="shared" si="0"/>
        <v>99.535740000000004</v>
      </c>
      <c r="X28" s="22"/>
      <c r="Y28" s="22">
        <f t="shared" ca="1" si="1"/>
        <v>7.0849431901660962E-3</v>
      </c>
      <c r="Z28" s="23">
        <f ca="1">_xll.xlBondPriceCustom(D28,E28,F28,G28,H28,I28,J28,B28,Y28,$AM$2,$AN$2,$AO$2,$AP$2,$AQ$2)</f>
        <v>99.53573999999999</v>
      </c>
      <c r="AA28" s="20">
        <f t="array" aca="1" ref="AA28:AG28" ca="1">_xll.xlBondYieldSens(D28,E28,F28,G28,H28,I28,J28,B28,W28,$AA$5&amp;$AB$5&amp;$AC$5&amp;$AD$5&amp;$AE$5&amp;$AF$5&amp;$AG$5)</f>
        <v>0</v>
      </c>
      <c r="AB28" s="20">
        <f ca="1"/>
        <v>0.65527695500000005</v>
      </c>
      <c r="AC28" s="20">
        <f ca="1"/>
        <v>-0.65223476620871701</v>
      </c>
      <c r="AD28" s="20">
        <f ca="1"/>
        <v>8.627813240833334E-3</v>
      </c>
      <c r="AE28" s="20">
        <f ca="1"/>
        <v>8.5478882309276989E-3</v>
      </c>
      <c r="AF28" s="20">
        <f ca="1"/>
        <v>0.65223476901010713</v>
      </c>
      <c r="AG28" s="24">
        <f ca="1"/>
        <v>7.0849431901660962E-3</v>
      </c>
      <c r="AH28" s="22">
        <f ca="1">_xll.xlBondYieldSensCustom(D28,E28,F28,G28,H28,I28,J28,B28,W28,$AM$2,$AN$2,$AO$2,$AP$2,$AQ$2,"y")</f>
        <v>7.0849431901660962E-3</v>
      </c>
      <c r="AI28" s="22">
        <f ca="1">IF(OR(TRIM($D28)="CTZ",TRIM($D28)="BTP",TRIM($D28)="BOT"),_xll.xlShmInterpRateFwd("EONIA",_xll.xlDateSettle("target",$B$2,2),0,4,$F28),"")</f>
        <v>1.5640091003375257E-3</v>
      </c>
      <c r="AJ28" s="85">
        <f t="shared" ca="1" si="2"/>
        <v>5.5209340898285707E-3</v>
      </c>
      <c r="AO28" s="84"/>
    </row>
    <row r="29" spans="1:41" ht="15.75" x14ac:dyDescent="0.25">
      <c r="A29" s="2"/>
      <c r="B29" s="19">
        <f ca="1">MAX(_xll.xlBondValueDate(D29,$B$2),I29)</f>
        <v>41628</v>
      </c>
      <c r="C29" s="20" t="str">
        <v>IT0004958168</v>
      </c>
      <c r="D29" s="86" t="str">
        <f t="array" ref="D29:N29">_xll.BondInfo(C29,$D$5:$N$5)</f>
        <v>BOT</v>
      </c>
      <c r="E29" s="20">
        <v>0</v>
      </c>
      <c r="F29" s="87">
        <v>41894</v>
      </c>
      <c r="G29" s="19">
        <v>41530</v>
      </c>
      <c r="H29" s="19">
        <v>41894</v>
      </c>
      <c r="I29" s="19">
        <v>41530</v>
      </c>
      <c r="J29" s="20">
        <v>98.662999999999997</v>
      </c>
      <c r="K29" s="20" t="str">
        <v>IT495816=TT</v>
      </c>
      <c r="L29" s="20" t="str">
        <v>N</v>
      </c>
      <c r="M29" s="20" t="str">
        <v>EJ8127650</v>
      </c>
      <c r="N29" s="20" t="str">
        <v>BOTS</v>
      </c>
      <c r="O29" s="21">
        <f>_xll.BondOutstanding(C29)</f>
        <v>9775000000</v>
      </c>
      <c r="P29" s="25">
        <f ca="1">_xll.xlBondYieldSensCustom(D29,E29,F29,G29,H29,I29,J29,B29,Q29,$AM$2,$AN$2,$AO$2,$AP$2,$AQ$2,"y")</f>
        <v>7.2499993174011384E-3</v>
      </c>
      <c r="Q29" s="26">
        <f>_xll.RtGet("IDN",$K29,IF(OR($D29="BTP,$E11=""CTZ"),Q$5,Q$4))</f>
        <v>99.467160000000007</v>
      </c>
      <c r="R29" s="27">
        <f>_xll.RtGet("IDN",$K29,IF(OR($D29="BTP,$E11=""CTZ"),R$5,R$4))</f>
        <v>99.477400000000003</v>
      </c>
      <c r="S29" s="28">
        <f ca="1">_xll.xlBondYieldSensCustom(D29,E29,F29,G29,H29,I29,J29,B29,R29,$AM$2,$AN$2,$AO$2,$AP$2,$AQ$2,"y")</f>
        <v>7.1099384934397965E-3</v>
      </c>
      <c r="T29" s="23">
        <f t="shared" si="3"/>
        <v>99.472280000000012</v>
      </c>
      <c r="U29" s="83">
        <f ca="1">_xll.xlBondYieldSensCustom(D29,E29,F29,G29,H29,I29,J29,B29,T29,$AM$2,$AN$2,$AO$2,$AP$2,$AQ$2,"y")</f>
        <v>7.1799653008554872E-3</v>
      </c>
      <c r="V29" s="23"/>
      <c r="W29" s="23">
        <f t="shared" si="0"/>
        <v>99.472280000000012</v>
      </c>
      <c r="X29" s="22"/>
      <c r="Y29" s="22">
        <f t="shared" ca="1" si="1"/>
        <v>7.1799653008554872E-3</v>
      </c>
      <c r="Z29" s="23">
        <f ca="1">_xll.xlBondPriceCustom(D29,E29,F29,G29,H29,I29,J29,B29,Y29,$AM$2,$AN$2,$AO$2,$AP$2,$AQ$2)</f>
        <v>99.472280000000012</v>
      </c>
      <c r="AA29" s="20">
        <f t="array" aca="1" ref="AA29:AG29" ca="1">_xll.xlBondYieldSens(D29,E29,F29,G29,H29,I29,J29,B29,W29,$AA$5&amp;$AB$5&amp;$AC$5&amp;$AD$5&amp;$AE$5&amp;$AF$5&amp;$AG$5)</f>
        <v>0</v>
      </c>
      <c r="AB29" s="20">
        <f ca="1"/>
        <v>0.73498962444444438</v>
      </c>
      <c r="AC29" s="20">
        <f ca="1"/>
        <v>-0.73111093719832621</v>
      </c>
      <c r="AD29" s="20">
        <f ca="1"/>
        <v>1.0861513339012346E-2</v>
      </c>
      <c r="AE29" s="20">
        <f ca="1"/>
        <v>1.0747179063172475E-2</v>
      </c>
      <c r="AF29" s="20">
        <f ca="1"/>
        <v>0.7311109411482164</v>
      </c>
      <c r="AG29" s="24">
        <f ca="1"/>
        <v>7.1799653008554872E-3</v>
      </c>
      <c r="AH29" s="22">
        <f ca="1">_xll.xlBondYieldSensCustom(D29,E29,F29,G29,H29,I29,J29,B29,W29,$AM$2,$AN$2,$AO$2,$AP$2,$AQ$2,"y")</f>
        <v>7.1799653008554872E-3</v>
      </c>
      <c r="AI29" s="22">
        <f ca="1">IF(OR(TRIM($D29)="CTZ",TRIM($D29)="BTP",TRIM($D29)="BOT"),_xll.xlShmInterpRateFwd("EONIA",_xll.xlDateSettle("target",$B$2,2),0,4,$F29),"")</f>
        <v>1.5460711327365364E-3</v>
      </c>
      <c r="AJ29" s="85">
        <f t="shared" ca="1" si="2"/>
        <v>5.6338941681189506E-3</v>
      </c>
      <c r="AO29" s="84"/>
    </row>
    <row r="30" spans="1:41" ht="15.75" x14ac:dyDescent="0.25">
      <c r="A30" s="2"/>
      <c r="B30" s="19">
        <f ca="1">MAX(_xll.xlBondValueDate(D30,$B$2),I30)</f>
        <v>41631</v>
      </c>
      <c r="C30" s="20" t="str">
        <v>IT0004853807</v>
      </c>
      <c r="D30" s="148" t="str">
        <f t="array" ref="D30:N30">_xll.BondInfo(C30,$D$5:$N$5)</f>
        <v>CTZ</v>
      </c>
      <c r="E30" s="149">
        <v>0</v>
      </c>
      <c r="F30" s="150">
        <v>41912</v>
      </c>
      <c r="G30" s="19">
        <v>41180</v>
      </c>
      <c r="H30" s="19">
        <v>41912</v>
      </c>
      <c r="I30" s="19">
        <v>41180</v>
      </c>
      <c r="J30" s="20">
        <v>95.11</v>
      </c>
      <c r="K30" s="20" t="str">
        <v>IT485380=TT</v>
      </c>
      <c r="L30" s="20" t="str">
        <v>N</v>
      </c>
      <c r="M30" s="20" t="str">
        <v>EJ3770256</v>
      </c>
      <c r="N30" s="20" t="str">
        <v>ICTZ</v>
      </c>
      <c r="O30" s="21">
        <f>_xll.BondOutstanding(C30)</f>
        <v>14292115000</v>
      </c>
      <c r="P30" s="25">
        <f ca="1">_xll.xlBondYieldSensCustom(D30,E30,F30,G30,H30,I30,J30,B30,Q30,$AM$2,$AN$2,$AO$2,$AP$2,$AQ$2,"y")</f>
        <v>7.9796431011160511E-3</v>
      </c>
      <c r="Q30" s="26">
        <f>_xll.RtGet("IDN",$K30,IF(OR($D30="BTP,$E11=""CTZ"),Q$5,Q$4))</f>
        <v>99.381</v>
      </c>
      <c r="R30" s="27">
        <f>_xll.RtGet("IDN",$K30,IF(OR($D30="BTP,$E11=""CTZ"),R$5,R$4))</f>
        <v>99.403999999999996</v>
      </c>
      <c r="S30" s="28">
        <f ca="1">_xll.xlBondYieldSensCustom(D30,E30,F30,G30,H30,I30,J30,B30,R30,$AM$2,$AN$2,$AO$2,$AP$2,$AQ$2,"y")</f>
        <v>7.6813681427429165E-3</v>
      </c>
      <c r="T30" s="23">
        <f t="shared" si="3"/>
        <v>99.392499999999998</v>
      </c>
      <c r="U30" s="83">
        <f ca="1">_xll.xlBondYieldSensCustom(D30,E30,F30,G30,H30,I30,J30,B30,T30,$AM$2,$AN$2,$AO$2,$AP$2,$AQ$2,"y")</f>
        <v>7.83048836629157E-3</v>
      </c>
      <c r="V30" s="23"/>
      <c r="W30" s="23">
        <f t="shared" si="0"/>
        <v>99.392499999999998</v>
      </c>
      <c r="X30" s="22"/>
      <c r="Y30" s="22">
        <f t="shared" ca="1" si="1"/>
        <v>7.83048836629157E-3</v>
      </c>
      <c r="Z30" s="23">
        <f ca="1">_xll.xlBondPriceCustom(D30,E30,F30,G30,H30,I30,J30,B30,Y30,$AM$2,$AN$2,$AO$2,$AP$2,$AQ$2)</f>
        <v>99.392499999999984</v>
      </c>
      <c r="AA30" s="20">
        <f t="array" aca="1" ref="AA30:AG30" ca="1">_xll.xlBondYieldSens(D30,E30,F30,G30,H30,I30,J30,B30,W30,$AA$5&amp;$AB$5&amp;$AC$5&amp;$AD$5&amp;$AE$5&amp;$AF$5&amp;$AG$5)</f>
        <v>0</v>
      </c>
      <c r="AB30" s="20">
        <f ca="1"/>
        <v>0.76518609589041087</v>
      </c>
      <c r="AC30" s="20">
        <f ca="1"/>
        <v>-0.76053759035787649</v>
      </c>
      <c r="AD30" s="20">
        <f ca="1"/>
        <v>1.1781769476449613E-2</v>
      </c>
      <c r="AE30" s="20">
        <f ca="1"/>
        <v>1.1639055790876882E-2</v>
      </c>
      <c r="AF30" s="20">
        <f ca="1"/>
        <v>0.76053759481098382</v>
      </c>
      <c r="AG30" s="24">
        <f ca="1"/>
        <v>7.9392451491425188E-3</v>
      </c>
      <c r="AH30" s="22">
        <f ca="1">_xll.xlBondYieldSensCustom(D30,E30,F30,G30,H30,I30,J30,B30,W30,$AM$2,$AN$2,$AO$2,$AP$2,$AQ$2,"y")</f>
        <v>7.83048836629157E-3</v>
      </c>
      <c r="AI30" s="22">
        <f ca="1">IF(OR(TRIM($D30)="CTZ",TRIM($D30)="BTP",TRIM($D30)="BOT"),_xll.xlShmInterpRateFwd("EONIA",_xll.xlDateSettle("target",$B$2,2),0,4,$F30),"")</f>
        <v>1.5371492052352657E-3</v>
      </c>
      <c r="AJ30" s="85">
        <f t="shared" ca="1" si="2"/>
        <v>6.2933391610563039E-3</v>
      </c>
      <c r="AO30" s="84"/>
    </row>
    <row r="31" spans="1:41" ht="15.75" x14ac:dyDescent="0.25">
      <c r="A31" s="2"/>
      <c r="B31" s="19">
        <f ca="1">MAX(_xll.xlBondValueDate(D31,$B$2),I31)</f>
        <v>41628</v>
      </c>
      <c r="C31" s="20" t="str">
        <v>IT0004965080</v>
      </c>
      <c r="D31" s="86" t="str">
        <f t="array" ref="D31:N31">_xll.BondInfo(C31,$D$5:$N$5)</f>
        <v>BOT</v>
      </c>
      <c r="E31" s="20">
        <v>0</v>
      </c>
      <c r="F31" s="87">
        <v>41926</v>
      </c>
      <c r="G31" s="19">
        <v>41561</v>
      </c>
      <c r="H31" s="19">
        <v>41926</v>
      </c>
      <c r="I31" s="19">
        <v>41561</v>
      </c>
      <c r="J31" s="20">
        <v>98.997</v>
      </c>
      <c r="K31" s="20" t="str">
        <v>IT496508=TT</v>
      </c>
      <c r="L31" s="20" t="str">
        <v>N</v>
      </c>
      <c r="M31" s="20" t="str">
        <v>EJ8635553</v>
      </c>
      <c r="N31" s="20" t="str">
        <v>BOTS</v>
      </c>
      <c r="O31" s="21">
        <f>_xll.BondOutstanding(C31)</f>
        <v>9775000000</v>
      </c>
      <c r="P31" s="25">
        <f ca="1">_xll.xlBondYieldSensCustom(D31,E31,F31,G31,H31,I31,J31,B31,Q31,$AM$2,$AN$2,$AO$2,$AP$2,$AQ$2,"y")</f>
        <v>7.5099955700743673E-3</v>
      </c>
      <c r="Q31" s="26">
        <f>_xll.RtGet("IDN",$K31,IF(OR($D31="BTP,$E11=""CTZ"),Q$5,Q$4))</f>
        <v>99.382180000000005</v>
      </c>
      <c r="R31" s="27">
        <f>_xll.RtGet("IDN",$K31,IF(OR($D31="BTP,$E11=""CTZ"),R$5,R$4))</f>
        <v>99.409989999999993</v>
      </c>
      <c r="S31" s="28">
        <f ca="1">_xll.xlBondYieldSensCustom(D31,E31,F31,G31,H31,I31,J31,B31,R31,$AM$2,$AN$2,$AO$2,$AP$2,$AQ$2,"y")</f>
        <v>7.169940952506451E-3</v>
      </c>
      <c r="T31" s="23">
        <f t="shared" si="3"/>
        <v>99.396084999999999</v>
      </c>
      <c r="U31" s="83">
        <f ca="1">_xll.xlBondYieldSensCustom(D31,E31,F31,G31,H31,I31,J31,B31,T31,$AM$2,$AN$2,$AO$2,$AP$2,$AQ$2,"y")</f>
        <v>7.3399444753427696E-3</v>
      </c>
      <c r="V31" s="23"/>
      <c r="W31" s="23">
        <f t="shared" si="0"/>
        <v>99.396084999999999</v>
      </c>
      <c r="X31" s="22"/>
      <c r="Y31" s="22">
        <f t="shared" ca="1" si="1"/>
        <v>7.3399444753427696E-3</v>
      </c>
      <c r="Z31" s="23">
        <f ca="1">_xll.xlBondPriceCustom(D31,E31,F31,G31,H31,I31,J31,B31,Y31,$AM$2,$AN$2,$AO$2,$AP$2,$AQ$2)</f>
        <v>99.396084999999985</v>
      </c>
      <c r="AA31" s="20">
        <f t="array" aca="1" ref="AA31:AG31" ca="1">_xll.xlBondYieldSens(D31,E31,F31,G31,H31,I31,J31,B31,W31,$AA$5&amp;$AB$5&amp;$AC$5&amp;$AD$5&amp;$AE$5&amp;$AF$5&amp;$AG$5)</f>
        <v>0</v>
      </c>
      <c r="AB31" s="20">
        <f ca="1"/>
        <v>0.82277870361111105</v>
      </c>
      <c r="AC31" s="20">
        <f ca="1"/>
        <v>-0.81780981960319798</v>
      </c>
      <c r="AD31" s="20">
        <f ca="1"/>
        <v>1.3621558537561727E-2</v>
      </c>
      <c r="AE31" s="20">
        <f ca="1"/>
        <v>1.3457530063471118E-2</v>
      </c>
      <c r="AF31" s="20">
        <f ca="1"/>
        <v>0.81780982514061407</v>
      </c>
      <c r="AG31" s="24">
        <f ca="1"/>
        <v>7.3399444753427696E-3</v>
      </c>
      <c r="AH31" s="22">
        <f ca="1">_xll.xlBondYieldSensCustom(D31,E31,F31,G31,H31,I31,J31,B31,W31,$AM$2,$AN$2,$AO$2,$AP$2,$AQ$2,"y")</f>
        <v>7.3399444753427696E-3</v>
      </c>
      <c r="AI31" s="22">
        <f ca="1">IF(OR(TRIM($D31)="CTZ",TRIM($D31)="BTP",TRIM($D31)="BOT"),_xll.xlShmInterpRateFwd("EONIA",_xll.xlDateSettle("target",$B$2,2),0,4,$F31),"")</f>
        <v>1.5321478573947745E-3</v>
      </c>
      <c r="AJ31" s="85">
        <f t="shared" ca="1" si="2"/>
        <v>5.8077966179479953E-3</v>
      </c>
      <c r="AO31" s="84"/>
    </row>
    <row r="32" spans="1:41" ht="15.75" x14ac:dyDescent="0.25">
      <c r="A32" s="2"/>
      <c r="B32" s="19">
        <f ca="1">MAX(_xll.xlBondValueDate(D32,$B$2),I32)</f>
        <v>41628</v>
      </c>
      <c r="C32" s="20" t="str">
        <v>IT0004969462</v>
      </c>
      <c r="D32" s="86" t="str">
        <f t="array" ref="D32:N32">_xll.BondInfo(C32,$D$5:$N$5)</f>
        <v>BOT</v>
      </c>
      <c r="E32" s="20">
        <v>0</v>
      </c>
      <c r="F32" s="87">
        <v>41957</v>
      </c>
      <c r="G32" s="19">
        <v>41592</v>
      </c>
      <c r="H32" s="19">
        <v>41957</v>
      </c>
      <c r="I32" s="19">
        <v>41592</v>
      </c>
      <c r="J32" s="20">
        <v>99.307000000000002</v>
      </c>
      <c r="K32" s="20" t="str">
        <v>IT496946=TT</v>
      </c>
      <c r="L32" s="20" t="str">
        <v>N</v>
      </c>
      <c r="M32" s="20" t="str">
        <v>EJ9204318</v>
      </c>
      <c r="N32" s="20" t="str">
        <v>BOTS</v>
      </c>
      <c r="O32" s="21">
        <f>_xll.BondOutstanding(C32)</f>
        <v>7150000000</v>
      </c>
      <c r="P32" s="25">
        <f ca="1">_xll.xlBondYieldSensCustom(D32,E32,F32,G32,H32,I32,J32,B32,Q32,$AM$2,$AN$2,$AO$2,$AP$2,$AQ$2,"y")</f>
        <v>7.7499690277641536E-3</v>
      </c>
      <c r="Q32" s="26">
        <f>_xll.RtGet("IDN",$K32,IF(OR($D32="BTP,$E11=""CTZ"),Q$5,Q$4))</f>
        <v>99.296719999999993</v>
      </c>
      <c r="R32" s="27">
        <f>_xll.RtGet("IDN",$K32,IF(OR($D32="BTP,$E11=""CTZ"),R$5,R$4))</f>
        <v>99.326459999999997</v>
      </c>
      <c r="S32" s="28">
        <f ca="1">_xll.xlBondYieldSensCustom(D32,E32,F32,G32,H32,I32,J32,B32,R32,$AM$2,$AN$2,$AO$2,$AP$2,$AQ$2,"y")</f>
        <v>7.4200193515317741E-3</v>
      </c>
      <c r="T32" s="23">
        <f t="shared" si="3"/>
        <v>99.311589999999995</v>
      </c>
      <c r="U32" s="83">
        <f ca="1">_xll.xlBondYieldSensCustom(D32,E32,F32,G32,H32,I32,J32,B32,T32,$AM$2,$AN$2,$AO$2,$AP$2,$AQ$2,"y")</f>
        <v>7.5849694878435013E-3</v>
      </c>
      <c r="V32" s="23"/>
      <c r="W32" s="23">
        <f t="shared" si="0"/>
        <v>99.311589999999995</v>
      </c>
      <c r="X32" s="22"/>
      <c r="Y32" s="22">
        <f t="shared" ca="1" si="1"/>
        <v>7.5849694878435013E-3</v>
      </c>
      <c r="Z32" s="23">
        <f ca="1">_xll.xlBondPriceCustom(D32,E32,F32,G32,H32,I32,J32,B32,Y32,$AM$2,$AN$2,$AO$2,$AP$2,$AQ$2)</f>
        <v>99.311589999999981</v>
      </c>
      <c r="AA32" s="20">
        <f t="array" aca="1" ref="AA32:AG32" ca="1">_xll.xlBondYieldSens(D32,E32,F32,G32,H32,I32,J32,B32,W32,$AA$5&amp;$AB$5&amp;$AC$5&amp;$AD$5&amp;$AE$5&amp;$AF$5&amp;$AG$5)</f>
        <v>0</v>
      </c>
      <c r="AB32" s="20">
        <f ca="1"/>
        <v>0.90759758638888877</v>
      </c>
      <c r="AC32" s="20">
        <f ca="1"/>
        <v>-0.90134959384442892</v>
      </c>
      <c r="AD32" s="20">
        <f ca="1"/>
        <v>1.658886699566358E-2</v>
      </c>
      <c r="AE32" s="20">
        <f ca="1"/>
        <v>1.6361254317316175E-2</v>
      </c>
      <c r="AF32" s="20">
        <f ca="1"/>
        <v>0.90134960126917463</v>
      </c>
      <c r="AG32" s="24">
        <f ca="1"/>
        <v>7.5849694878435013E-3</v>
      </c>
      <c r="AH32" s="22">
        <f ca="1">_xll.xlBondYieldSensCustom(D32,E32,F32,G32,H32,I32,J32,B32,W32,$AM$2,$AN$2,$AO$2,$AP$2,$AQ$2,"y")</f>
        <v>7.5849694878435013E-3</v>
      </c>
      <c r="AI32" s="22">
        <f ca="1">IF(OR(TRIM($D32)="CTZ",TRIM($D32)="BTP",TRIM($D32)="BOT"),_xll.xlShmInterpRateFwd("EONIA",_xll.xlDateSettle("target",$B$2,2),0,4,$F32),"")</f>
        <v>1.5219398571162173E-3</v>
      </c>
      <c r="AJ32" s="85">
        <f t="shared" ca="1" si="2"/>
        <v>6.0630296307272839E-3</v>
      </c>
      <c r="AO32" s="84"/>
    </row>
    <row r="33" spans="1:41" ht="15.75" x14ac:dyDescent="0.25">
      <c r="A33" s="2"/>
      <c r="B33" s="19">
        <f ca="1">MAX(_xll.xlBondValueDate(D33,$B$2),I33)</f>
        <v>41631</v>
      </c>
      <c r="C33" s="20" t="str">
        <v>IT0004780380</v>
      </c>
      <c r="D33" s="86" t="str">
        <f t="array" ref="D33:N33">_xll.BondInfo(C33,$D$5:$N$5)</f>
        <v>BTP</v>
      </c>
      <c r="E33" s="20">
        <v>6</v>
      </c>
      <c r="F33" s="87">
        <v>41958</v>
      </c>
      <c r="G33" s="19">
        <v>40862</v>
      </c>
      <c r="H33" s="19">
        <v>41044</v>
      </c>
      <c r="I33" s="19">
        <v>40878</v>
      </c>
      <c r="J33" s="20">
        <v>95.45</v>
      </c>
      <c r="K33" s="20" t="str">
        <v>IT478038=TT</v>
      </c>
      <c r="L33" s="20" t="str">
        <v>N</v>
      </c>
      <c r="M33" s="20" t="str">
        <v>EI8877694</v>
      </c>
      <c r="N33" s="20" t="str">
        <v>BTPS</v>
      </c>
      <c r="O33" s="21">
        <f>_xll.BondOutstanding(C33)</f>
        <v>14495276000</v>
      </c>
      <c r="P33" s="25">
        <f ca="1">_xll.xlBondYieldSensCustom(D33,E33,F33,G33,H33,I33,J33,B33,Q33,$AM$2,$AN$2,$AO$2,$AP$2,$AQ$2,"y")</f>
        <v>8.0648032431996503E-3</v>
      </c>
      <c r="Q33" s="26">
        <f>_xll.RtGet("IDN",$K33,IF(OR($D33="BTP,$E11=""CTZ"),Q$5,Q$4))</f>
        <v>104.607</v>
      </c>
      <c r="R33" s="27">
        <f>_xll.RtGet("IDN",$K33,IF(OR($D33="BTP,$E11=""CTZ"),R$5,R$4))</f>
        <v>104.63</v>
      </c>
      <c r="S33" s="28">
        <f ca="1">_xll.xlBondYieldSensCustom(D33,E33,F33,G33,H33,I33,J33,B33,R33,$AM$2,$AN$2,$AO$2,$AP$2,$AQ$2,"y")</f>
        <v>7.8200259329583577E-3</v>
      </c>
      <c r="T33" s="23">
        <f t="shared" si="3"/>
        <v>104.6185</v>
      </c>
      <c r="U33" s="83">
        <f ca="1">_xll.xlBondYieldSensCustom(D33,E33,F33,G33,H33,I33,J33,B33,T33,$AM$2,$AN$2,$AO$2,$AP$2,$AQ$2,"y")</f>
        <v>7.9424010935548392E-3</v>
      </c>
      <c r="V33" s="23"/>
      <c r="W33" s="23">
        <f t="shared" si="0"/>
        <v>104.6185</v>
      </c>
      <c r="X33" s="22"/>
      <c r="Y33" s="22">
        <f t="shared" ca="1" si="1"/>
        <v>7.9424010935548392E-3</v>
      </c>
      <c r="Z33" s="23">
        <f ca="1">_xll.xlBondPriceCustom(D33,E33,F33,G33,H33,I33,J33,B33,Y33,$AM$2,$AN$2,$AO$2,$AP$2,$AQ$2)</f>
        <v>104.61849993724307</v>
      </c>
      <c r="AA33" s="20">
        <f t="array" aca="1" ref="AA33:AG33" ca="1">_xll.xlBondYieldSens(D33,E33,F33,G33,H33,I33,J33,B33,W33,$AA$5&amp;$AB$5&amp;$AC$5&amp;$AD$5&amp;$AE$5&amp;$AF$5&amp;$AG$5)</f>
        <v>0.62983</v>
      </c>
      <c r="AB33" s="20">
        <f ca="1"/>
        <v>0.88618863442655671</v>
      </c>
      <c r="AC33" s="20">
        <f ca="1"/>
        <v>-0.87910087069394194</v>
      </c>
      <c r="AD33" s="20">
        <f ca="1"/>
        <v>1.6785738941536101E-2</v>
      </c>
      <c r="AE33" s="20">
        <f ca="1"/>
        <v>1.6518306995687501E-2</v>
      </c>
      <c r="AF33" s="20">
        <f ca="1"/>
        <v>0.92523899202703319</v>
      </c>
      <c r="AG33" s="24">
        <f ca="1"/>
        <v>8.0625166013598357E-3</v>
      </c>
      <c r="AH33" s="22">
        <f ca="1">_xll.xlBondYieldSensCustom(D33,E33,F33,G33,H33,I33,J33,B33,W33,$AM$2,$AN$2,$AO$2,$AP$2,$AQ$2,"y")</f>
        <v>7.9424010935548392E-3</v>
      </c>
      <c r="AI33" s="22">
        <f ca="1">IF(OR(TRIM($D33)="CTZ",TRIM($D33)="BTP",TRIM($D33)="BOT"),_xll.xlShmInterpRateFwd("EONIA",_xll.xlDateSettle("target",$B$2,2),0,4,$F33),"")</f>
        <v>1.5216166824043201E-3</v>
      </c>
      <c r="AJ33" s="85">
        <f t="shared" ca="1" si="2"/>
        <v>6.4207844111505187E-3</v>
      </c>
    </row>
    <row r="34" spans="1:41" ht="15.75" x14ac:dyDescent="0.25">
      <c r="A34" s="2"/>
      <c r="B34" s="19">
        <f ca="1">MAX(_xll.xlBondValueDate(D34,$B$2),I34)</f>
        <v>41628</v>
      </c>
      <c r="C34" s="20" t="str">
        <v>IT0004981251</v>
      </c>
      <c r="D34" s="86" t="str">
        <f t="array" ref="D34:N34">_xll.BondInfo(C34,$D$5:$N$5)</f>
        <v>BOT</v>
      </c>
      <c r="E34" s="20">
        <v>0</v>
      </c>
      <c r="F34" s="87">
        <v>41985</v>
      </c>
      <c r="G34" s="19">
        <v>41621</v>
      </c>
      <c r="H34" s="19">
        <v>41985</v>
      </c>
      <c r="I34" s="19">
        <v>41621</v>
      </c>
      <c r="J34" s="20">
        <v>99.29</v>
      </c>
      <c r="K34" s="20" t="str">
        <v>IT498125=TT</v>
      </c>
      <c r="L34" s="20" t="str">
        <v>Y</v>
      </c>
      <c r="M34" s="20" t="str">
        <v>EJ9723259</v>
      </c>
      <c r="N34" s="20" t="str">
        <v>BOTS</v>
      </c>
      <c r="O34" s="21">
        <f>_xll.BondOutstanding(C34)</f>
        <v>5500000000</v>
      </c>
      <c r="P34" s="25">
        <f ca="1">_xll.xlBondYieldSensCustom(D34,E34,F34,G34,H34,I34,J34,B34,Q34,$AM$2,$AN$2,$AO$2,$AP$2,$AQ$2,"y")</f>
        <v>8.0300270550271394E-3</v>
      </c>
      <c r="Q34" s="26">
        <f>_xll.RtGet("IDN",$K34,IF(OR($D34="BTP,$E11=""CTZ"),Q$5,Q$4))</f>
        <v>99.209980000000002</v>
      </c>
      <c r="R34" s="27">
        <f>_xll.RtGet("IDN",$K34,IF(OR($D34="BTP,$E11=""CTZ"),R$5,R$4))</f>
        <v>99.233410000000006</v>
      </c>
      <c r="S34" s="28">
        <f ca="1">_xll.xlBondYieldSensCustom(D34,E34,F34,G34,H34,I34,J34,B34,R34,$AM$2,$AN$2,$AO$2,$AP$2,$AQ$2,"y")</f>
        <v>7.7900369721488685E-3</v>
      </c>
      <c r="T34" s="23">
        <f t="shared" si="3"/>
        <v>99.221695000000011</v>
      </c>
      <c r="U34" s="83">
        <f ca="1">_xll.xlBondYieldSensCustom(D34,E34,F34,G34,H34,I34,J34,B34,T34,$AM$2,$AN$2,$AO$2,$AP$2,$AQ$2,"y")</f>
        <v>7.9100178459080295E-3</v>
      </c>
      <c r="V34" s="23"/>
      <c r="W34" s="23">
        <f t="shared" si="0"/>
        <v>99.221695000000011</v>
      </c>
      <c r="X34" s="22"/>
      <c r="Y34" s="22">
        <f ca="1">IF(ISNUMBER(X34),X34,AH34)</f>
        <v>7.9100178459080295E-3</v>
      </c>
      <c r="Z34" s="141">
        <f ca="1">_xll.xlBondPriceCustom(D34,E34,F34,G34,H34,I34,J34,B34,Y34,$AM$2,$AN$2,$AO$2,$AP$2,$AQ$2)</f>
        <v>99.221695000000025</v>
      </c>
      <c r="AA34" s="20">
        <f t="array" aca="1" ref="AA34:AG34" ca="1">_xll.xlBondYieldSens(D34,E34,F34,G34,H34,I34,J34,B34,W34,$AA$5&amp;$AB$5&amp;$AC$5&amp;$AD$5&amp;$AE$5&amp;$AF$5&amp;$AG$5)</f>
        <v>0</v>
      </c>
      <c r="AB34" s="20">
        <f ca="1"/>
        <v>0.98394847541666686</v>
      </c>
      <c r="AC34" s="20">
        <f ca="1"/>
        <v>-0.97629035523507535</v>
      </c>
      <c r="AD34" s="20">
        <f ca="1"/>
        <v>1.9514978095763892E-2</v>
      </c>
      <c r="AE34" s="20">
        <f ca="1"/>
        <v>1.9212388131950968E-2</v>
      </c>
      <c r="AF34" s="20">
        <f ca="1"/>
        <v>0.9762903646880261</v>
      </c>
      <c r="AG34" s="24">
        <f ca="1"/>
        <v>7.9100178459080295E-3</v>
      </c>
      <c r="AH34" s="22">
        <f ca="1">_xll.xlBondYieldSensCustom(D34,E34,F34,G34,H34,I34,J34,B34,W34,$AM$2,$AN$2,$AO$2,$AP$2,$AQ$2,"y")</f>
        <v>7.9100178459080295E-3</v>
      </c>
      <c r="AI34" s="22">
        <f ca="1">IF(OR(TRIM($D34)="CTZ",TRIM($D34)="BTP",TRIM($D34)="BOT"),_xll.xlShmInterpRateFwd("EONIA",_xll.xlDateSettle("target",$B$2,2),0,4,$F34),"")</f>
        <v>1.5131299935251328E-3</v>
      </c>
      <c r="AJ34" s="85">
        <f t="shared" ca="1" si="2"/>
        <v>6.3968878523828964E-3</v>
      </c>
    </row>
    <row r="35" spans="1:41" ht="15.75" x14ac:dyDescent="0.25">
      <c r="A35" s="2"/>
      <c r="B35" s="19">
        <f ca="1">MAX(_xll.xlBondValueDate(D35,$B$2),I35)</f>
        <v>41631</v>
      </c>
      <c r="C35" s="20" t="str">
        <v>IT0004890890</v>
      </c>
      <c r="D35" s="170" t="str">
        <f t="array" ref="D35:N35">_xll.BondInfo(C35,$D$5:$N$5)</f>
        <v>CTZ</v>
      </c>
      <c r="E35" s="171">
        <v>0</v>
      </c>
      <c r="F35" s="172">
        <v>42004</v>
      </c>
      <c r="G35" s="19">
        <v>41305</v>
      </c>
      <c r="H35" s="19">
        <v>42004</v>
      </c>
      <c r="I35" s="19">
        <v>41305</v>
      </c>
      <c r="J35" s="20">
        <v>97.31</v>
      </c>
      <c r="K35" s="20" t="str">
        <v>IT489089=TT</v>
      </c>
      <c r="L35" s="20" t="str">
        <v>N</v>
      </c>
      <c r="M35" s="20" t="str">
        <v>EJ5287259</v>
      </c>
      <c r="N35" s="20" t="str">
        <v>ICTZ</v>
      </c>
      <c r="O35" s="21">
        <f>_xll.BondOutstanding(C35)</f>
        <v>15045481000</v>
      </c>
      <c r="P35" s="25">
        <f ca="1">_xll.xlBondYieldSensCustom(D35,E35,F35,G35,H35,I35,J35,B35,Q35,$AM$2,$AN$2,$AO$2,$AP$2,$AQ$2,"y")</f>
        <v>8.4410119922031096E-3</v>
      </c>
      <c r="Q35" s="26">
        <f>_xll.RtGet("IDN",$K35,IF(OR($D35="BTP,$E11=""CTZ"),Q$5,Q$4))</f>
        <v>99.132999999999996</v>
      </c>
      <c r="R35" s="27">
        <f>_xll.RtGet("IDN",$K35,IF(OR($D35="BTP,$E11=""CTZ"),R$5,R$4))</f>
        <v>99.156000000000006</v>
      </c>
      <c r="S35" s="28">
        <f ca="1">_xll.xlBondYieldSensCustom(D35,E35,F35,G35,H35,I35,J35,B35,R35,$AM$2,$AN$2,$AO$2,$AP$2,$AQ$2,"y")</f>
        <v>8.2151806285332783E-3</v>
      </c>
      <c r="T35" s="23">
        <f t="shared" si="3"/>
        <v>99.144499999999994</v>
      </c>
      <c r="U35" s="83">
        <f ca="1">_xll.xlBondYieldSensCustom(D35,E35,F35,G35,H35,I35,J35,B35,T35,$AM$2,$AN$2,$AO$2,$AP$2,$AQ$2,"y")</f>
        <v>8.3280832130134489E-3</v>
      </c>
      <c r="V35" s="23"/>
      <c r="W35" s="23">
        <f t="shared" si="0"/>
        <v>99.144499999999994</v>
      </c>
      <c r="X35" s="22"/>
      <c r="Y35" s="173">
        <f ca="1">IF(ISNUMBER(X35),X35,AH35)</f>
        <v>8.3280832130134489E-3</v>
      </c>
      <c r="Z35" s="135">
        <f ca="1">_xll.xlBondPriceCustom(D35,E35,F35,G35,H35,I35,J35,B35,Y35,$AM$2,$AN$2,$AO$2,$AP$2,$AQ$2)</f>
        <v>99.144499999999994</v>
      </c>
      <c r="AA35" s="20">
        <f t="array" aca="1" ref="AA35:AG35" ca="1">_xll.xlBondYieldSens(D35,E35,F35,G35,H35,I35,J35,B35,W35,$AA$5&amp;$AB$5&amp;$AC$5&amp;$AD$5&amp;$AE$5&amp;$AF$5&amp;$AG$5)</f>
        <v>0</v>
      </c>
      <c r="AB35" s="20">
        <f ca="1"/>
        <v>1.021917808219178</v>
      </c>
      <c r="AC35" s="20">
        <f ca="1"/>
        <v>-1.0133612382147512</v>
      </c>
      <c r="AD35" s="20">
        <f ca="1"/>
        <v>2.0662338149746669E-2</v>
      </c>
      <c r="AE35" s="20">
        <f ca="1"/>
        <v>2.0317773119241468E-2</v>
      </c>
      <c r="AF35" s="20">
        <f ca="1"/>
        <v>1.0046927190352051</v>
      </c>
      <c r="AG35" s="24">
        <f ca="1"/>
        <v>8.4429719847648708E-3</v>
      </c>
      <c r="AH35" s="22">
        <f ca="1">_xll.xlBondYieldSensCustom(D35,E35,F35,G35,H35,I35,J35,B35,W35,$AM$2,$AN$2,$AO$2,$AP$2,$AQ$2,"y")</f>
        <v>8.3280832130134489E-3</v>
      </c>
      <c r="AI35" s="22">
        <f ca="1">IF(OR(TRIM($D35)="CTZ",TRIM($D35)="BTP",TRIM($D35)="BOT"),_xll.xlShmInterpRateFwd("EONIA",_xll.xlDateSettle("target",$B$2,2),0,4,$F35),"")</f>
        <v>1.5100585091078578E-3</v>
      </c>
      <c r="AJ35" s="174">
        <f t="shared" ca="1" si="2"/>
        <v>6.8180247039055907E-3</v>
      </c>
    </row>
    <row r="36" spans="1:41" ht="15.75" x14ac:dyDescent="0.25">
      <c r="A36" s="2"/>
      <c r="B36" s="19">
        <f ca="1">MAX(_xll.xlBondValueDate(D36,$B$2),I36)</f>
        <v>41631</v>
      </c>
      <c r="C36" s="20" t="str">
        <v>IT0003719918</v>
      </c>
      <c r="D36" s="86" t="str">
        <f t="array" ref="D36:N36">_xll.BondInfo(C36,$D$5:$N$5)</f>
        <v>BTP</v>
      </c>
      <c r="E36" s="20">
        <v>4.25</v>
      </c>
      <c r="F36" s="87">
        <v>42036</v>
      </c>
      <c r="G36" s="19">
        <v>38200</v>
      </c>
      <c r="H36" s="19">
        <v>38384</v>
      </c>
      <c r="I36" s="19">
        <v>38231</v>
      </c>
      <c r="J36" s="20">
        <v>100.43</v>
      </c>
      <c r="K36" s="20" t="str">
        <v>IT371991=TT</v>
      </c>
      <c r="L36" s="20" t="str">
        <v>N</v>
      </c>
      <c r="M36" s="20" t="str">
        <v>ED5901696</v>
      </c>
      <c r="N36" s="20" t="str">
        <v>BTPS</v>
      </c>
      <c r="O36" s="21">
        <f>_xll.BondOutstanding(C36)</f>
        <v>21350000000</v>
      </c>
      <c r="P36" s="25">
        <f ca="1">_xll.xlBondYieldSensCustom(D36,E36,F36,G36,H36,I36,J36,B36,Q36,$AM$2,$AN$2,$AO$2,$AP$2,$AQ$2,"y")</f>
        <v>8.6234544945604785E-3</v>
      </c>
      <c r="Q36" s="26">
        <f>_xll.RtGet("IDN",$K36,IF(OR($D36="BTP,$E11=""CTZ"),Q$5,Q$4))</f>
        <v>103.715</v>
      </c>
      <c r="R36" s="27">
        <f>_xll.RtGet("IDN",$K36,IF(OR($D36="BTP,$E11=""CTZ"),R$5,R$4))</f>
        <v>103.744</v>
      </c>
      <c r="S36" s="28">
        <f ca="1">_xll.xlBondYieldSensCustom(D36,E36,F36,G36,H36,I36,J36,B36,R36,$AM$2,$AN$2,$AO$2,$AP$2,$AQ$2,"y")</f>
        <v>8.3702605306309324E-3</v>
      </c>
      <c r="T36" s="23">
        <f t="shared" si="3"/>
        <v>103.7295</v>
      </c>
      <c r="U36" s="83">
        <f ca="1">_xll.xlBondYieldSensCustom(D36,E36,F36,G36,H36,I36,J36,B36,T36,$AM$2,$AN$2,$AO$2,$AP$2,$AQ$2,"y")</f>
        <v>8.4968397349331065E-3</v>
      </c>
      <c r="V36" s="23"/>
      <c r="W36" s="23">
        <f t="shared" si="0"/>
        <v>103.7295</v>
      </c>
      <c r="X36" s="22"/>
      <c r="Y36" s="22">
        <f t="shared" ca="1" si="1"/>
        <v>8.4968397349331065E-3</v>
      </c>
      <c r="Z36" s="23">
        <f ca="1">_xll.xlBondPriceCustom(D36,E36,F36,G36,H36,I36,J36,B36,Y36,$AM$2,$AN$2,$AO$2,$AP$2,$AQ$2)</f>
        <v>103.72949987378067</v>
      </c>
      <c r="AA36" s="20">
        <f t="array" aca="1" ref="AA36:AG36" ca="1">_xll.xlBondYieldSens(D36,E36,F36,G36,H36,I36,J36,B36,W36,$AA$5&amp;$AB$5&amp;$AC$5&amp;$AD$5&amp;$AE$5&amp;$AF$5&amp;$AG$5)</f>
        <v>1.6630400000000001</v>
      </c>
      <c r="AB36" s="20">
        <f ca="1"/>
        <v>1.0812865095118604</v>
      </c>
      <c r="AC36" s="20">
        <f ca="1"/>
        <v>-1.0720483566951968</v>
      </c>
      <c r="AD36" s="20">
        <f ca="1"/>
        <v>2.27465851679402E-2</v>
      </c>
      <c r="AE36" s="20">
        <f ca="1"/>
        <v>2.235956700010882E-2</v>
      </c>
      <c r="AF36" s="20">
        <f ca="1"/>
        <v>1.1298590052525981</v>
      </c>
      <c r="AG36" s="24">
        <f ca="1"/>
        <v>8.6172911428493842E-3</v>
      </c>
      <c r="AH36" s="22">
        <f ca="1">_xll.xlBondYieldSensCustom(D36,E36,F36,G36,H36,I36,J36,B36,W36,$AM$2,$AN$2,$AO$2,$AP$2,$AQ$2,"y")</f>
        <v>8.4968397349331065E-3</v>
      </c>
      <c r="AI36" s="22">
        <f ca="1">IF(OR(TRIM($D36)="CTZ",TRIM($D36)="BTP",TRIM($D36)="BOT"),_xll.xlShmInterpRateFwd("EONIA",_xll.xlDateSettle("target",$B$2,2),0,4,$F36),"")</f>
        <v>1.5102369012062401E-3</v>
      </c>
      <c r="AJ36" s="85">
        <f t="shared" ca="1" si="2"/>
        <v>6.9866028337268668E-3</v>
      </c>
    </row>
    <row r="37" spans="1:41" ht="15.75" x14ac:dyDescent="0.25">
      <c r="A37" s="2"/>
      <c r="B37" s="19">
        <f ca="1">MAX(_xll.xlBondValueDate(D37,$B$2),I37)</f>
        <v>41631</v>
      </c>
      <c r="C37" s="20" t="str">
        <v>IT0004805070</v>
      </c>
      <c r="D37" s="86" t="str">
        <f t="array" ref="D37:N37">_xll.BondInfo(C37,$D$5:$N$5)</f>
        <v>BTP</v>
      </c>
      <c r="E37" s="155">
        <v>2.5</v>
      </c>
      <c r="F37" s="87">
        <v>42064</v>
      </c>
      <c r="G37" s="19">
        <v>40969</v>
      </c>
      <c r="H37" s="19">
        <v>41153</v>
      </c>
      <c r="I37" s="19">
        <v>40984</v>
      </c>
      <c r="J37" s="20">
        <v>99.32</v>
      </c>
      <c r="K37" s="20" t="str">
        <v>IT480507=TT</v>
      </c>
      <c r="L37" s="20" t="str">
        <v>N</v>
      </c>
      <c r="M37" s="20" t="str">
        <v>EJ0615983</v>
      </c>
      <c r="N37" s="20" t="str">
        <v>BTPS</v>
      </c>
      <c r="O37" s="21">
        <f>_xll.BondOutstanding(C37)</f>
        <v>13315312000</v>
      </c>
      <c r="P37" s="25">
        <f ca="1">_xll.xlBondYieldSensCustom(D37,E37,F37,G37,H37,I37,J37,B37,Q37,$AM$2,$AN$2,$AO$2,$AP$2,$AQ$2,"y")</f>
        <v>9.0981319623355296E-3</v>
      </c>
      <c r="Q37" s="26">
        <f>_xll.RtGet("IDN",$K37,IF(OR($D37="BTP,$E11=""CTZ"),Q$5,Q$4))</f>
        <v>101.861</v>
      </c>
      <c r="R37" s="27">
        <f>_xll.RtGet("IDN",$K37,IF(OR($D37="BTP,$E11=""CTZ"),R$5,R$4))</f>
        <v>101.893</v>
      </c>
      <c r="S37" s="28">
        <f ca="1">_xll.xlBondYieldSensCustom(D37,E37,F37,G37,H37,I37,J37,B37,R37,$AM$2,$AN$2,$AO$2,$AP$2,$AQ$2,"y")</f>
        <v>8.8327312604314298E-3</v>
      </c>
      <c r="T37" s="23">
        <f t="shared" si="3"/>
        <v>101.87700000000001</v>
      </c>
      <c r="U37" s="83">
        <f ca="1">_xll.xlBondYieldSensCustom(D37,E37,F37,G37,H37,I37,J37,B37,T37,$AM$2,$AN$2,$AO$2,$AP$2,$AQ$2,"y")</f>
        <v>8.9654107071760539E-3</v>
      </c>
      <c r="V37" s="23"/>
      <c r="W37" s="23">
        <f t="shared" si="0"/>
        <v>101.87700000000001</v>
      </c>
      <c r="X37" s="22"/>
      <c r="Y37" s="22">
        <f ca="1">IF(ISNUMBER(X37),X37,AH37)</f>
        <v>8.9654107071760539E-3</v>
      </c>
      <c r="Z37" s="23">
        <f ca="1">_xll.xlBondPriceCustom(D37,E37,F37,G37,H37,I37,J37,B37,Y37,$AM$2,$AN$2,$AO$2,$AP$2,$AQ$2)</f>
        <v>101.8769999326783</v>
      </c>
      <c r="AA37" s="20">
        <f t="array" aca="1" ref="AA37:AG37" ca="1">_xll.xlBondYieldSens(D37,E37,F37,G37,H37,I37,J37,B37,W37,$AA$5&amp;$AB$5&amp;$AC$5&amp;$AD$5&amp;$AE$5&amp;$AF$5&amp;$AG$5)</f>
        <v>0.78039000000000003</v>
      </c>
      <c r="AB37" s="20">
        <f ca="1"/>
        <v>1.172357136598611</v>
      </c>
      <c r="AC37" s="20">
        <f ca="1"/>
        <v>-1.1618183673703857</v>
      </c>
      <c r="AD37" s="20">
        <f ca="1"/>
        <v>2.5615944001716004E-2</v>
      </c>
      <c r="AE37" s="20">
        <f ca="1"/>
        <v>2.5157470854717194E-2</v>
      </c>
      <c r="AF37" s="20">
        <f ca="1"/>
        <v>1.192692426099029</v>
      </c>
      <c r="AG37" s="24">
        <f ca="1"/>
        <v>9.0709266639658129E-3</v>
      </c>
      <c r="AH37" s="22">
        <f ca="1">_xll.xlBondYieldSensCustom(D37,E37,F37,G37,H37,I37,J37,B37,W37,$AM$2,$AN$2,$AO$2,$AP$2,$AQ$2,"y")</f>
        <v>8.9654107071760539E-3</v>
      </c>
      <c r="AI37" s="22">
        <f ca="1">IF(OR(TRIM($D37)="CTZ",TRIM($D37)="BTP",TRIM($D37)="BOT"),_xll.xlShmInterpRateFwd("EONIA",_xll.xlDateSettle("target",$B$2,2),0,4,$F37),"")</f>
        <v>1.5103624060190195E-3</v>
      </c>
      <c r="AJ37" s="85">
        <f t="shared" ca="1" si="2"/>
        <v>7.4550483011570339E-3</v>
      </c>
    </row>
    <row r="38" spans="1:41" ht="15.75" x14ac:dyDescent="0.25">
      <c r="A38" s="2"/>
      <c r="B38" s="19">
        <f ca="1">MAX(_xll.xlBondValueDate(D38,$B$2),I38)</f>
        <v>41631</v>
      </c>
      <c r="C38" s="20" t="str">
        <v>IT0004568272</v>
      </c>
      <c r="D38" s="148" t="str">
        <f t="array" ref="D38:N38">_xll.BondInfo(C38,$D$5:$N$5)</f>
        <v>BTP</v>
      </c>
      <c r="E38" s="149">
        <v>3</v>
      </c>
      <c r="F38" s="150">
        <v>42109</v>
      </c>
      <c r="G38" s="19">
        <v>40193</v>
      </c>
      <c r="H38" s="19">
        <v>40283</v>
      </c>
      <c r="I38" s="19">
        <v>40193</v>
      </c>
      <c r="J38" s="20">
        <v>100.44</v>
      </c>
      <c r="K38" s="20" t="str">
        <v>IT456827=TT</v>
      </c>
      <c r="L38" s="20" t="str">
        <v>N</v>
      </c>
      <c r="M38" s="20" t="str">
        <v>EI1004635</v>
      </c>
      <c r="N38" s="20" t="str">
        <v>BTPS</v>
      </c>
      <c r="O38" s="21">
        <f>_xll.BondOutstanding(C38)</f>
        <v>17931867000</v>
      </c>
      <c r="P38" s="25">
        <f ca="1">_xll.xlBondYieldSensCustom(D38,E38,F38,G38,H38,I38,J38,B38,Q38,$AM$2,$AN$2,$AO$2,$AP$2,$AQ$2,"y")</f>
        <v>9.3863820838545678E-3</v>
      </c>
      <c r="Q38" s="26">
        <f>_xll.RtGet("IDN",$K38,IF(OR($D38="BTP,$E11=""CTZ"),Q$5,Q$4))</f>
        <v>102.666</v>
      </c>
      <c r="R38" s="27">
        <f>_xll.RtGet("IDN",$K38,IF(OR($D38="BTP,$E11=""CTZ"),R$5,R$4))</f>
        <v>102.699</v>
      </c>
      <c r="S38" s="28">
        <f ca="1">_xll.xlBondYieldSensCustom(D38,E38,F38,G38,H38,I38,J38,B38,R38,$AM$2,$AN$2,$AO$2,$AP$2,$AQ$2,"y")</f>
        <v>9.1386296722235118E-3</v>
      </c>
      <c r="T38" s="23">
        <f t="shared" si="3"/>
        <v>102.6825</v>
      </c>
      <c r="U38" s="83">
        <f ca="1">_xll.xlBondYieldSensCustom(D38,E38,F38,G38,H38,I38,J38,B38,T38,$AM$2,$AN$2,$AO$2,$AP$2,$AQ$2,"y")</f>
        <v>9.2624858731849835E-3</v>
      </c>
      <c r="V38" s="23"/>
      <c r="W38" s="23">
        <f t="shared" ref="W38:W69" si="4">IF(ISNUMBER(V38),V38,T38)</f>
        <v>102.6825</v>
      </c>
      <c r="X38" s="22"/>
      <c r="Y38" s="143">
        <f t="shared" ref="Y38:Y69" ca="1" si="5">IF(ISNUMBER(X38),X38,AH38)</f>
        <v>9.2624858731849835E-3</v>
      </c>
      <c r="Z38" s="23">
        <f ca="1">_xll.xlBondPriceCustom(D38,E38,F38,G38,H38,I38,J38,B38,Y38,$AM$2,$AN$2,$AO$2,$AP$2,$AQ$2)</f>
        <v>102.68249982216851</v>
      </c>
      <c r="AA38" s="20">
        <f t="array" aca="1" ref="AA38:AG38" ca="1">_xll.xlBondYieldSens(D38,E38,F38,G38,H38,I38,J38,B38,W38,$AA$5&amp;$AB$5&amp;$AC$5&amp;$AD$5&amp;$AE$5&amp;$AF$5&amp;$AG$5)</f>
        <v>0.56867999999999996</v>
      </c>
      <c r="AB38" s="20">
        <f ca="1"/>
        <v>1.2887447579146234</v>
      </c>
      <c r="AC38" s="20">
        <f ca="1"/>
        <v>-1.2767790071435998</v>
      </c>
      <c r="AD38" s="20">
        <f ca="1"/>
        <v>2.9672273808106046E-2</v>
      </c>
      <c r="AE38" s="20">
        <f ca="1"/>
        <v>2.9123828912002707E-2</v>
      </c>
      <c r="AF38" s="20">
        <f ca="1"/>
        <v>1.3182894076685159</v>
      </c>
      <c r="AG38" s="24">
        <f ca="1"/>
        <v>9.3718257640685587E-3</v>
      </c>
      <c r="AH38" s="22">
        <f ca="1">_xll.xlBondYieldSensCustom(D38,E38,F38,G38,H38,I38,J38,B38,W38,$AM$2,$AN$2,$AO$2,$AP$2,$AQ$2,"y")</f>
        <v>9.2624858731849835E-3</v>
      </c>
      <c r="AI38" s="22">
        <f ca="1">IF(OR(TRIM($D38)="CTZ",TRIM($D38)="BTP",TRIM($D38)="BOT"),_xll.xlShmInterpRateFwd("EONIA",_xll.xlDateSettle("target",$B$2,2),0,4,$F38),"")</f>
        <v>1.5273287140768793E-3</v>
      </c>
      <c r="AJ38" s="85">
        <f t="shared" ref="AJ38:AJ69" ca="1" si="6">$Y38-$AI38</f>
        <v>7.7351571591081046E-3</v>
      </c>
    </row>
    <row r="39" spans="1:41" ht="15.75" x14ac:dyDescent="0.25">
      <c r="A39" s="2"/>
      <c r="B39" s="19">
        <f ca="1">MAX(_xll.xlBondValueDate(D39,$B$2),I39)</f>
        <v>41631</v>
      </c>
      <c r="C39" s="20" t="str">
        <v>IT0004615917</v>
      </c>
      <c r="D39" s="148" t="str">
        <f t="array" ref="D39:N39">_xll.BondInfo(C39,$D$5:$N$5)</f>
        <v>BTP</v>
      </c>
      <c r="E39" s="149">
        <v>3</v>
      </c>
      <c r="F39" s="150">
        <v>42170</v>
      </c>
      <c r="G39" s="19">
        <v>40344</v>
      </c>
      <c r="H39" s="19">
        <v>40527</v>
      </c>
      <c r="I39" s="19">
        <v>40344</v>
      </c>
      <c r="J39" s="20">
        <v>100.5</v>
      </c>
      <c r="K39" s="20" t="str">
        <v>IT461591=TT</v>
      </c>
      <c r="L39" s="20" t="str">
        <v>N</v>
      </c>
      <c r="M39" s="20" t="str">
        <v>EI2747638</v>
      </c>
      <c r="N39" s="20" t="str">
        <v>BTPS</v>
      </c>
      <c r="O39" s="21">
        <f>_xll.BondOutstanding(C39)</f>
        <v>17998449000</v>
      </c>
      <c r="P39" s="25">
        <f ca="1">_xll.xlBondYieldSensCustom(D39,E39,F39,G39,H39,I39,J39,B39,Q39,$AM$2,$AN$2,$AO$2,$AP$2,$AQ$2,"y")</f>
        <v>1.050018473109704E-2</v>
      </c>
      <c r="Q39" s="26">
        <f>_xll.RtGet("IDN",$K39,IF(OR($D39="BTP,$E11=""CTZ"),Q$5,Q$4))</f>
        <v>102.84</v>
      </c>
      <c r="R39" s="27">
        <f>_xll.RtGet("IDN",$K39,IF(OR($D39="BTP,$E11=""CTZ"),R$5,R$4))</f>
        <v>102.88</v>
      </c>
      <c r="S39" s="28">
        <f ca="1">_xll.xlBondYieldSensCustom(D39,E39,F39,G39,H39,I39,J39,B39,R39,$AM$2,$AN$2,$AO$2,$AP$2,$AQ$2,"y")</f>
        <v>1.0232693219936723E-2</v>
      </c>
      <c r="T39" s="23">
        <f t="shared" si="3"/>
        <v>102.86</v>
      </c>
      <c r="U39" s="83">
        <f ca="1">_xll.xlBondYieldSensCustom(D39,E39,F39,G39,H39,I39,J39,B39,T39,$AM$2,$AN$2,$AO$2,$AP$2,$AQ$2,"y")</f>
        <v>1.0366412773335987E-2</v>
      </c>
      <c r="V39" s="23"/>
      <c r="W39" s="23">
        <f t="shared" si="4"/>
        <v>102.86</v>
      </c>
      <c r="X39" s="22"/>
      <c r="Y39" s="22">
        <f t="shared" ca="1" si="5"/>
        <v>1.0366412773335987E-2</v>
      </c>
      <c r="Z39" s="23">
        <f ca="1">_xll.xlBondPriceCustom(D39,E39,F39,G39,H39,I39,J39,B39,Y39,$AM$2,$AN$2,$AO$2,$AP$2,$AQ$2)</f>
        <v>102.85999957301277</v>
      </c>
      <c r="AA39" s="20">
        <f t="array" aca="1" ref="AA39:AG39" ca="1">_xll.xlBondYieldSens(D39,E39,F39,G39,H39,I39,J39,B39,W39,$AA$5&amp;$AB$5&amp;$AC$5&amp;$AD$5&amp;$AE$5&amp;$AF$5&amp;$AG$5)</f>
        <v>6.5930000000000002E-2</v>
      </c>
      <c r="AB39" s="20">
        <f ca="1"/>
        <v>1.4563479359622764</v>
      </c>
      <c r="AC39" s="20">
        <f ca="1"/>
        <v>-1.4412502197463561</v>
      </c>
      <c r="AD39" s="20">
        <f ca="1"/>
        <v>3.5948555610218244E-2</v>
      </c>
      <c r="AE39" s="20">
        <f ca="1"/>
        <v>3.5207073682106495E-2</v>
      </c>
      <c r="AF39" s="20">
        <f ca="1"/>
        <v>1.4834202146310815</v>
      </c>
      <c r="AG39" s="24">
        <f ca="1"/>
        <v>1.0475429230921641E-2</v>
      </c>
      <c r="AH39" s="22">
        <f ca="1">_xll.xlBondYieldSensCustom(D39,E39,F39,G39,H39,I39,J39,B39,W39,$AM$2,$AN$2,$AO$2,$AP$2,$AQ$2,"y")</f>
        <v>1.0366412773335987E-2</v>
      </c>
      <c r="AI39" s="22">
        <f ca="1">IF(OR(TRIM($D39)="CTZ",TRIM($D39)="BTP",TRIM($D39)="BOT"),_xll.xlShmInterpRateFwd("EONIA",_xll.xlDateSettle("target",$B$2,2),0,4,$F39),"")</f>
        <v>1.5665542711958476E-3</v>
      </c>
      <c r="AJ39" s="85">
        <f t="shared" ca="1" si="6"/>
        <v>8.7998585021401392E-3</v>
      </c>
    </row>
    <row r="40" spans="1:41" ht="15.75" x14ac:dyDescent="0.25">
      <c r="A40" s="2"/>
      <c r="B40" s="19">
        <f ca="1">MAX(_xll.xlBondValueDate(D40,$B$2),I40)</f>
        <v>41631</v>
      </c>
      <c r="C40" s="20" t="str">
        <v>IT0004938186</v>
      </c>
      <c r="D40" s="86" t="str">
        <f t="array" ref="D40:N40">_xll.BondInfo(C40,$D$5:$N$5)</f>
        <v>CTZ</v>
      </c>
      <c r="E40" s="169">
        <v>0</v>
      </c>
      <c r="F40" s="87">
        <v>42185</v>
      </c>
      <c r="G40" s="19">
        <v>41453</v>
      </c>
      <c r="H40" s="19">
        <v>42185</v>
      </c>
      <c r="I40" s="19">
        <v>41453</v>
      </c>
      <c r="J40" s="20">
        <v>95.35</v>
      </c>
      <c r="K40" s="20" t="str">
        <v>IT493818=TT</v>
      </c>
      <c r="L40" s="20" t="str">
        <v>N</v>
      </c>
      <c r="M40" s="20" t="str">
        <v>EJ7287679</v>
      </c>
      <c r="N40" s="20" t="str">
        <v>ICTZ</v>
      </c>
      <c r="O40" s="21">
        <f>_xll.BondOutstanding(C40)</f>
        <v>15941034000</v>
      </c>
      <c r="P40" s="25">
        <f ca="1">_xll.xlBondYieldSensCustom(D40,E40,F40,G40,H40,I40,J40,B40,Q40,$AM$2,$AN$2,$AO$2,$AP$2,$AQ$2,"y")</f>
        <v>1.1150564903569372E-2</v>
      </c>
      <c r="Q40" s="26">
        <f>_xll.RtGet("IDN",$K40,IF(OR($D40="BTP,$E11=""CTZ"),Q$5,Q$4))</f>
        <v>98.313000000000002</v>
      </c>
      <c r="R40" s="27">
        <f>_xll.RtGet("IDN",$K40,IF(OR($D40="BTP,$E11=""CTZ"),R$5,R$4))</f>
        <v>98.35</v>
      </c>
      <c r="S40" s="28">
        <f ca="1">_xll.xlBondYieldSensCustom(D40,E40,F40,G40,H40,I40,J40,B40,R40,$AM$2,$AN$2,$AO$2,$AP$2,$AQ$2,"y")</f>
        <v>1.0901903061159041E-2</v>
      </c>
      <c r="T40" s="23">
        <f t="shared" si="3"/>
        <v>98.331500000000005</v>
      </c>
      <c r="U40" s="83">
        <f ca="1">_xll.xlBondYieldSensCustom(D40,E40,F40,G40,H40,I40,J40,B40,T40,$AM$2,$AN$2,$AO$2,$AP$2,$AQ$2,"y")</f>
        <v>1.1026210590856487E-2</v>
      </c>
      <c r="V40" s="23"/>
      <c r="W40" s="23">
        <f t="shared" si="4"/>
        <v>98.331500000000005</v>
      </c>
      <c r="X40" s="22"/>
      <c r="Y40" s="143">
        <f t="shared" ca="1" si="5"/>
        <v>1.1026210590856487E-2</v>
      </c>
      <c r="Z40" s="23">
        <f ca="1">_xll.xlBondPriceCustom(D40,E40,F40,G40,H40,I40,J40,B40,Y40,$AM$2,$AN$2,$AO$2,$AP$2,$AQ$2)</f>
        <v>98.331499999999991</v>
      </c>
      <c r="AA40" s="20">
        <f t="array" aca="1" ref="AA40:AG40" ca="1">_xll.xlBondYieldSens(D40,E40,F40,G40,H40,I40,J40,B40,W40,$AA$5&amp;$AB$5&amp;$AC$5&amp;$AD$5&amp;$AE$5&amp;$AF$5&amp;$AG$5)</f>
        <v>0</v>
      </c>
      <c r="AB40" s="20">
        <f ca="1"/>
        <v>1.5178082191780822</v>
      </c>
      <c r="AC40" s="20">
        <f ca="1"/>
        <v>-1.5010753741286049</v>
      </c>
      <c r="AD40" s="20">
        <f ca="1"/>
        <v>3.8215500093826231E-2</v>
      </c>
      <c r="AE40" s="20">
        <f ca="1"/>
        <v>3.7377542765907754E-2</v>
      </c>
      <c r="AF40" s="20">
        <f ca="1"/>
        <v>1.4760299531893395</v>
      </c>
      <c r="AG40" s="24">
        <f ca="1"/>
        <v>1.1147238147459061E-2</v>
      </c>
      <c r="AH40" s="22">
        <f ca="1">_xll.xlBondYieldSensCustom(D40,E40,F40,G40,H40,I40,J40,B40,W40,$AM$2,$AN$2,$AO$2,$AP$2,$AQ$2,"y")</f>
        <v>1.1026210590856487E-2</v>
      </c>
      <c r="AI40" s="22">
        <f ca="1">IF(OR(TRIM($D40)="CTZ",TRIM($D40)="BTP",TRIM($D40)="BOT"),_xll.xlShmInterpRateFwd("EONIA",_xll.xlDateSettle("target",$B$2,2),0,4,$F40),"")</f>
        <v>1.5822966289270979E-3</v>
      </c>
      <c r="AJ40" s="85">
        <f t="shared" ca="1" si="6"/>
        <v>9.4439139619293885E-3</v>
      </c>
    </row>
    <row r="41" spans="1:41" ht="15.75" x14ac:dyDescent="0.25">
      <c r="A41" s="2"/>
      <c r="B41" s="19">
        <f ca="1">MAX(_xll.xlBondValueDate(D41,$B$2),I41)</f>
        <v>41631</v>
      </c>
      <c r="C41" s="20" t="str">
        <v>IT0004840788</v>
      </c>
      <c r="D41" s="86" t="str">
        <f t="array" ref="D41:N41">_xll.BondInfo(C41,$D$5:$N$5)</f>
        <v>BTP</v>
      </c>
      <c r="E41" s="20">
        <v>4.5</v>
      </c>
      <c r="F41" s="87">
        <v>42200</v>
      </c>
      <c r="G41" s="19">
        <v>41105</v>
      </c>
      <c r="H41" s="19">
        <v>41289</v>
      </c>
      <c r="I41" s="19">
        <v>41107</v>
      </c>
      <c r="J41" s="20">
        <v>99.72</v>
      </c>
      <c r="K41" s="20" t="str">
        <v>IT484078=TT</v>
      </c>
      <c r="L41" s="20" t="str">
        <v>N</v>
      </c>
      <c r="M41" s="20" t="str">
        <v>EJ2794299</v>
      </c>
      <c r="N41" s="20" t="str">
        <v>BTPS</v>
      </c>
      <c r="O41" s="21">
        <f>_xll.BondOutstanding(C41)</f>
        <v>15888373000</v>
      </c>
      <c r="P41" s="25">
        <f ca="1">_xll.xlBondYieldSensCustom(D41,E41,F41,G41,H41,I41,J41,B41,Q41,$AM$2,$AN$2,$AO$2,$AP$2,$AQ$2,"y")</f>
        <v>1.1200307141764704E-2</v>
      </c>
      <c r="Q41" s="26">
        <f>_xll.RtGet("IDN",$K41,IF(OR($D41="BTP,$E11=""CTZ"),Q$5,Q$4))</f>
        <v>105.21</v>
      </c>
      <c r="R41" s="27">
        <f>_xll.RtGet("IDN",$K41,IF(OR($D41="BTP,$E11=""CTZ"),R$5,R$4))</f>
        <v>105.25</v>
      </c>
      <c r="S41" s="28">
        <f ca="1">_xll.xlBondYieldSensCustom(D41,E41,F41,G41,H41,I41,J41,B41,R41,$AM$2,$AN$2,$AO$2,$AP$2,$AQ$2,"y")</f>
        <v>1.0950102874848731E-2</v>
      </c>
      <c r="T41" s="23">
        <f t="shared" si="3"/>
        <v>105.22999999999999</v>
      </c>
      <c r="U41" s="83">
        <f ca="1">_xll.xlBondYieldSensCustom(D41,E41,F41,G41,H41,I41,J41,B41,T41,$AM$2,$AN$2,$AO$2,$AP$2,$AQ$2,"y")</f>
        <v>1.1075180950434332E-2</v>
      </c>
      <c r="V41" s="23"/>
      <c r="W41" s="23">
        <f t="shared" si="4"/>
        <v>105.22999999999999</v>
      </c>
      <c r="X41" s="22"/>
      <c r="Y41" s="22">
        <f t="shared" ca="1" si="5"/>
        <v>1.1075180950434332E-2</v>
      </c>
      <c r="Z41" s="135">
        <f ca="1">_xll.xlBondPriceCustom(D41,E41,F41,G41,H41,I41,J41,B41,Y41,$AM$2,$AN$2,$AO$2,$AP$2,$AQ$2)</f>
        <v>105.22999849564569</v>
      </c>
      <c r="AA41" s="20">
        <f t="array" aca="1" ref="AA41:AG41" ca="1">_xll.xlBondYieldSens(D41,E41,F41,G41,H41,I41,J41,B41,W41,$AA$5&amp;$AB$5&amp;$AC$5&amp;$AD$5&amp;$AE$5&amp;$AF$5&amp;$AG$5)</f>
        <v>1.96875</v>
      </c>
      <c r="AB41" s="20">
        <f ca="1"/>
        <v>1.4998085502994609</v>
      </c>
      <c r="AC41" s="20">
        <f ca="1"/>
        <v>-1.4832416779505022</v>
      </c>
      <c r="AD41" s="20">
        <f ca="1"/>
        <v>3.8185406332412637E-2</v>
      </c>
      <c r="AE41" s="20">
        <f ca="1"/>
        <v>3.7346474143813355E-2</v>
      </c>
      <c r="AF41" s="20">
        <f ca="1"/>
        <v>1.5900165764890062</v>
      </c>
      <c r="AG41" s="24">
        <f ca="1"/>
        <v>1.1169359140424023E-2</v>
      </c>
      <c r="AH41" s="22">
        <f ca="1">_xll.xlBondYieldSensCustom(D41,E41,F41,G41,H41,I41,J41,B41,W41,$AM$2,$AN$2,$AO$2,$AP$2,$AQ$2,"y")</f>
        <v>1.1075180950434332E-2</v>
      </c>
      <c r="AI41" s="22">
        <f ca="1">IF(OR(TRIM($D41)="CTZ",TRIM($D41)="BTP",TRIM($D41)="BOT"),_xll.xlShmInterpRateFwd("EONIA",_xll.xlDateSettle("target",$B$2,2),0,4,$F41),"")</f>
        <v>1.6038081858237357E-3</v>
      </c>
      <c r="AJ41" s="85">
        <f t="shared" ca="1" si="6"/>
        <v>9.4713727646105958E-3</v>
      </c>
    </row>
    <row r="42" spans="1:41" ht="15.75" x14ac:dyDescent="0.25">
      <c r="A42" s="2"/>
      <c r="B42" s="19">
        <f ca="1">MAX(_xll.xlBondValueDate(D42,$B$2),I42)</f>
        <v>41631</v>
      </c>
      <c r="C42" s="20" t="str">
        <v>IT0003844534</v>
      </c>
      <c r="D42" s="86" t="str">
        <f t="array" ref="D42:N42">_xll.BondInfo(C42,$D$5:$N$5)</f>
        <v>BTP</v>
      </c>
      <c r="E42" s="20">
        <v>3.75</v>
      </c>
      <c r="F42" s="87">
        <v>42217</v>
      </c>
      <c r="G42" s="19">
        <v>38384</v>
      </c>
      <c r="H42" s="19">
        <v>38565</v>
      </c>
      <c r="I42" s="19">
        <v>38474</v>
      </c>
      <c r="J42" s="20">
        <v>101.79</v>
      </c>
      <c r="K42" s="20" t="str">
        <v>IT384453=TT</v>
      </c>
      <c r="L42" s="20" t="str">
        <v>N</v>
      </c>
      <c r="M42" s="20" t="str">
        <v>ED9117117</v>
      </c>
      <c r="N42" s="20" t="str">
        <v>BTPS</v>
      </c>
      <c r="O42" s="21">
        <f>_xll.BondOutstanding(C42)</f>
        <v>25808593000</v>
      </c>
      <c r="P42" s="25">
        <f ca="1">_xll.xlBondYieldSensCustom(D42,E42,F42,G42,H42,I42,J42,B42,Q42,$AM$2,$AN$2,$AO$2,$AP$2,$AQ$2,"y")</f>
        <v>1.1284333215209295E-2</v>
      </c>
      <c r="Q42" s="26">
        <f>_xll.RtGet("IDN",$K42,IF(OR($D42="BTP,$E11=""CTZ"),Q$5,Q$4))</f>
        <v>104.15</v>
      </c>
      <c r="R42" s="27">
        <f>_xll.RtGet("IDN",$K42,IF(OR($D42="BTP,$E11=""CTZ"),R$5,R$4))</f>
        <v>104.18</v>
      </c>
      <c r="S42" s="28">
        <f ca="1">_xll.xlBondYieldSensCustom(D42,E42,F42,G42,H42,I42,J42,B42,R42,$AM$2,$AN$2,$AO$2,$AP$2,$AQ$2,"y")</f>
        <v>1.1101283804899185E-2</v>
      </c>
      <c r="T42" s="23">
        <f t="shared" si="3"/>
        <v>104.16500000000001</v>
      </c>
      <c r="U42" s="83">
        <f ca="1">_xll.xlBondYieldSensCustom(D42,E42,F42,G42,H42,I42,J42,B42,T42,$AM$2,$AN$2,$AO$2,$AP$2,$AQ$2,"y")</f>
        <v>1.1192795198519137E-2</v>
      </c>
      <c r="V42" s="23"/>
      <c r="W42" s="23">
        <f t="shared" si="4"/>
        <v>104.16500000000001</v>
      </c>
      <c r="X42" s="22"/>
      <c r="Y42" s="22">
        <f t="shared" ca="1" si="5"/>
        <v>1.1192795198519137E-2</v>
      </c>
      <c r="Z42" s="141">
        <f ca="1">_xll.xlBondPriceCustom(D42,E42,F42,G42,H42,I42,J42,B42,Y42,$AM$2,$AN$2,$AO$2,$AP$2,$AQ$2)</f>
        <v>104.1649987083795</v>
      </c>
      <c r="AA42" s="20">
        <f t="array" aca="1" ref="AA42:AG42" ca="1">_xll.xlBondYieldSens(D42,E42,F42,G42,H42,I42,J42,B42,W42,$AA$5&amp;$AB$5&amp;$AC$5&amp;$AD$5&amp;$AE$5&amp;$AF$5&amp;$AG$5)</f>
        <v>1.46739</v>
      </c>
      <c r="AB42" s="20">
        <f ca="1"/>
        <v>1.5610036791387651</v>
      </c>
      <c r="AC42" s="20">
        <f ca="1"/>
        <v>-1.5435795658453637</v>
      </c>
      <c r="AD42" s="20">
        <f ca="1"/>
        <v>4.0570468133859963E-2</v>
      </c>
      <c r="AE42" s="20">
        <f ca="1"/>
        <v>3.966981791014635E-2</v>
      </c>
      <c r="AF42" s="20">
        <f ca="1"/>
        <v>1.6305200207618498</v>
      </c>
      <c r="AG42" s="24">
        <f ca="1"/>
        <v>1.1288115917652122E-2</v>
      </c>
      <c r="AH42" s="22">
        <f ca="1">_xll.xlBondYieldSensCustom(D42,E42,F42,G42,H42,I42,J42,B42,W42,$AM$2,$AN$2,$AO$2,$AP$2,$AQ$2,"y")</f>
        <v>1.1192795198519137E-2</v>
      </c>
      <c r="AI42" s="22">
        <f ca="1">IF(OR(TRIM($D42)="CTZ",TRIM($D42)="BTP",TRIM($D42)="BOT"),_xll.xlShmInterpRateFwd("EONIA",_xll.xlDateSettle("target",$B$2,2),0,4,$F42),"")</f>
        <v>1.6265269969278878E-3</v>
      </c>
      <c r="AJ42" s="85">
        <f t="shared" ca="1" si="6"/>
        <v>9.5662682015912499E-3</v>
      </c>
      <c r="AO42" s="84"/>
    </row>
    <row r="43" spans="1:41" ht="15.75" x14ac:dyDescent="0.25">
      <c r="A43" s="2"/>
      <c r="B43" s="19">
        <f ca="1">MAX(_xll.xlBondValueDate(D43,$B$2),I43)</f>
        <v>41631</v>
      </c>
      <c r="C43" s="20" t="str">
        <v>IT0004656275</v>
      </c>
      <c r="D43" s="148" t="str">
        <f t="array" ref="D43:N43">_xll.BondInfo(C43,$D$5:$N$5)</f>
        <v>BTP</v>
      </c>
      <c r="E43" s="149">
        <v>3</v>
      </c>
      <c r="F43" s="150">
        <v>42309</v>
      </c>
      <c r="G43" s="19">
        <v>40483</v>
      </c>
      <c r="H43" s="19">
        <v>40664</v>
      </c>
      <c r="I43" s="19">
        <v>40498</v>
      </c>
      <c r="J43" s="20">
        <v>99.01</v>
      </c>
      <c r="K43" s="20" t="str">
        <v>IT465627=TT</v>
      </c>
      <c r="L43" s="20" t="str">
        <v>Y</v>
      </c>
      <c r="M43" s="20" t="str">
        <v>EI4616930</v>
      </c>
      <c r="N43" s="20" t="str">
        <v>BTPS</v>
      </c>
      <c r="O43" s="21">
        <f>_xll.BondOutstanding(C43)</f>
        <v>17447912000</v>
      </c>
      <c r="P43" s="25">
        <f ca="1">_xll.xlBondYieldSensCustom(D43,E43,F43,G43,H43,I43,J43,B43,Q43,$AM$2,$AN$2,$AO$2,$AP$2,$AQ$2,"y")</f>
        <v>1.1444715026343307E-2</v>
      </c>
      <c r="Q43" s="26">
        <f>_xll.RtGet("IDN",$K43,IF(OR($D43="BTP,$E11=""CTZ"),Q$5,Q$4))</f>
        <v>103.38</v>
      </c>
      <c r="R43" s="27">
        <f>_xll.RtGet("IDN",$K43,IF(OR($D43="BTP,$E11=""CTZ"),R$5,R$4))</f>
        <v>103.42</v>
      </c>
      <c r="S43" s="28">
        <f ca="1">_xll.xlBondYieldSensCustom(D43,E43,F43,G43,H43,I43,J43,B43,R43,$AM$2,$AN$2,$AO$2,$AP$2,$AQ$2,"y")</f>
        <v>1.1231198462361983E-2</v>
      </c>
      <c r="T43" s="23">
        <f t="shared" si="3"/>
        <v>103.4</v>
      </c>
      <c r="U43" s="83">
        <f ca="1">_xll.xlBondYieldSensCustom(D43,E43,F43,G43,H43,I43,J43,B43,T43,$AM$2,$AN$2,$AO$2,$AP$2,$AQ$2,"y")</f>
        <v>1.1337935881594281E-2</v>
      </c>
      <c r="V43" s="23"/>
      <c r="W43" s="23">
        <f t="shared" si="4"/>
        <v>103.4</v>
      </c>
      <c r="X43" s="22"/>
      <c r="Y43" s="22">
        <f t="shared" ca="1" si="5"/>
        <v>1.1337935881594281E-2</v>
      </c>
      <c r="Z43" s="23">
        <f ca="1">_xll.xlBondPriceCustom(D43,E43,F43,G43,H43,I43,J43,B43,Y43,$AM$2,$AN$2,$AO$2,$AP$2,$AQ$2)</f>
        <v>103.39999835826755</v>
      </c>
      <c r="AA43" s="20">
        <f t="array" aca="1" ref="AA43:AG43" ca="1">_xll.xlBondYieldSens(D43,E43,F43,G43,H43,I43,J43,B43,W43,$AA$5&amp;$AB$5&amp;$AC$5&amp;$AD$5&amp;$AE$5&amp;$AF$5&amp;$AG$5)</f>
        <v>0.43093999999999999</v>
      </c>
      <c r="AB43" s="20">
        <f ca="1"/>
        <v>1.8162180681504072</v>
      </c>
      <c r="AC43" s="20">
        <f ca="1"/>
        <v>-1.7956632732757476</v>
      </c>
      <c r="AD43" s="20">
        <f ca="1"/>
        <v>5.1631063799150313E-2</v>
      </c>
      <c r="AE43" s="20">
        <f ca="1"/>
        <v>5.0469022104431945E-2</v>
      </c>
      <c r="AF43" s="20">
        <f ca="1"/>
        <v>1.8644540984290359</v>
      </c>
      <c r="AG43" s="24">
        <f ca="1"/>
        <v>1.1446904513251827E-2</v>
      </c>
      <c r="AH43" s="22">
        <f ca="1">_xll.xlBondYieldSensCustom(D43,E43,F43,G43,H43,I43,J43,B43,W43,$AM$2,$AN$2,$AO$2,$AP$2,$AQ$2,"y")</f>
        <v>1.1337935881594281E-2</v>
      </c>
      <c r="AI43" s="22">
        <f ca="1">IF(OR(TRIM($D43)="CTZ",TRIM($D43)="BTP",TRIM($D43)="BOT"),_xll.xlShmInterpRateFwd("EONIA",_xll.xlDateSettle("target",$B$2,2),0,4,$F43),"")</f>
        <v>1.774886682137982E-3</v>
      </c>
      <c r="AJ43" s="85">
        <f t="shared" ca="1" si="6"/>
        <v>9.5630491994562992E-3</v>
      </c>
      <c r="AO43" s="84"/>
    </row>
    <row r="44" spans="1:41" ht="15.75" x14ac:dyDescent="0.25">
      <c r="A44" s="2"/>
      <c r="B44" s="19">
        <f ca="1">MAX(_xll.xlBondValueDate(D44,$B$2),I44)</f>
        <v>41631</v>
      </c>
      <c r="C44" s="20" t="str">
        <v>IT0004880990</v>
      </c>
      <c r="D44" s="86" t="str">
        <f t="array" ref="D44:N44">_xll.BondInfo(C44,$D$5:$N$5)</f>
        <v>BTP</v>
      </c>
      <c r="E44" s="20">
        <v>2.75</v>
      </c>
      <c r="F44" s="87">
        <v>42339</v>
      </c>
      <c r="G44" s="19">
        <v>41244</v>
      </c>
      <c r="H44" s="19">
        <v>41426</v>
      </c>
      <c r="I44" s="19">
        <v>41260</v>
      </c>
      <c r="J44" s="20">
        <v>100.75</v>
      </c>
      <c r="K44" s="20" t="str">
        <v>IT488099=TT</v>
      </c>
      <c r="L44" s="20" t="str">
        <v>N</v>
      </c>
      <c r="M44" s="20" t="str">
        <v>EJ4786335</v>
      </c>
      <c r="N44" s="20" t="str">
        <v>BTPS</v>
      </c>
      <c r="O44" s="21">
        <f>_xll.BondOutstanding(C44)</f>
        <v>14915560000</v>
      </c>
      <c r="P44" s="25">
        <f ca="1">_xll.xlBondYieldSensCustom(D44,E44,F44,G44,H44,I44,J44,B44,Q44,$AM$2,$AN$2,$AO$2,$AP$2,$AQ$2,"y")</f>
        <v>1.1999847301767536E-2</v>
      </c>
      <c r="Q44" s="26">
        <f>_xll.RtGet("IDN",$K44,IF(OR($D44="BTP,$E11=""CTZ"),Q$5,Q$4))</f>
        <v>102.95</v>
      </c>
      <c r="R44" s="27">
        <f>_xll.RtGet("IDN",$K44,IF(OR($D44="BTP,$E11=""CTZ"),R$5,R$4))</f>
        <v>102.99</v>
      </c>
      <c r="S44" s="28">
        <f ca="1">_xll.xlBondYieldSensCustom(D44,E44,F44,G44,H44,I44,J44,B44,R44,$AM$2,$AN$2,$AO$2,$AP$2,$AQ$2,"y")</f>
        <v>1.1793858454735337E-2</v>
      </c>
      <c r="T44" s="23">
        <f t="shared" si="3"/>
        <v>102.97</v>
      </c>
      <c r="U44" s="83">
        <f ca="1">_xll.xlBondYieldSensCustom(D44,E44,F44,G44,H44,I44,J44,B44,T44,$AM$2,$AN$2,$AO$2,$AP$2,$AQ$2,"y")</f>
        <v>1.1896832661803664E-2</v>
      </c>
      <c r="V44" s="23"/>
      <c r="W44" s="23">
        <f t="shared" si="4"/>
        <v>102.97</v>
      </c>
      <c r="X44" s="22"/>
      <c r="Y44" s="22">
        <f t="shared" ca="1" si="5"/>
        <v>1.1896832661803664E-2</v>
      </c>
      <c r="Z44" s="23">
        <f ca="1">_xll.xlBondPriceCustom(D44,E44,F44,G44,H44,I44,J44,B44,Y44,$AM$2,$AN$2,$AO$2,$AP$2,$AQ$2)</f>
        <v>102.96999817135277</v>
      </c>
      <c r="AA44" s="20">
        <f t="array" aca="1" ref="AA44:AG44" ca="1">_xll.xlBondYieldSens(D44,E44,F44,G44,H44,I44,J44,B44,W44,$AA$5&amp;$AB$5&amp;$AC$5&amp;$AD$5&amp;$AE$5&amp;$AF$5&amp;$AG$5)</f>
        <v>0.16621</v>
      </c>
      <c r="AB44" s="20">
        <f ca="1"/>
        <v>1.8999682173337074</v>
      </c>
      <c r="AC44" s="20">
        <f ca="1"/>
        <v>-1.8774455168557604</v>
      </c>
      <c r="AD44" s="20">
        <f ca="1"/>
        <v>5.5544698240736969E-2</v>
      </c>
      <c r="AE44" s="20">
        <f ca="1"/>
        <v>5.4235621954347557E-2</v>
      </c>
      <c r="AF44" s="20">
        <f ca="1"/>
        <v>1.9363261936497622</v>
      </c>
      <c r="AG44" s="24">
        <f ca="1"/>
        <v>1.1996456882047674E-2</v>
      </c>
      <c r="AH44" s="22">
        <f ca="1">_xll.xlBondYieldSensCustom(D44,E44,F44,G44,H44,I44,J44,B44,W44,$AM$2,$AN$2,$AO$2,$AP$2,$AQ$2,"y")</f>
        <v>1.1896832661803664E-2</v>
      </c>
      <c r="AI44" s="22">
        <f ca="1">IF(OR(TRIM($D44)="CTZ",TRIM($D44)="BTP",TRIM($D44)="BOT"),_xll.xlShmInterpRateFwd("EONIA",_xll.xlDateSettle("target",$B$2,2),0,4,$F44),"")</f>
        <v>1.8332184306653746E-3</v>
      </c>
      <c r="AJ44" s="85">
        <f t="shared" ca="1" si="6"/>
        <v>1.0063614231138289E-2</v>
      </c>
    </row>
    <row r="45" spans="1:41" ht="15.75" x14ac:dyDescent="0.25">
      <c r="A45" s="2"/>
      <c r="B45" s="19">
        <f ca="1">MAX(_xll.xlBondValueDate(D45,$B$2),I45)</f>
        <v>41631</v>
      </c>
      <c r="C45" s="20" t="str">
        <v>IT0004978208</v>
      </c>
      <c r="D45" s="86" t="str">
        <f t="array" ref="D45:N45">_xll.BondInfo(C45,$D$5:$N$5)</f>
        <v>CTZ</v>
      </c>
      <c r="E45" s="20">
        <v>0</v>
      </c>
      <c r="F45" s="87">
        <v>42369</v>
      </c>
      <c r="G45" s="19">
        <v>41607</v>
      </c>
      <c r="H45" s="19">
        <v>42369</v>
      </c>
      <c r="I45" s="19">
        <v>41607</v>
      </c>
      <c r="J45" s="20">
        <v>97.614999999999995</v>
      </c>
      <c r="K45" s="20" t="str">
        <v>IT497820=TT</v>
      </c>
      <c r="L45" s="20" t="str">
        <v>N</v>
      </c>
      <c r="M45" s="20" t="str">
        <v>EJ9541768</v>
      </c>
      <c r="N45" s="20" t="str">
        <v>ICTZ</v>
      </c>
      <c r="O45" s="21">
        <f>_xll.BondOutstanding(C45)</f>
        <v>3840516000</v>
      </c>
      <c r="P45" s="25">
        <f ca="1">_xll.xlBondYieldSensCustom(D45,E45,F45,G45,H45,I45,J45,B45,Q45,$AM$2,$AN$2,$AO$2,$AP$2,$AQ$2,"y")</f>
        <v>1.256351953243361E-2</v>
      </c>
      <c r="Q45" s="26">
        <f>_xll.RtGet("IDN",$K45,IF(OR($D45="BTP,$E11=""CTZ"),Q$5,Q$4))</f>
        <v>97.472999999999999</v>
      </c>
      <c r="R45" s="27">
        <f>_xll.RtGet("IDN",$K45,IF(OR($D45="BTP,$E11=""CTZ"),R$5,R$4))</f>
        <v>97.522999999999996</v>
      </c>
      <c r="S45" s="28">
        <f ca="1">_xll.xlBondYieldSensCustom(D45,E45,F45,G45,H45,I45,J45,B45,R45,$AM$2,$AN$2,$AO$2,$AP$2,$AQ$2,"y")</f>
        <v>1.2310246819882024E-2</v>
      </c>
      <c r="T45" s="23">
        <f t="shared" si="3"/>
        <v>97.49799999999999</v>
      </c>
      <c r="U45" s="83">
        <f ca="1">_xll.xlBondYieldSensCustom(D45,E45,F45,G45,H45,I45,J45,B45,T45,$AM$2,$AN$2,$AO$2,$AP$2,$AQ$2,"y")</f>
        <v>1.2436859020511771E-2</v>
      </c>
      <c r="V45" s="23"/>
      <c r="W45" s="23">
        <f t="shared" si="4"/>
        <v>97.49799999999999</v>
      </c>
      <c r="X45" s="22"/>
      <c r="Y45" s="22">
        <f t="shared" ca="1" si="5"/>
        <v>1.2436859020511771E-2</v>
      </c>
      <c r="Z45" s="23">
        <f ca="1">_xll.xlBondPriceCustom(D45,E45,F45,G45,H45,I45,J45,B45,Y45,$AM$2,$AN$2,$AO$2,$AP$2,$AQ$2)</f>
        <v>97.49799999999999</v>
      </c>
      <c r="AA45" s="20">
        <f t="array" aca="1" ref="AA45:AG45" ca="1">_xll.xlBondYieldSens(D45,E45,F45,G45,H45,I45,J45,B45,W45,$AA$5&amp;$AB$5&amp;$AC$5&amp;$AD$5&amp;$AE$5&amp;$AF$5&amp;$AG$5)</f>
        <v>0</v>
      </c>
      <c r="AB45" s="20">
        <f ca="1"/>
        <v>2.021917808219178</v>
      </c>
      <c r="AC45" s="20">
        <f ca="1"/>
        <v>-1.9967375873969524</v>
      </c>
      <c r="AD45" s="20">
        <f ca="1"/>
        <v>6.1100694314130219E-2</v>
      </c>
      <c r="AE45" s="20">
        <f ca="1"/>
        <v>5.9588319447086084E-2</v>
      </c>
      <c r="AF45" s="20">
        <f ca="1"/>
        <v>1.9467792576307374</v>
      </c>
      <c r="AG45" s="24">
        <f ca="1"/>
        <v>1.2610677802472832E-2</v>
      </c>
      <c r="AH45" s="22">
        <f ca="1">_xll.xlBondYieldSensCustom(D45,E45,F45,G45,H45,I45,J45,B45,W45,$AM$2,$AN$2,$AO$2,$AP$2,$AQ$2,"y")</f>
        <v>1.2436859020511771E-2</v>
      </c>
      <c r="AI45" s="22">
        <f ca="1">IF(OR(TRIM($D45)="CTZ",TRIM($D45)="BTP",TRIM($D45)="BOT"),_xll.xlShmInterpRateFwd("EONIA",_xll.xlDateSettle("target",$B$2,2),0,4,$F45),"")</f>
        <v>1.91074029361103E-3</v>
      </c>
      <c r="AJ45" s="85">
        <f t="shared" ca="1" si="6"/>
        <v>1.052611872690074E-2</v>
      </c>
    </row>
    <row r="46" spans="1:41" ht="15.75" x14ac:dyDescent="0.25">
      <c r="A46" s="2"/>
      <c r="B46" s="19" t="e">
        <f>MAX(_xll.xlBondValueDate(D46,$B$2),I46)</f>
        <v>#NUM!</v>
      </c>
      <c r="C46" s="20" t="e">
        <v>#N/A</v>
      </c>
      <c r="D46" s="86" t="e">
        <f t="array" ref="D46:N46">_xll.BondInfo(C46,$D$5:$N$5)</f>
        <v>#VALUE!</v>
      </c>
      <c r="E46" s="20" t="e">
        <v>#VALUE!</v>
      </c>
      <c r="F46" s="87" t="e">
        <v>#VALUE!</v>
      </c>
      <c r="G46" s="19" t="e">
        <v>#VALUE!</v>
      </c>
      <c r="H46" s="19" t="e">
        <v>#VALUE!</v>
      </c>
      <c r="I46" s="19" t="e">
        <v>#VALUE!</v>
      </c>
      <c r="J46" s="20" t="e">
        <v>#VALUE!</v>
      </c>
      <c r="K46" s="20" t="e">
        <v>#VALUE!</v>
      </c>
      <c r="L46" s="20" t="e">
        <v>#VALUE!</v>
      </c>
      <c r="M46" s="20" t="e">
        <v>#VALUE!</v>
      </c>
      <c r="N46" s="20" t="e">
        <v>#VALUE!</v>
      </c>
      <c r="O46" s="21" t="e">
        <f>_xll.BondOutstanding(C46)</f>
        <v>#VALUE!</v>
      </c>
      <c r="P46" s="25" t="e">
        <f>_xll.xlBondYieldSensCustom(D46,E46,F46,G46,H46,I46,J46,B46,Q46,$AM$2,$AN$2,$AO$2,$AP$2,$AQ$2,"y")</f>
        <v>#NUM!</v>
      </c>
      <c r="Q46" s="26" t="e">
        <f>_xll.RtGet("IDN",$K46,IF(OR($D46="BTP,$E11=""CTZ"),Q$5,Q$4))</f>
        <v>#VALUE!</v>
      </c>
      <c r="R46" s="27" t="e">
        <f>_xll.RtGet("IDN",$K46,IF(OR($D46="BTP,$E11=""CTZ"),R$5,R$4))</f>
        <v>#VALUE!</v>
      </c>
      <c r="S46" s="28" t="e">
        <f>_xll.xlBondYieldSensCustom(D46,E46,F46,G46,H46,I46,J46,B46,R46,$AM$2,$AN$2,$AO$2,$AP$2,$AQ$2,"y")</f>
        <v>#NUM!</v>
      </c>
      <c r="T46" s="23" t="e">
        <f t="shared" si="3"/>
        <v>#VALUE!</v>
      </c>
      <c r="U46" s="83" t="e">
        <f>_xll.xlBondYieldSensCustom(D46,E46,F46,G46,H46,I46,J46,B46,T46,$AM$2,$AN$2,$AO$2,$AP$2,$AQ$2,"y")</f>
        <v>#NUM!</v>
      </c>
      <c r="V46" s="23"/>
      <c r="W46" s="23" t="e">
        <f t="shared" si="4"/>
        <v>#VALUE!</v>
      </c>
      <c r="X46" s="22"/>
      <c r="Y46" s="22" t="e">
        <f t="shared" si="5"/>
        <v>#NUM!</v>
      </c>
      <c r="Z46" s="23" t="e">
        <f>_xll.xlBondPriceCustom(D46,E46,F46,G46,H46,I46,J46,B46,Y46,$AM$2,$AN$2,$AO$2,$AP$2,$AQ$2)</f>
        <v>#NUM!</v>
      </c>
      <c r="AA46" s="20" t="e">
        <f t="array" ref="AA46:AG46">_xll.xlBondYieldSens(D46,E46,F46,G46,H46,I46,J46,B46,W46,$AA$5&amp;$AB$5&amp;$AC$5&amp;$AD$5&amp;$AE$5&amp;$AF$5&amp;$AG$5)</f>
        <v>#NUM!</v>
      </c>
      <c r="AB46" s="20" t="e">
        <v>#NUM!</v>
      </c>
      <c r="AC46" s="20" t="e">
        <v>#NUM!</v>
      </c>
      <c r="AD46" s="20" t="e">
        <v>#NUM!</v>
      </c>
      <c r="AE46" s="20" t="e">
        <v>#NUM!</v>
      </c>
      <c r="AF46" s="20" t="e">
        <v>#NUM!</v>
      </c>
      <c r="AG46" s="24" t="e">
        <v>#NUM!</v>
      </c>
      <c r="AH46" s="22" t="e">
        <f>_xll.xlBondYieldSensCustom(D46,E46,F46,G46,H46,I46,J46,B46,W46,$AM$2,$AN$2,$AO$2,$AP$2,$AQ$2,"y")</f>
        <v>#NUM!</v>
      </c>
      <c r="AI46" s="22" t="e">
        <f>IF(OR(TRIM($D46)="CTZ",TRIM($D46)="BTP",TRIM($D46)="BOT"),_xll.xlShmInterpRateFwd("EONIA",_xll.xlDateSettle("target",$B$2,2),0,4,$F46),"")</f>
        <v>#VALUE!</v>
      </c>
      <c r="AJ46" s="85" t="e">
        <f t="shared" si="6"/>
        <v>#NUM!</v>
      </c>
    </row>
    <row r="47" spans="1:41" ht="15.75" x14ac:dyDescent="0.25">
      <c r="A47" s="2"/>
      <c r="B47" s="19" t="e">
        <f>MAX(_xll.xlBondValueDate(D47,$B$2),I47)</f>
        <v>#NUM!</v>
      </c>
      <c r="C47" s="20" t="e">
        <v>#N/A</v>
      </c>
      <c r="D47" s="86" t="e">
        <f t="array" ref="D47:N47">_xll.BondInfo(C47,$D$5:$N$5)</f>
        <v>#VALUE!</v>
      </c>
      <c r="E47" s="20" t="e">
        <v>#VALUE!</v>
      </c>
      <c r="F47" s="87" t="e">
        <v>#VALUE!</v>
      </c>
      <c r="G47" s="19" t="e">
        <v>#VALUE!</v>
      </c>
      <c r="H47" s="19" t="e">
        <v>#VALUE!</v>
      </c>
      <c r="I47" s="19" t="e">
        <v>#VALUE!</v>
      </c>
      <c r="J47" s="20" t="e">
        <v>#VALUE!</v>
      </c>
      <c r="K47" s="20" t="e">
        <v>#VALUE!</v>
      </c>
      <c r="L47" s="20" t="e">
        <v>#VALUE!</v>
      </c>
      <c r="M47" s="20" t="e">
        <v>#VALUE!</v>
      </c>
      <c r="N47" s="20" t="e">
        <v>#VALUE!</v>
      </c>
      <c r="O47" s="21" t="e">
        <f>_xll.BondOutstanding(C47)</f>
        <v>#VALUE!</v>
      </c>
      <c r="P47" s="25" t="e">
        <f>_xll.xlBondYieldSensCustom(D47,E47,F47,G47,H47,I47,J47,B47,Q47,$AM$2,$AN$2,$AO$2,$AP$2,$AQ$2,"y")</f>
        <v>#NUM!</v>
      </c>
      <c r="Q47" s="26" t="e">
        <f>_xll.RtGet("IDN",$K47,IF(OR($D47="BTP,$E11=""CTZ"),Q$5,Q$4))</f>
        <v>#VALUE!</v>
      </c>
      <c r="R47" s="27" t="e">
        <f>_xll.RtGet("IDN",$K47,IF(OR($D47="BTP,$E11=""CTZ"),R$5,R$4))</f>
        <v>#VALUE!</v>
      </c>
      <c r="S47" s="28" t="e">
        <f>_xll.xlBondYieldSensCustom(D47,E47,F47,G47,H47,I47,J47,B47,R47,$AM$2,$AN$2,$AO$2,$AP$2,$AQ$2,"y")</f>
        <v>#NUM!</v>
      </c>
      <c r="T47" s="23" t="e">
        <f t="shared" si="3"/>
        <v>#VALUE!</v>
      </c>
      <c r="U47" s="83" t="e">
        <f>_xll.xlBondYieldSensCustom(D47,E47,F47,G47,H47,I47,J47,B47,T47,$AM$2,$AN$2,$AO$2,$AP$2,$AQ$2,"y")</f>
        <v>#NUM!</v>
      </c>
      <c r="V47" s="23"/>
      <c r="W47" s="23" t="e">
        <f t="shared" si="4"/>
        <v>#VALUE!</v>
      </c>
      <c r="X47" s="22"/>
      <c r="Y47" s="22" t="e">
        <f t="shared" si="5"/>
        <v>#NUM!</v>
      </c>
      <c r="Z47" s="23" t="e">
        <f>_xll.xlBondPriceCustom(D47,E47,F47,G47,H47,I47,J47,B47,Y47,$AM$2,$AN$2,$AO$2,$AP$2,$AQ$2)</f>
        <v>#NUM!</v>
      </c>
      <c r="AA47" s="20" t="e">
        <f t="array" ref="AA47:AG47">_xll.xlBondYieldSens(D47,E47,F47,G47,H47,I47,J47,B47,W47,$AA$5&amp;$AB$5&amp;$AC$5&amp;$AD$5&amp;$AE$5&amp;$AF$5&amp;$AG$5)</f>
        <v>#NUM!</v>
      </c>
      <c r="AB47" s="20" t="e">
        <v>#NUM!</v>
      </c>
      <c r="AC47" s="20" t="e">
        <v>#NUM!</v>
      </c>
      <c r="AD47" s="20" t="e">
        <v>#NUM!</v>
      </c>
      <c r="AE47" s="20" t="e">
        <v>#NUM!</v>
      </c>
      <c r="AF47" s="20" t="e">
        <v>#NUM!</v>
      </c>
      <c r="AG47" s="24" t="e">
        <v>#NUM!</v>
      </c>
      <c r="AH47" s="22" t="e">
        <f>_xll.xlBondYieldSensCustom(D47,E47,F47,G47,H47,I47,J47,B47,W47,$AM$2,$AN$2,$AO$2,$AP$2,$AQ$2,"y")</f>
        <v>#NUM!</v>
      </c>
      <c r="AI47" s="22" t="e">
        <f>IF(OR(TRIM($D47)="CTZ",TRIM($D47)="BTP",TRIM($D47)="BOT"),_xll.xlShmInterpRateFwd("EONIA",_xll.xlDateSettle("target",$B$2,2),0,4,$F47),"")</f>
        <v>#VALUE!</v>
      </c>
      <c r="AJ47" s="85" t="e">
        <f t="shared" si="6"/>
        <v>#NUM!</v>
      </c>
    </row>
    <row r="48" spans="1:41" ht="15.75" x14ac:dyDescent="0.25">
      <c r="A48" s="2"/>
      <c r="B48" s="19" t="e">
        <f>MAX(_xll.xlBondValueDate(D48,$B$2),I48)</f>
        <v>#NUM!</v>
      </c>
      <c r="C48" s="20" t="e">
        <v>#N/A</v>
      </c>
      <c r="D48" s="86" t="e">
        <f t="array" ref="D48:N48">_xll.BondInfo(C48,$D$5:$N$5)</f>
        <v>#VALUE!</v>
      </c>
      <c r="E48" s="20" t="e">
        <v>#VALUE!</v>
      </c>
      <c r="F48" s="87" t="e">
        <v>#VALUE!</v>
      </c>
      <c r="G48" s="19" t="e">
        <v>#VALUE!</v>
      </c>
      <c r="H48" s="19" t="e">
        <v>#VALUE!</v>
      </c>
      <c r="I48" s="19" t="e">
        <v>#VALUE!</v>
      </c>
      <c r="J48" s="20" t="e">
        <v>#VALUE!</v>
      </c>
      <c r="K48" s="20" t="e">
        <v>#VALUE!</v>
      </c>
      <c r="L48" s="20" t="e">
        <v>#VALUE!</v>
      </c>
      <c r="M48" s="20" t="e">
        <v>#VALUE!</v>
      </c>
      <c r="N48" s="20" t="e">
        <v>#VALUE!</v>
      </c>
      <c r="O48" s="21" t="e">
        <f>_xll.BondOutstanding(C48)</f>
        <v>#VALUE!</v>
      </c>
      <c r="P48" s="25" t="e">
        <f>_xll.xlBondYieldSensCustom(D48,E48,F48,G48,H48,I48,J48,B48,Q48,$AM$2,$AN$2,$AO$2,$AP$2,$AQ$2,"y")</f>
        <v>#NUM!</v>
      </c>
      <c r="Q48" s="26" t="e">
        <f>_xll.RtGet("IDN",$K48,IF(OR($D48="BTP,$E11=""CTZ"),Q$5,Q$4))</f>
        <v>#VALUE!</v>
      </c>
      <c r="R48" s="27" t="e">
        <f>_xll.RtGet("IDN",$K48,IF(OR($D48="BTP,$E11=""CTZ"),R$5,R$4))</f>
        <v>#VALUE!</v>
      </c>
      <c r="S48" s="28" t="e">
        <f>_xll.xlBondYieldSensCustom(D48,E48,F48,G48,H48,I48,J48,B48,R48,$AM$2,$AN$2,$AO$2,$AP$2,$AQ$2,"y")</f>
        <v>#NUM!</v>
      </c>
      <c r="T48" s="23" t="e">
        <f t="shared" si="3"/>
        <v>#VALUE!</v>
      </c>
      <c r="U48" s="83" t="e">
        <f>_xll.xlBondYieldSensCustom(D48,E48,F48,G48,H48,I48,J48,B48,T48,$AM$2,$AN$2,$AO$2,$AP$2,$AQ$2,"y")</f>
        <v>#NUM!</v>
      </c>
      <c r="V48" s="23"/>
      <c r="W48" s="23" t="e">
        <f t="shared" si="4"/>
        <v>#VALUE!</v>
      </c>
      <c r="X48" s="22"/>
      <c r="Y48" s="22" t="e">
        <f t="shared" si="5"/>
        <v>#NUM!</v>
      </c>
      <c r="Z48" s="23" t="e">
        <f>_xll.xlBondPriceCustom(D48,E48,F48,G48,H48,I48,J48,B48,Y48,$AM$2,$AN$2,$AO$2,$AP$2,$AQ$2)</f>
        <v>#NUM!</v>
      </c>
      <c r="AA48" s="20" t="e">
        <f t="array" ref="AA48:AG48">_xll.xlBondYieldSens(D48,E48,F48,G48,H48,I48,J48,B48,W48,$AA$5&amp;$AB$5&amp;$AC$5&amp;$AD$5&amp;$AE$5&amp;$AF$5&amp;$AG$5)</f>
        <v>#NUM!</v>
      </c>
      <c r="AB48" s="20" t="e">
        <v>#NUM!</v>
      </c>
      <c r="AC48" s="20" t="e">
        <v>#NUM!</v>
      </c>
      <c r="AD48" s="20" t="e">
        <v>#NUM!</v>
      </c>
      <c r="AE48" s="20" t="e">
        <v>#NUM!</v>
      </c>
      <c r="AF48" s="20" t="e">
        <v>#NUM!</v>
      </c>
      <c r="AG48" s="24" t="e">
        <v>#NUM!</v>
      </c>
      <c r="AH48" s="22" t="e">
        <f>_xll.xlBondYieldSensCustom(D48,E48,F48,G48,H48,I48,J48,B48,W48,$AM$2,$AN$2,$AO$2,$AP$2,$AQ$2,"y")</f>
        <v>#NUM!</v>
      </c>
      <c r="AI48" s="22" t="e">
        <f>IF(OR(TRIM($D48)="CTZ",TRIM($D48)="BTP",TRIM($D48)="BOT"),_xll.xlShmInterpRateFwd("EONIA",_xll.xlDateSettle("target",$B$2,2),0,4,$F48),"")</f>
        <v>#VALUE!</v>
      </c>
      <c r="AJ48" s="85" t="e">
        <f t="shared" si="6"/>
        <v>#NUM!</v>
      </c>
    </row>
    <row r="49" spans="1:36" ht="15.75" x14ac:dyDescent="0.25">
      <c r="A49" s="2"/>
      <c r="B49" s="19" t="e">
        <f>MAX(_xll.xlBondValueDate(D49,$B$2),I49)</f>
        <v>#NUM!</v>
      </c>
      <c r="C49" s="20" t="e">
        <v>#N/A</v>
      </c>
      <c r="D49" s="86" t="e">
        <f t="array" ref="D49:N49">_xll.BondInfo(C49,$D$5:$N$5)</f>
        <v>#VALUE!</v>
      </c>
      <c r="E49" s="20" t="e">
        <v>#VALUE!</v>
      </c>
      <c r="F49" s="87" t="e">
        <v>#VALUE!</v>
      </c>
      <c r="G49" s="19" t="e">
        <v>#VALUE!</v>
      </c>
      <c r="H49" s="19" t="e">
        <v>#VALUE!</v>
      </c>
      <c r="I49" s="19" t="e">
        <v>#VALUE!</v>
      </c>
      <c r="J49" s="20" t="e">
        <v>#VALUE!</v>
      </c>
      <c r="K49" s="20" t="e">
        <v>#VALUE!</v>
      </c>
      <c r="L49" s="20" t="e">
        <v>#VALUE!</v>
      </c>
      <c r="M49" s="20" t="e">
        <v>#VALUE!</v>
      </c>
      <c r="N49" s="20" t="e">
        <v>#VALUE!</v>
      </c>
      <c r="O49" s="21" t="e">
        <f>_xll.BondOutstanding(C49)</f>
        <v>#VALUE!</v>
      </c>
      <c r="P49" s="25" t="e">
        <f>_xll.xlBondYieldSensCustom(D49,E49,F49,G49,H49,I49,J49,B49,Q49,$AM$2,$AN$2,$AO$2,$AP$2,$AQ$2,"y")</f>
        <v>#NUM!</v>
      </c>
      <c r="Q49" s="26" t="e">
        <f>_xll.RtGet("IDN",$K49,IF(OR($D49="BTP,$E11=""CTZ"),Q$5,Q$4))</f>
        <v>#VALUE!</v>
      </c>
      <c r="R49" s="27" t="e">
        <f>_xll.RtGet("IDN",$K49,IF(OR($D49="BTP,$E11=""CTZ"),R$5,R$4))</f>
        <v>#VALUE!</v>
      </c>
      <c r="S49" s="28" t="e">
        <f>_xll.xlBondYieldSensCustom(D49,E49,F49,G49,H49,I49,J49,B49,R49,$AM$2,$AN$2,$AO$2,$AP$2,$AQ$2,"y")</f>
        <v>#NUM!</v>
      </c>
      <c r="T49" s="23" t="e">
        <f t="shared" si="3"/>
        <v>#VALUE!</v>
      </c>
      <c r="U49" s="83" t="e">
        <f>_xll.xlBondYieldSensCustom(D49,E49,F49,G49,H49,I49,J49,B49,T49,$AM$2,$AN$2,$AO$2,$AP$2,$AQ$2,"y")</f>
        <v>#NUM!</v>
      </c>
      <c r="V49" s="23"/>
      <c r="W49" s="23" t="e">
        <f t="shared" si="4"/>
        <v>#VALUE!</v>
      </c>
      <c r="X49" s="22"/>
      <c r="Y49" s="22" t="e">
        <f t="shared" si="5"/>
        <v>#NUM!</v>
      </c>
      <c r="Z49" s="23" t="e">
        <f>_xll.xlBondPriceCustom(D49,E49,F49,G49,H49,I49,J49,B49,Y49,$AM$2,$AN$2,$AO$2,$AP$2,$AQ$2)</f>
        <v>#NUM!</v>
      </c>
      <c r="AA49" s="20" t="e">
        <f t="array" ref="AA49:AG49">_xll.xlBondYieldSens(D49,E49,F49,G49,H49,I49,J49,B49,W49,$AA$5&amp;$AB$5&amp;$AC$5&amp;$AD$5&amp;$AE$5&amp;$AF$5&amp;$AG$5)</f>
        <v>#NUM!</v>
      </c>
      <c r="AB49" s="20" t="e">
        <v>#NUM!</v>
      </c>
      <c r="AC49" s="20" t="e">
        <v>#NUM!</v>
      </c>
      <c r="AD49" s="20" t="e">
        <v>#NUM!</v>
      </c>
      <c r="AE49" s="20" t="e">
        <v>#NUM!</v>
      </c>
      <c r="AF49" s="20" t="e">
        <v>#NUM!</v>
      </c>
      <c r="AG49" s="24" t="e">
        <v>#NUM!</v>
      </c>
      <c r="AH49" s="22" t="e">
        <f>_xll.xlBondYieldSensCustom(D49,E49,F49,G49,H49,I49,J49,B49,W49,$AM$2,$AN$2,$AO$2,$AP$2,$AQ$2,"y")</f>
        <v>#NUM!</v>
      </c>
      <c r="AI49" s="22" t="e">
        <f>IF(OR(TRIM($D49)="CTZ",TRIM($D49)="BTP",TRIM($D49)="BOT"),_xll.xlShmInterpRateFwd("EONIA",_xll.xlDateSettle("target",$B$2,2),0,4,$F49),"")</f>
        <v>#VALUE!</v>
      </c>
      <c r="AJ49" s="85" t="e">
        <f t="shared" si="6"/>
        <v>#NUM!</v>
      </c>
    </row>
    <row r="50" spans="1:36" ht="15.75" x14ac:dyDescent="0.25">
      <c r="A50" s="2"/>
      <c r="B50" s="19" t="e">
        <f>MAX(_xll.xlBondValueDate(D50,$B$2),I50)</f>
        <v>#NUM!</v>
      </c>
      <c r="C50" s="20" t="e">
        <v>#N/A</v>
      </c>
      <c r="D50" s="86" t="e">
        <f t="array" ref="D50:N50">_xll.BondInfo(C50,$D$5:$N$5)</f>
        <v>#VALUE!</v>
      </c>
      <c r="E50" s="20" t="e">
        <v>#VALUE!</v>
      </c>
      <c r="F50" s="87" t="e">
        <v>#VALUE!</v>
      </c>
      <c r="G50" s="19" t="e">
        <v>#VALUE!</v>
      </c>
      <c r="H50" s="19" t="e">
        <v>#VALUE!</v>
      </c>
      <c r="I50" s="19" t="e">
        <v>#VALUE!</v>
      </c>
      <c r="J50" s="20" t="e">
        <v>#VALUE!</v>
      </c>
      <c r="K50" s="20" t="e">
        <v>#VALUE!</v>
      </c>
      <c r="L50" s="20" t="e">
        <v>#VALUE!</v>
      </c>
      <c r="M50" s="20" t="e">
        <v>#VALUE!</v>
      </c>
      <c r="N50" s="20" t="e">
        <v>#VALUE!</v>
      </c>
      <c r="O50" s="21" t="e">
        <f>_xll.BondOutstanding(C50)</f>
        <v>#VALUE!</v>
      </c>
      <c r="P50" s="25" t="e">
        <f>_xll.xlBondYieldSensCustom(D50,E50,F50,G50,H50,I50,J50,B50,Q50,$AM$2,$AN$2,$AO$2,$AP$2,$AQ$2,"y")</f>
        <v>#NUM!</v>
      </c>
      <c r="Q50" s="26" t="e">
        <f>_xll.RtGet("IDN",$K50,IF(OR($D50="BTP,$E11=""CTZ"),Q$5,Q$4))</f>
        <v>#VALUE!</v>
      </c>
      <c r="R50" s="27" t="e">
        <f>_xll.RtGet("IDN",$K50,IF(OR($D50="BTP,$E11=""CTZ"),R$5,R$4))</f>
        <v>#VALUE!</v>
      </c>
      <c r="S50" s="28" t="e">
        <f>_xll.xlBondYieldSensCustom(D50,E50,F50,G50,H50,I50,J50,B50,R50,$AM$2,$AN$2,$AO$2,$AP$2,$AQ$2,"y")</f>
        <v>#NUM!</v>
      </c>
      <c r="T50" s="23" t="e">
        <f t="shared" si="3"/>
        <v>#VALUE!</v>
      </c>
      <c r="U50" s="83" t="e">
        <f>_xll.xlBondYieldSensCustom(D50,E50,F50,G50,H50,I50,J50,B50,T50,$AM$2,$AN$2,$AO$2,$AP$2,$AQ$2,"y")</f>
        <v>#NUM!</v>
      </c>
      <c r="V50" s="23"/>
      <c r="W50" s="23" t="e">
        <f>IF(ISNUMBER(V50),V50,T50)</f>
        <v>#VALUE!</v>
      </c>
      <c r="X50" s="22"/>
      <c r="Y50" s="22" t="e">
        <f t="shared" si="5"/>
        <v>#NUM!</v>
      </c>
      <c r="Z50" s="23" t="e">
        <f>_xll.xlBondPriceCustom(D50,E50,F50,G50,H50,I50,J50,B50,Y50,$AM$2,$AN$2,$AO$2,$AP$2,$AQ$2)</f>
        <v>#NUM!</v>
      </c>
      <c r="AA50" s="20" t="e">
        <f t="array" ref="AA50:AG50">_xll.xlBondYieldSens(D50,E50,F50,G50,H50,I50,J50,B50,W50,$AA$5&amp;$AB$5&amp;$AC$5&amp;$AD$5&amp;$AE$5&amp;$AF$5&amp;$AG$5)</f>
        <v>#NUM!</v>
      </c>
      <c r="AB50" s="20" t="e">
        <v>#NUM!</v>
      </c>
      <c r="AC50" s="20" t="e">
        <v>#NUM!</v>
      </c>
      <c r="AD50" s="20" t="e">
        <v>#NUM!</v>
      </c>
      <c r="AE50" s="20" t="e">
        <v>#NUM!</v>
      </c>
      <c r="AF50" s="20" t="e">
        <v>#NUM!</v>
      </c>
      <c r="AG50" s="24" t="e">
        <v>#NUM!</v>
      </c>
      <c r="AH50" s="22" t="e">
        <f>_xll.xlBondYieldSensCustom(D50,E50,F50,G50,H50,I50,J50,B50,W50,$AM$2,$AN$2,$AO$2,$AP$2,$AQ$2,"y")</f>
        <v>#NUM!</v>
      </c>
      <c r="AI50" s="22" t="e">
        <f>IF(OR(TRIM($D50)="CTZ",TRIM($D50)="BTP",TRIM($D50)="BOT"),_xll.xlShmInterpRateFwd("EONIA",_xll.xlDateSettle("target",$B$2,2),0,4,$F50),"")</f>
        <v>#VALUE!</v>
      </c>
      <c r="AJ50" s="85" t="e">
        <f t="shared" si="6"/>
        <v>#NUM!</v>
      </c>
    </row>
    <row r="51" spans="1:36" ht="15.75" x14ac:dyDescent="0.25">
      <c r="A51" s="2"/>
      <c r="B51" s="19" t="e">
        <f>MAX(_xll.xlBondValueDate(D51,$B$2),I51)</f>
        <v>#NUM!</v>
      </c>
      <c r="C51" s="20" t="e">
        <v>#N/A</v>
      </c>
      <c r="D51" s="86" t="e">
        <f t="array" ref="D51:N51">_xll.BondInfo(C51,$D$5:$N$5)</f>
        <v>#VALUE!</v>
      </c>
      <c r="E51" s="20" t="e">
        <v>#VALUE!</v>
      </c>
      <c r="F51" s="87" t="e">
        <v>#VALUE!</v>
      </c>
      <c r="G51" s="19" t="e">
        <v>#VALUE!</v>
      </c>
      <c r="H51" s="19" t="e">
        <v>#VALUE!</v>
      </c>
      <c r="I51" s="19" t="e">
        <v>#VALUE!</v>
      </c>
      <c r="J51" s="20" t="e">
        <v>#VALUE!</v>
      </c>
      <c r="K51" s="20" t="e">
        <v>#VALUE!</v>
      </c>
      <c r="L51" s="20" t="e">
        <v>#VALUE!</v>
      </c>
      <c r="M51" s="20" t="e">
        <v>#VALUE!</v>
      </c>
      <c r="N51" s="20" t="e">
        <v>#VALUE!</v>
      </c>
      <c r="O51" s="21" t="e">
        <f>_xll.BondOutstanding(C51)</f>
        <v>#VALUE!</v>
      </c>
      <c r="P51" s="25" t="e">
        <f>_xll.xlBondYieldSensCustom(D51,E51,F51,G51,H51,I51,J51,B51,Q51,$AM$2,$AN$2,$AO$2,$AP$2,$AQ$2,"y")</f>
        <v>#NUM!</v>
      </c>
      <c r="Q51" s="26" t="e">
        <f>_xll.RtGet("IDN",$K51,IF(OR($D51="BTP,$E11=""CTZ"),Q$5,Q$4))</f>
        <v>#VALUE!</v>
      </c>
      <c r="R51" s="27" t="e">
        <f>_xll.RtGet("IDN",$K51,IF(OR($D51="BTP,$E11=""CTZ"),R$5,R$4))</f>
        <v>#VALUE!</v>
      </c>
      <c r="S51" s="28" t="e">
        <f>_xll.xlBondYieldSensCustom(D51,E51,F51,G51,H51,I51,J51,B51,R51,$AM$2,$AN$2,$AO$2,$AP$2,$AQ$2,"y")</f>
        <v>#NUM!</v>
      </c>
      <c r="T51" s="23" t="e">
        <f t="shared" si="3"/>
        <v>#VALUE!</v>
      </c>
      <c r="U51" s="83" t="e">
        <f>_xll.xlBondYieldSensCustom(D51,E51,F51,G51,H51,I51,J51,B51,T51,$AM$2,$AN$2,$AO$2,$AP$2,$AQ$2,"y")</f>
        <v>#NUM!</v>
      </c>
      <c r="V51" s="23"/>
      <c r="W51" s="23" t="e">
        <f t="shared" si="4"/>
        <v>#VALUE!</v>
      </c>
      <c r="X51" s="22"/>
      <c r="Y51" s="22"/>
      <c r="Z51" s="23" t="e">
        <f>_xll.xlBondPriceCustom(D51,E51,F51,G51,H51,I51,J51,B51,Y51,$AM$2,$AN$2,$AO$2,$AP$2,$AQ$2)</f>
        <v>#NUM!</v>
      </c>
      <c r="AA51" s="20" t="e">
        <f t="array" ref="AA51:AG51">_xll.xlBondYieldSens(D51,E51,F51,G51,H51,I51,J51,B51,W51,$AA$5&amp;$AB$5&amp;$AC$5&amp;$AD$5&amp;$AE$5&amp;$AF$5&amp;$AG$5)</f>
        <v>#NUM!</v>
      </c>
      <c r="AB51" s="20" t="e">
        <v>#NUM!</v>
      </c>
      <c r="AC51" s="20" t="e">
        <v>#NUM!</v>
      </c>
      <c r="AD51" s="20" t="e">
        <v>#NUM!</v>
      </c>
      <c r="AE51" s="20" t="e">
        <v>#NUM!</v>
      </c>
      <c r="AF51" s="20" t="e">
        <v>#NUM!</v>
      </c>
      <c r="AG51" s="24" t="e">
        <v>#NUM!</v>
      </c>
      <c r="AH51" s="22" t="e">
        <f>_xll.xlBondYieldSensCustom(D51,E51,F51,G51,H51,I51,J51,B51,W51,$AM$2,$AN$2,$AO$2,$AP$2,$AQ$2,"y")</f>
        <v>#NUM!</v>
      </c>
      <c r="AI51" s="22" t="e">
        <f>IF(OR(TRIM($D51)="CTZ",TRIM($D51)="BTP",TRIM($D51)="BOT"),_xll.xlShmInterpRateFwd("EONIA",_xll.xlDateSettle("target",$B$2,2),0,4,$F51),"")</f>
        <v>#VALUE!</v>
      </c>
      <c r="AJ51" s="85" t="e">
        <f t="shared" si="6"/>
        <v>#VALUE!</v>
      </c>
    </row>
    <row r="52" spans="1:36" ht="15.75" x14ac:dyDescent="0.25">
      <c r="A52" s="2"/>
      <c r="B52" s="19" t="e">
        <f>MAX(_xll.xlBondValueDate(D52,$B$2),I52)</f>
        <v>#NUM!</v>
      </c>
      <c r="C52" s="20" t="e">
        <v>#N/A</v>
      </c>
      <c r="D52" s="86" t="e">
        <f t="array" ref="D52:N52">_xll.BondInfo(C52,$D$5:$N$5)</f>
        <v>#VALUE!</v>
      </c>
      <c r="E52" s="20" t="e">
        <v>#VALUE!</v>
      </c>
      <c r="F52" s="87" t="e">
        <v>#VALUE!</v>
      </c>
      <c r="G52" s="19" t="e">
        <v>#VALUE!</v>
      </c>
      <c r="H52" s="19" t="e">
        <v>#VALUE!</v>
      </c>
      <c r="I52" s="19" t="e">
        <v>#VALUE!</v>
      </c>
      <c r="J52" s="20" t="e">
        <v>#VALUE!</v>
      </c>
      <c r="K52" s="20" t="e">
        <v>#VALUE!</v>
      </c>
      <c r="L52" s="20" t="e">
        <v>#VALUE!</v>
      </c>
      <c r="M52" s="20" t="e">
        <v>#VALUE!</v>
      </c>
      <c r="N52" s="20" t="e">
        <v>#VALUE!</v>
      </c>
      <c r="O52" s="21" t="e">
        <f>_xll.BondOutstanding(C52)</f>
        <v>#VALUE!</v>
      </c>
      <c r="P52" s="25" t="e">
        <f>_xll.xlBondYieldSensCustom(D52,E52,F52,G52,H52,I52,J52,B52,Q52,$AM$2,$AN$2,$AO$2,$AP$2,$AQ$2,"y")</f>
        <v>#NUM!</v>
      </c>
      <c r="Q52" s="26" t="e">
        <f>_xll.RtGet("IDN",$K52,IF(OR($D52="BTP,$E11=""CTZ"),Q$5,Q$4))</f>
        <v>#VALUE!</v>
      </c>
      <c r="R52" s="27" t="e">
        <f>_xll.RtGet("IDN",$K52,IF(OR($D52="BTP,$E11=""CTZ"),R$5,R$4))</f>
        <v>#VALUE!</v>
      </c>
      <c r="S52" s="28" t="e">
        <f>_xll.xlBondYieldSensCustom(D52,E52,F52,G52,H52,I52,J52,B52,R52,$AM$2,$AN$2,$AO$2,$AP$2,$AQ$2,"y")</f>
        <v>#NUM!</v>
      </c>
      <c r="T52" s="23" t="e">
        <f t="shared" si="3"/>
        <v>#VALUE!</v>
      </c>
      <c r="U52" s="83" t="e">
        <f>_xll.xlBondYieldSensCustom(D52,E52,F52,G52,H52,I52,J52,B52,T52,$AM$2,$AN$2,$AO$2,$AP$2,$AQ$2,"y")</f>
        <v>#NUM!</v>
      </c>
      <c r="V52" s="23"/>
      <c r="W52" s="23" t="e">
        <f t="shared" si="4"/>
        <v>#VALUE!</v>
      </c>
      <c r="X52" s="22"/>
      <c r="Y52" s="22" t="e">
        <f t="shared" si="5"/>
        <v>#NUM!</v>
      </c>
      <c r="Z52" s="23" t="e">
        <f>_xll.xlBondPriceCustom(D52,E52,F52,G52,H52,I52,J52,B52,Y52,$AM$2,$AN$2,$AO$2,$AP$2,$AQ$2)</f>
        <v>#NUM!</v>
      </c>
      <c r="AA52" s="20" t="e">
        <f t="array" ref="AA52:AG52">_xll.xlBondYieldSens(D52,E52,F52,G52,H52,I52,J52,B52,W52,$AA$5&amp;$AB$5&amp;$AC$5&amp;$AD$5&amp;$AE$5&amp;$AF$5&amp;$AG$5)</f>
        <v>#NUM!</v>
      </c>
      <c r="AB52" s="20" t="e">
        <v>#NUM!</v>
      </c>
      <c r="AC52" s="20" t="e">
        <v>#NUM!</v>
      </c>
      <c r="AD52" s="20" t="e">
        <v>#NUM!</v>
      </c>
      <c r="AE52" s="20" t="e">
        <v>#NUM!</v>
      </c>
      <c r="AF52" s="20" t="e">
        <v>#NUM!</v>
      </c>
      <c r="AG52" s="24" t="e">
        <v>#NUM!</v>
      </c>
      <c r="AH52" s="22" t="e">
        <f>_xll.xlBondYieldSensCustom(D52,E52,F52,G52,H52,I52,J52,B52,W52,$AM$2,$AN$2,$AO$2,$AP$2,$AQ$2,"y")</f>
        <v>#NUM!</v>
      </c>
      <c r="AI52" s="22" t="e">
        <f>IF(OR(TRIM($D52)="CTZ",TRIM($D52)="BTP",TRIM($D52)="BOT"),_xll.xlShmInterpRateFwd("EONIA",_xll.xlDateSettle("target",$B$2,2),0,4,$F52),"")</f>
        <v>#VALUE!</v>
      </c>
      <c r="AJ52" s="85" t="e">
        <f t="shared" si="6"/>
        <v>#NUM!</v>
      </c>
    </row>
    <row r="53" spans="1:36" ht="15.75" x14ac:dyDescent="0.25">
      <c r="A53" s="2"/>
      <c r="B53" s="19" t="e">
        <f>MAX(_xll.xlBondValueDate(D53,$B$2),I53)</f>
        <v>#NUM!</v>
      </c>
      <c r="C53" s="20" t="e">
        <v>#N/A</v>
      </c>
      <c r="D53" s="86" t="e">
        <f t="array" ref="D53:N53">_xll.BondInfo(C53,$D$5:$N$5)</f>
        <v>#VALUE!</v>
      </c>
      <c r="E53" s="20" t="e">
        <v>#VALUE!</v>
      </c>
      <c r="F53" s="87" t="e">
        <v>#VALUE!</v>
      </c>
      <c r="G53" s="19" t="e">
        <v>#VALUE!</v>
      </c>
      <c r="H53" s="19" t="e">
        <v>#VALUE!</v>
      </c>
      <c r="I53" s="19" t="e">
        <v>#VALUE!</v>
      </c>
      <c r="J53" s="20" t="e">
        <v>#VALUE!</v>
      </c>
      <c r="K53" s="20" t="e">
        <v>#VALUE!</v>
      </c>
      <c r="L53" s="20" t="e">
        <v>#VALUE!</v>
      </c>
      <c r="M53" s="20" t="e">
        <v>#VALUE!</v>
      </c>
      <c r="N53" s="20" t="e">
        <v>#VALUE!</v>
      </c>
      <c r="O53" s="21" t="e">
        <f>_xll.BondOutstanding(C53)</f>
        <v>#VALUE!</v>
      </c>
      <c r="P53" s="25" t="e">
        <f>_xll.xlBondYieldSensCustom(D53,E53,F53,G53,H53,I53,J53,B53,Q53,$AM$2,$AN$2,$AO$2,$AP$2,$AQ$2,"y")</f>
        <v>#NUM!</v>
      </c>
      <c r="Q53" s="26" t="e">
        <f>_xll.RtGet("IDN",$K53,IF(OR($D53="BTP,$E11=""CTZ"),Q$5,Q$4))</f>
        <v>#VALUE!</v>
      </c>
      <c r="R53" s="27" t="e">
        <f>_xll.RtGet("IDN",$K53,IF(OR($D53="BTP,$E11=""CTZ"),R$5,R$4))</f>
        <v>#VALUE!</v>
      </c>
      <c r="S53" s="28" t="e">
        <f>_xll.xlBondYieldSensCustom(D53,E53,F53,G53,H53,I53,J53,B53,R53,$AM$2,$AN$2,$AO$2,$AP$2,$AQ$2,"y")</f>
        <v>#NUM!</v>
      </c>
      <c r="T53" s="23" t="e">
        <f t="shared" si="3"/>
        <v>#VALUE!</v>
      </c>
      <c r="U53" s="83" t="e">
        <f>_xll.xlBondYieldSensCustom(D53,E53,F53,G53,H53,I53,J53,B53,T53,$AM$2,$AN$2,$AO$2,$AP$2,$AQ$2,"y")</f>
        <v>#NUM!</v>
      </c>
      <c r="V53" s="23"/>
      <c r="W53" s="23" t="e">
        <f t="shared" si="4"/>
        <v>#VALUE!</v>
      </c>
      <c r="X53" s="22"/>
      <c r="Y53" s="22" t="e">
        <f t="shared" si="5"/>
        <v>#NUM!</v>
      </c>
      <c r="Z53" s="23" t="e">
        <f>_xll.xlBondPriceCustom(D53,E53,F53,G53,H53,I53,J53,B53,Y53,$AM$2,$AN$2,$AO$2,$AP$2,$AQ$2)</f>
        <v>#NUM!</v>
      </c>
      <c r="AA53" s="20" t="e">
        <f t="array" ref="AA53:AG53">_xll.xlBondYieldSens(D53,E53,F53,G53,H53,I53,J53,B53,W53,$AA$5&amp;$AB$5&amp;$AC$5&amp;$AD$5&amp;$AE$5&amp;$AF$5&amp;$AG$5)</f>
        <v>#NUM!</v>
      </c>
      <c r="AB53" s="20" t="e">
        <v>#NUM!</v>
      </c>
      <c r="AC53" s="20" t="e">
        <v>#NUM!</v>
      </c>
      <c r="AD53" s="20" t="e">
        <v>#NUM!</v>
      </c>
      <c r="AE53" s="20" t="e">
        <v>#NUM!</v>
      </c>
      <c r="AF53" s="20" t="e">
        <v>#NUM!</v>
      </c>
      <c r="AG53" s="24" t="e">
        <v>#NUM!</v>
      </c>
      <c r="AH53" s="22" t="e">
        <f>_xll.xlBondYieldSensCustom(D53,E53,F53,G53,H53,I53,J53,B53,W53,$AM$2,$AN$2,$AO$2,$AP$2,$AQ$2,"y")</f>
        <v>#NUM!</v>
      </c>
      <c r="AI53" s="22" t="e">
        <f>IF(OR(TRIM($D53)="CTZ",TRIM($D53)="BTP",TRIM($D53)="BOT"),_xll.xlShmInterpRateFwd("EONIA",_xll.xlDateSettle("target",$B$2,2),0,4,$F53),"")</f>
        <v>#VALUE!</v>
      </c>
      <c r="AJ53" s="85" t="e">
        <f t="shared" si="6"/>
        <v>#NUM!</v>
      </c>
    </row>
    <row r="54" spans="1:36" ht="15.75" x14ac:dyDescent="0.25">
      <c r="A54" s="2"/>
      <c r="B54" s="19" t="e">
        <f>MAX(_xll.xlBondValueDate(D54,$B$2),I54)</f>
        <v>#NUM!</v>
      </c>
      <c r="C54" s="20" t="e">
        <v>#N/A</v>
      </c>
      <c r="D54" s="86" t="e">
        <f t="array" ref="D54:N54">_xll.BondInfo(C54,$D$5:$N$5)</f>
        <v>#VALUE!</v>
      </c>
      <c r="E54" s="20" t="e">
        <v>#VALUE!</v>
      </c>
      <c r="F54" s="87" t="e">
        <v>#VALUE!</v>
      </c>
      <c r="G54" s="19" t="e">
        <v>#VALUE!</v>
      </c>
      <c r="H54" s="19" t="e">
        <v>#VALUE!</v>
      </c>
      <c r="I54" s="19" t="e">
        <v>#VALUE!</v>
      </c>
      <c r="J54" s="20" t="e">
        <v>#VALUE!</v>
      </c>
      <c r="K54" s="20" t="e">
        <v>#VALUE!</v>
      </c>
      <c r="L54" s="20" t="e">
        <v>#VALUE!</v>
      </c>
      <c r="M54" s="20" t="e">
        <v>#VALUE!</v>
      </c>
      <c r="N54" s="20" t="e">
        <v>#VALUE!</v>
      </c>
      <c r="O54" s="21" t="e">
        <f>_xll.BondOutstanding(C54)</f>
        <v>#VALUE!</v>
      </c>
      <c r="P54" s="25" t="e">
        <f>_xll.xlBondYieldSensCustom(D54,E54,F54,G54,H54,I54,J54,B54,Q54,$AM$2,$AN$2,$AO$2,$AP$2,$AQ$2,"y")</f>
        <v>#NUM!</v>
      </c>
      <c r="Q54" s="26" t="e">
        <f>_xll.RtGet("IDN",$K54,IF(OR($D54="BTP,$E11=""CTZ"),Q$5,Q$4))</f>
        <v>#VALUE!</v>
      </c>
      <c r="R54" s="27" t="e">
        <f>_xll.RtGet("IDN",$K54,IF(OR($D54="BTP,$E11=""CTZ"),R$5,R$4))</f>
        <v>#VALUE!</v>
      </c>
      <c r="S54" s="28" t="e">
        <f>_xll.xlBondYieldSensCustom(D54,E54,F54,G54,H54,I54,J54,B54,R54,$AM$2,$AN$2,$AO$2,$AP$2,$AQ$2,"y")</f>
        <v>#NUM!</v>
      </c>
      <c r="T54" s="23" t="e">
        <f t="shared" si="3"/>
        <v>#VALUE!</v>
      </c>
      <c r="U54" s="83" t="e">
        <f>_xll.xlBondYieldSensCustom(D54,E54,F54,G54,H54,I54,J54,B54,T54,$AM$2,$AN$2,$AO$2,$AP$2,$AQ$2,"y")</f>
        <v>#NUM!</v>
      </c>
      <c r="V54" s="23"/>
      <c r="W54" s="23" t="e">
        <f t="shared" si="4"/>
        <v>#VALUE!</v>
      </c>
      <c r="X54" s="22"/>
      <c r="Y54" s="22" t="e">
        <f t="shared" si="5"/>
        <v>#NUM!</v>
      </c>
      <c r="Z54" s="23" t="e">
        <f>_xll.xlBondPriceCustom(D54,E54,F54,G54,H54,I54,J54,B54,Y54,$AM$2,$AN$2,$AO$2,$AP$2,$AQ$2)</f>
        <v>#NUM!</v>
      </c>
      <c r="AA54" s="20" t="e">
        <f t="array" ref="AA54:AG54">_xll.xlBondYieldSens(D54,E54,F54,G54,H54,I54,J54,B54,W54,$AA$5&amp;$AB$5&amp;$AC$5&amp;$AD$5&amp;$AE$5&amp;$AF$5&amp;$AG$5)</f>
        <v>#NUM!</v>
      </c>
      <c r="AB54" s="20" t="e">
        <v>#NUM!</v>
      </c>
      <c r="AC54" s="20" t="e">
        <v>#NUM!</v>
      </c>
      <c r="AD54" s="20" t="e">
        <v>#NUM!</v>
      </c>
      <c r="AE54" s="20" t="e">
        <v>#NUM!</v>
      </c>
      <c r="AF54" s="20" t="e">
        <v>#NUM!</v>
      </c>
      <c r="AG54" s="24" t="e">
        <v>#NUM!</v>
      </c>
      <c r="AH54" s="22" t="e">
        <f>_xll.xlBondYieldSensCustom(D54,E54,F54,G54,H54,I54,J54,B54,W54,$AM$2,$AN$2,$AO$2,$AP$2,$AQ$2,"y")</f>
        <v>#NUM!</v>
      </c>
      <c r="AI54" s="22" t="e">
        <f>IF(OR(TRIM($D54)="CTZ",TRIM($D54)="BTP",TRIM($D54)="BOT"),_xll.xlShmInterpRateFwd("EONIA",_xll.xlDateSettle("target",$B$2,2),0,4,$F54),"")</f>
        <v>#VALUE!</v>
      </c>
      <c r="AJ54" s="85" t="e">
        <f t="shared" si="6"/>
        <v>#NUM!</v>
      </c>
    </row>
    <row r="55" spans="1:36" ht="15.75" x14ac:dyDescent="0.25">
      <c r="A55" s="2"/>
      <c r="B55" s="19" t="e">
        <f>MAX(_xll.xlBondValueDate(D55,$B$2),I55)</f>
        <v>#NUM!</v>
      </c>
      <c r="C55" s="20" t="e">
        <v>#N/A</v>
      </c>
      <c r="D55" s="86" t="e">
        <f t="array" ref="D55:N55">_xll.BondInfo(C55,$D$5:$N$5)</f>
        <v>#VALUE!</v>
      </c>
      <c r="E55" s="20" t="e">
        <v>#VALUE!</v>
      </c>
      <c r="F55" s="87" t="e">
        <v>#VALUE!</v>
      </c>
      <c r="G55" s="19" t="e">
        <v>#VALUE!</v>
      </c>
      <c r="H55" s="19" t="e">
        <v>#VALUE!</v>
      </c>
      <c r="I55" s="19" t="e">
        <v>#VALUE!</v>
      </c>
      <c r="J55" s="20" t="e">
        <v>#VALUE!</v>
      </c>
      <c r="K55" s="20" t="e">
        <v>#VALUE!</v>
      </c>
      <c r="L55" s="20" t="e">
        <v>#VALUE!</v>
      </c>
      <c r="M55" s="20" t="e">
        <v>#VALUE!</v>
      </c>
      <c r="N55" s="20" t="e">
        <v>#VALUE!</v>
      </c>
      <c r="O55" s="21" t="e">
        <f>_xll.BondOutstanding(C55)</f>
        <v>#VALUE!</v>
      </c>
      <c r="P55" s="25" t="e">
        <f>_xll.xlBondYieldSensCustom(D55,E55,F55,G55,H55,I55,J55,B55,Q55,$AM$2,$AN$2,$AO$2,$AP$2,$AQ$2,"y")</f>
        <v>#NUM!</v>
      </c>
      <c r="Q55" s="26" t="e">
        <f>_xll.RtGet("IDN",$K55,IF(OR($D55="BTP,$E11=""CTZ"),Q$5,Q$4))</f>
        <v>#VALUE!</v>
      </c>
      <c r="R55" s="27" t="e">
        <f>_xll.RtGet("IDN",$K55,IF(OR($D55="BTP,$E11=""CTZ"),R$5,R$4))</f>
        <v>#VALUE!</v>
      </c>
      <c r="S55" s="28" t="e">
        <f>_xll.xlBondYieldSensCustom(D55,E55,F55,G55,H55,I55,J55,B55,R55,$AM$2,$AN$2,$AO$2,$AP$2,$AQ$2,"y")</f>
        <v>#NUM!</v>
      </c>
      <c r="T55" s="23" t="e">
        <f t="shared" si="3"/>
        <v>#VALUE!</v>
      </c>
      <c r="U55" s="83" t="e">
        <f>_xll.xlBondYieldSensCustom(D55,E55,F55,G55,H55,I55,J55,B55,T55,$AM$2,$AN$2,$AO$2,$AP$2,$AQ$2,"y")</f>
        <v>#NUM!</v>
      </c>
      <c r="V55" s="23"/>
      <c r="W55" s="23" t="e">
        <f t="shared" si="4"/>
        <v>#VALUE!</v>
      </c>
      <c r="X55" s="22"/>
      <c r="Y55" s="22" t="e">
        <f t="shared" si="5"/>
        <v>#NUM!</v>
      </c>
      <c r="Z55" s="23" t="e">
        <f>_xll.xlBondPriceCustom(D55,E55,F55,G55,H55,I55,J55,B55,Y55,$AM$2,$AN$2,$AO$2,$AP$2,$AQ$2)</f>
        <v>#NUM!</v>
      </c>
      <c r="AA55" s="20" t="e">
        <f t="array" ref="AA55:AG55">_xll.xlBondYieldSens(D55,E55,F55,G55,H55,I55,J55,B55,W55,$AA$5&amp;$AB$5&amp;$AC$5&amp;$AD$5&amp;$AE$5&amp;$AF$5&amp;$AG$5)</f>
        <v>#NUM!</v>
      </c>
      <c r="AB55" s="20" t="e">
        <v>#NUM!</v>
      </c>
      <c r="AC55" s="20" t="e">
        <v>#NUM!</v>
      </c>
      <c r="AD55" s="20" t="e">
        <v>#NUM!</v>
      </c>
      <c r="AE55" s="20" t="e">
        <v>#NUM!</v>
      </c>
      <c r="AF55" s="20" t="e">
        <v>#NUM!</v>
      </c>
      <c r="AG55" s="24" t="e">
        <v>#NUM!</v>
      </c>
      <c r="AH55" s="22" t="e">
        <f>_xll.xlBondYieldSensCustom(D55,E55,F55,G55,H55,I55,J55,B55,W55,$AM$2,$AN$2,$AO$2,$AP$2,$AQ$2,"y")</f>
        <v>#NUM!</v>
      </c>
      <c r="AI55" s="22" t="e">
        <f>IF(OR(TRIM($D55)="CTZ",TRIM($D55)="BTP",TRIM($D55)="BOT"),_xll.xlShmInterpRateFwd("EONIA",_xll.xlDateSettle("target",$B$2,2),0,4,$F55),"")</f>
        <v>#VALUE!</v>
      </c>
      <c r="AJ55" s="85" t="e">
        <f t="shared" si="6"/>
        <v>#NUM!</v>
      </c>
    </row>
    <row r="56" spans="1:36" ht="15.75" x14ac:dyDescent="0.25">
      <c r="A56" s="2"/>
      <c r="B56" s="19" t="e">
        <f>MAX(_xll.xlBondValueDate(D56,$B$2),I56)</f>
        <v>#NUM!</v>
      </c>
      <c r="C56" s="20" t="e">
        <v>#N/A</v>
      </c>
      <c r="D56" s="86" t="e">
        <f t="array" ref="D56:N56">_xll.BondInfo(C56,$D$5:$N$5)</f>
        <v>#VALUE!</v>
      </c>
      <c r="E56" s="20" t="e">
        <v>#VALUE!</v>
      </c>
      <c r="F56" s="87" t="e">
        <v>#VALUE!</v>
      </c>
      <c r="G56" s="19" t="e">
        <v>#VALUE!</v>
      </c>
      <c r="H56" s="19" t="e">
        <v>#VALUE!</v>
      </c>
      <c r="I56" s="19" t="e">
        <v>#VALUE!</v>
      </c>
      <c r="J56" s="20" t="e">
        <v>#VALUE!</v>
      </c>
      <c r="K56" s="20" t="e">
        <v>#VALUE!</v>
      </c>
      <c r="L56" s="20" t="e">
        <v>#VALUE!</v>
      </c>
      <c r="M56" s="20" t="e">
        <v>#VALUE!</v>
      </c>
      <c r="N56" s="20" t="e">
        <v>#VALUE!</v>
      </c>
      <c r="O56" s="21" t="e">
        <f>_xll.BondOutstanding(C56)</f>
        <v>#VALUE!</v>
      </c>
      <c r="P56" s="25" t="e">
        <f>_xll.xlBondYieldSensCustom(D56,E56,F56,G56,H56,I56,J56,B56,Q56,$AM$2,$AN$2,$AO$2,$AP$2,$AQ$2,"y")</f>
        <v>#NUM!</v>
      </c>
      <c r="Q56" s="26" t="e">
        <f>_xll.RtGet("IDN",$K56,IF(OR($D56="BTP,$E11=""CTZ"),Q$5,Q$4))</f>
        <v>#VALUE!</v>
      </c>
      <c r="R56" s="27" t="e">
        <f>_xll.RtGet("IDN",$K56,IF(OR($D56="BTP,$E11=""CTZ"),R$5,R$4))</f>
        <v>#VALUE!</v>
      </c>
      <c r="S56" s="28" t="e">
        <f>_xll.xlBondYieldSensCustom(D56,E56,F56,G56,H56,I56,J56,B56,R56,$AM$2,$AN$2,$AO$2,$AP$2,$AQ$2,"y")</f>
        <v>#NUM!</v>
      </c>
      <c r="T56" s="23" t="e">
        <f t="shared" si="3"/>
        <v>#VALUE!</v>
      </c>
      <c r="U56" s="83" t="e">
        <f>_xll.xlBondYieldSensCustom(D56,E56,F56,G56,H56,I56,J56,B56,T56,$AM$2,$AN$2,$AO$2,$AP$2,$AQ$2,"y")</f>
        <v>#NUM!</v>
      </c>
      <c r="V56" s="23"/>
      <c r="W56" s="23" t="e">
        <f t="shared" si="4"/>
        <v>#VALUE!</v>
      </c>
      <c r="X56" s="22"/>
      <c r="Y56" s="22" t="e">
        <f t="shared" si="5"/>
        <v>#NUM!</v>
      </c>
      <c r="Z56" s="23" t="e">
        <f>_xll.xlBondPriceCustom(D56,E56,F56,G56,H56,I56,J56,B56,Y56,$AM$2,$AN$2,$AO$2,$AP$2,$AQ$2)</f>
        <v>#NUM!</v>
      </c>
      <c r="AA56" s="20" t="e">
        <f t="array" ref="AA56:AG56">_xll.xlBondYieldSens(D56,E56,F56,G56,H56,I56,J56,B56,W56,$AA$5&amp;$AB$5&amp;$AC$5&amp;$AD$5&amp;$AE$5&amp;$AF$5&amp;$AG$5)</f>
        <v>#NUM!</v>
      </c>
      <c r="AB56" s="20" t="e">
        <v>#NUM!</v>
      </c>
      <c r="AC56" s="20" t="e">
        <v>#NUM!</v>
      </c>
      <c r="AD56" s="20" t="e">
        <v>#NUM!</v>
      </c>
      <c r="AE56" s="20" t="e">
        <v>#NUM!</v>
      </c>
      <c r="AF56" s="20" t="e">
        <v>#NUM!</v>
      </c>
      <c r="AG56" s="24" t="e">
        <v>#NUM!</v>
      </c>
      <c r="AH56" s="22" t="e">
        <f>_xll.xlBondYieldSensCustom(D56,E56,F56,G56,H56,I56,J56,B56,W56,$AM$2,$AN$2,$AO$2,$AP$2,$AQ$2,"y")</f>
        <v>#NUM!</v>
      </c>
      <c r="AI56" s="22" t="e">
        <f>IF(OR(TRIM($D56)="CTZ",TRIM($D56)="BTP",TRIM($D56)="BOT"),_xll.xlShmInterpRateFwd("EONIA",_xll.xlDateSettle("target",$B$2,2),0,4,$F56),"")</f>
        <v>#VALUE!</v>
      </c>
      <c r="AJ56" s="85" t="e">
        <f t="shared" si="6"/>
        <v>#NUM!</v>
      </c>
    </row>
    <row r="57" spans="1:36" ht="15.75" x14ac:dyDescent="0.25">
      <c r="A57" s="2"/>
      <c r="B57" s="19" t="e">
        <f>MAX(_xll.xlBondValueDate(D57,$B$2),I57)</f>
        <v>#NUM!</v>
      </c>
      <c r="C57" s="20" t="e">
        <v>#N/A</v>
      </c>
      <c r="D57" s="86" t="e">
        <f t="array" ref="D57:N57">_xll.BondInfo(C57,$D$5:$N$5)</f>
        <v>#VALUE!</v>
      </c>
      <c r="E57" s="20" t="e">
        <v>#VALUE!</v>
      </c>
      <c r="F57" s="87" t="e">
        <v>#VALUE!</v>
      </c>
      <c r="G57" s="19" t="e">
        <v>#VALUE!</v>
      </c>
      <c r="H57" s="19" t="e">
        <v>#VALUE!</v>
      </c>
      <c r="I57" s="19" t="e">
        <v>#VALUE!</v>
      </c>
      <c r="J57" s="20" t="e">
        <v>#VALUE!</v>
      </c>
      <c r="K57" s="20" t="e">
        <v>#VALUE!</v>
      </c>
      <c r="L57" s="20" t="e">
        <v>#VALUE!</v>
      </c>
      <c r="M57" s="20" t="e">
        <v>#VALUE!</v>
      </c>
      <c r="N57" s="20" t="e">
        <v>#VALUE!</v>
      </c>
      <c r="O57" s="21" t="e">
        <f>_xll.BondOutstanding(C57)</f>
        <v>#VALUE!</v>
      </c>
      <c r="P57" s="25" t="e">
        <f>_xll.xlBondYieldSensCustom(D57,E57,F57,G57,H57,I57,J57,B57,Q57,$AM$2,$AN$2,$AO$2,$AP$2,$AQ$2,"y")</f>
        <v>#NUM!</v>
      </c>
      <c r="Q57" s="26" t="e">
        <f>_xll.RtGet("IDN",$K57,IF(OR($D57="BTP,$E11=""CTZ"),Q$5,Q$4))</f>
        <v>#VALUE!</v>
      </c>
      <c r="R57" s="27" t="e">
        <f>_xll.RtGet("IDN",$K57,IF(OR($D57="BTP,$E11=""CTZ"),R$5,R$4))</f>
        <v>#VALUE!</v>
      </c>
      <c r="S57" s="28" t="e">
        <f>_xll.xlBondYieldSensCustom(D57,E57,F57,G57,H57,I57,J57,B57,R57,$AM$2,$AN$2,$AO$2,$AP$2,$AQ$2,"y")</f>
        <v>#NUM!</v>
      </c>
      <c r="T57" s="23" t="e">
        <f t="shared" si="3"/>
        <v>#VALUE!</v>
      </c>
      <c r="U57" s="83" t="e">
        <f>_xll.xlBondYieldSensCustom(D57,E57,F57,G57,H57,I57,J57,B57,T57,$AM$2,$AN$2,$AO$2,$AP$2,$AQ$2,"y")</f>
        <v>#NUM!</v>
      </c>
      <c r="V57" s="23"/>
      <c r="W57" s="23" t="e">
        <f t="shared" si="4"/>
        <v>#VALUE!</v>
      </c>
      <c r="X57" s="22"/>
      <c r="Y57" s="22" t="e">
        <f t="shared" si="5"/>
        <v>#NUM!</v>
      </c>
      <c r="Z57" s="23" t="e">
        <f>_xll.xlBondPriceCustom(D57,E57,F57,G57,H57,I57,J57,B57,Y57,$AM$2,$AN$2,$AO$2,$AP$2,$AQ$2)</f>
        <v>#NUM!</v>
      </c>
      <c r="AA57" s="20" t="e">
        <f t="array" ref="AA57:AG57">_xll.xlBondYieldSens(D57,E57,F57,G57,H57,I57,J57,B57,W57,$AA$5&amp;$AB$5&amp;$AC$5&amp;$AD$5&amp;$AE$5&amp;$AF$5&amp;$AG$5)</f>
        <v>#NUM!</v>
      </c>
      <c r="AB57" s="20" t="e">
        <v>#NUM!</v>
      </c>
      <c r="AC57" s="20" t="e">
        <v>#NUM!</v>
      </c>
      <c r="AD57" s="20" t="e">
        <v>#NUM!</v>
      </c>
      <c r="AE57" s="20" t="e">
        <v>#NUM!</v>
      </c>
      <c r="AF57" s="20" t="e">
        <v>#NUM!</v>
      </c>
      <c r="AG57" s="24" t="e">
        <v>#NUM!</v>
      </c>
      <c r="AH57" s="22" t="e">
        <f>_xll.xlBondYieldSensCustom(D57,E57,F57,G57,H57,I57,J57,B57,W57,$AM$2,$AN$2,$AO$2,$AP$2,$AQ$2,"y")</f>
        <v>#NUM!</v>
      </c>
      <c r="AI57" s="22" t="e">
        <f>IF(OR(TRIM($D57)="CTZ",TRIM($D57)="BTP",TRIM($D57)="BOT"),_xll.xlShmInterpRateFwd("EONIA",_xll.xlDateSettle("target",$B$2,2),0,4,$F57),"")</f>
        <v>#VALUE!</v>
      </c>
      <c r="AJ57" s="85" t="e">
        <f t="shared" si="6"/>
        <v>#NUM!</v>
      </c>
    </row>
    <row r="58" spans="1:36" ht="15.75" x14ac:dyDescent="0.25">
      <c r="A58" s="2"/>
      <c r="B58" s="19" t="e">
        <f>MAX(_xll.xlBondValueDate(D58,$B$2),I58)</f>
        <v>#NUM!</v>
      </c>
      <c r="C58" s="20" t="e">
        <v>#N/A</v>
      </c>
      <c r="D58" s="86" t="e">
        <f t="array" ref="D58:N58">_xll.BondInfo(C58,$D$5:$N$5)</f>
        <v>#VALUE!</v>
      </c>
      <c r="E58" s="20" t="e">
        <v>#VALUE!</v>
      </c>
      <c r="F58" s="87" t="e">
        <v>#VALUE!</v>
      </c>
      <c r="G58" s="19" t="e">
        <v>#VALUE!</v>
      </c>
      <c r="H58" s="19" t="e">
        <v>#VALUE!</v>
      </c>
      <c r="I58" s="19" t="e">
        <v>#VALUE!</v>
      </c>
      <c r="J58" s="20" t="e">
        <v>#VALUE!</v>
      </c>
      <c r="K58" s="20" t="e">
        <v>#VALUE!</v>
      </c>
      <c r="L58" s="20" t="e">
        <v>#VALUE!</v>
      </c>
      <c r="M58" s="20" t="e">
        <v>#VALUE!</v>
      </c>
      <c r="N58" s="20" t="e">
        <v>#VALUE!</v>
      </c>
      <c r="O58" s="21" t="e">
        <f>_xll.BondOutstanding(C58)</f>
        <v>#VALUE!</v>
      </c>
      <c r="P58" s="25" t="e">
        <f>_xll.xlBondYieldSensCustom(D58,E58,F58,G58,H58,I58,J58,B58,Q58,$AM$2,$AN$2,$AO$2,$AP$2,$AQ$2,"y")</f>
        <v>#NUM!</v>
      </c>
      <c r="Q58" s="26" t="e">
        <f>_xll.RtGet("IDN",$K58,IF(OR($D58="BTP,$E11=""CTZ"),Q$5,Q$4))</f>
        <v>#VALUE!</v>
      </c>
      <c r="R58" s="27" t="e">
        <f>_xll.RtGet("IDN",$K58,IF(OR($D58="BTP,$E11=""CTZ"),R$5,R$4))</f>
        <v>#VALUE!</v>
      </c>
      <c r="S58" s="28" t="e">
        <f>_xll.xlBondYieldSensCustom(D58,E58,F58,G58,H58,I58,J58,B58,R58,$AM$2,$AN$2,$AO$2,$AP$2,$AQ$2,"y")</f>
        <v>#NUM!</v>
      </c>
      <c r="T58" s="23" t="e">
        <f t="shared" si="3"/>
        <v>#VALUE!</v>
      </c>
      <c r="U58" s="83" t="e">
        <f>_xll.xlBondYieldSensCustom(D58,E58,F58,G58,H58,I58,J58,B58,T58,$AM$2,$AN$2,$AO$2,$AP$2,$AQ$2,"y")</f>
        <v>#NUM!</v>
      </c>
      <c r="V58" s="23"/>
      <c r="W58" s="23" t="e">
        <f t="shared" si="4"/>
        <v>#VALUE!</v>
      </c>
      <c r="X58" s="22"/>
      <c r="Y58" s="22" t="e">
        <f t="shared" si="5"/>
        <v>#NUM!</v>
      </c>
      <c r="Z58" s="23" t="e">
        <f>_xll.xlBondPriceCustom(D58,E58,F58,G58,H58,I58,J58,B58,Y58,$AM$2,$AN$2,$AO$2,$AP$2,$AQ$2)</f>
        <v>#NUM!</v>
      </c>
      <c r="AA58" s="20" t="e">
        <f t="array" ref="AA58:AG58">_xll.xlBondYieldSens(D58,E58,F58,G58,H58,I58,J58,B58,W58,$AA$5&amp;$AB$5&amp;$AC$5&amp;$AD$5&amp;$AE$5&amp;$AF$5&amp;$AG$5)</f>
        <v>#NUM!</v>
      </c>
      <c r="AB58" s="20" t="e">
        <v>#NUM!</v>
      </c>
      <c r="AC58" s="20" t="e">
        <v>#NUM!</v>
      </c>
      <c r="AD58" s="20" t="e">
        <v>#NUM!</v>
      </c>
      <c r="AE58" s="20" t="e">
        <v>#NUM!</v>
      </c>
      <c r="AF58" s="20" t="e">
        <v>#NUM!</v>
      </c>
      <c r="AG58" s="24" t="e">
        <v>#NUM!</v>
      </c>
      <c r="AH58" s="22" t="e">
        <f>_xll.xlBondYieldSensCustom(D58,E58,F58,G58,H58,I58,J58,B58,W58,$AM$2,$AN$2,$AO$2,$AP$2,$AQ$2,"y")</f>
        <v>#NUM!</v>
      </c>
      <c r="AI58" s="22" t="e">
        <f>IF(OR(TRIM($D58)="CTZ",TRIM($D58)="BTP",TRIM($D58)="BOT"),_xll.xlShmInterpRateFwd("EONIA",_xll.xlDateSettle("target",$B$2,2),0,4,$F58),"")</f>
        <v>#VALUE!</v>
      </c>
      <c r="AJ58" s="85" t="e">
        <f t="shared" si="6"/>
        <v>#NUM!</v>
      </c>
    </row>
    <row r="59" spans="1:36" ht="15.75" x14ac:dyDescent="0.25">
      <c r="A59" s="2"/>
      <c r="B59" s="19" t="e">
        <f>MAX(_xll.xlBondValueDate(D59,$B$2),I59)</f>
        <v>#NUM!</v>
      </c>
      <c r="C59" s="20" t="e">
        <v>#N/A</v>
      </c>
      <c r="D59" s="86" t="e">
        <f t="array" ref="D59:N59">_xll.BondInfo(C59,$D$5:$N$5)</f>
        <v>#VALUE!</v>
      </c>
      <c r="E59" s="20" t="e">
        <v>#VALUE!</v>
      </c>
      <c r="F59" s="87" t="e">
        <v>#VALUE!</v>
      </c>
      <c r="G59" s="19" t="e">
        <v>#VALUE!</v>
      </c>
      <c r="H59" s="19" t="e">
        <v>#VALUE!</v>
      </c>
      <c r="I59" s="19" t="e">
        <v>#VALUE!</v>
      </c>
      <c r="J59" s="20" t="e">
        <v>#VALUE!</v>
      </c>
      <c r="K59" s="20" t="e">
        <v>#VALUE!</v>
      </c>
      <c r="L59" s="20" t="e">
        <v>#VALUE!</v>
      </c>
      <c r="M59" s="20" t="e">
        <v>#VALUE!</v>
      </c>
      <c r="N59" s="20" t="e">
        <v>#VALUE!</v>
      </c>
      <c r="O59" s="21" t="e">
        <f>_xll.BondOutstanding(C59)</f>
        <v>#VALUE!</v>
      </c>
      <c r="P59" s="25" t="e">
        <f>_xll.xlBondYieldSensCustom(D59,E59,F59,G59,H59,I59,J59,B59,Q59,$AM$2,$AN$2,$AO$2,$AP$2,$AQ$2,"y")</f>
        <v>#NUM!</v>
      </c>
      <c r="Q59" s="26" t="e">
        <f>_xll.RtGet("IDN",$K59,IF(OR($D59="BTP,$E11=""CTZ"),Q$5,Q$4))</f>
        <v>#VALUE!</v>
      </c>
      <c r="R59" s="27" t="e">
        <f>_xll.RtGet("IDN",$K59,IF(OR($D59="BTP,$E11=""CTZ"),R$5,R$4))</f>
        <v>#VALUE!</v>
      </c>
      <c r="S59" s="28" t="e">
        <f>_xll.xlBondYieldSensCustom(D59,E59,F59,G59,H59,I59,J59,B59,R59,$AM$2,$AN$2,$AO$2,$AP$2,$AQ$2,"y")</f>
        <v>#NUM!</v>
      </c>
      <c r="T59" s="23" t="e">
        <f t="shared" si="3"/>
        <v>#VALUE!</v>
      </c>
      <c r="U59" s="83" t="e">
        <f>_xll.xlBondYieldSensCustom(D59,E59,F59,G59,H59,I59,J59,B59,T59,$AM$2,$AN$2,$AO$2,$AP$2,$AQ$2,"y")</f>
        <v>#NUM!</v>
      </c>
      <c r="V59" s="23"/>
      <c r="W59" s="23" t="e">
        <f t="shared" si="4"/>
        <v>#VALUE!</v>
      </c>
      <c r="X59" s="22"/>
      <c r="Y59" s="22" t="e">
        <f t="shared" si="5"/>
        <v>#NUM!</v>
      </c>
      <c r="Z59" s="23" t="e">
        <f>_xll.xlBondPriceCustom(D59,E59,F59,G59,H59,I59,J59,B59,Y59,$AM$2,$AN$2,$AO$2,$AP$2,$AQ$2)</f>
        <v>#NUM!</v>
      </c>
      <c r="AA59" s="20" t="e">
        <f t="array" ref="AA59:AG59">_xll.xlBondYieldSens(D59,E59,F59,G59,H59,I59,J59,B59,W59,$AA$5&amp;$AB$5&amp;$AC$5&amp;$AD$5&amp;$AE$5&amp;$AF$5&amp;$AG$5)</f>
        <v>#NUM!</v>
      </c>
      <c r="AB59" s="20" t="e">
        <v>#NUM!</v>
      </c>
      <c r="AC59" s="20" t="e">
        <v>#NUM!</v>
      </c>
      <c r="AD59" s="20" t="e">
        <v>#NUM!</v>
      </c>
      <c r="AE59" s="20" t="e">
        <v>#NUM!</v>
      </c>
      <c r="AF59" s="20" t="e">
        <v>#NUM!</v>
      </c>
      <c r="AG59" s="24" t="e">
        <v>#NUM!</v>
      </c>
      <c r="AH59" s="22" t="e">
        <f>_xll.xlBondYieldSensCustom(D59,E59,F59,G59,H59,I59,J59,B59,W59,$AM$2,$AN$2,$AO$2,$AP$2,$AQ$2,"y")</f>
        <v>#NUM!</v>
      </c>
      <c r="AI59" s="22" t="e">
        <f>IF(OR(TRIM($D59)="CTZ",TRIM($D59)="BTP",TRIM($D59)="BOT"),_xll.xlShmInterpRateFwd("EONIA",_xll.xlDateSettle("target",$B$2,2),0,4,$F59),"")</f>
        <v>#VALUE!</v>
      </c>
      <c r="AJ59" s="85" t="e">
        <f t="shared" si="6"/>
        <v>#NUM!</v>
      </c>
    </row>
    <row r="60" spans="1:36" ht="15.75" x14ac:dyDescent="0.25">
      <c r="A60" s="2"/>
      <c r="B60" s="19" t="e">
        <f>MAX(_xll.xlBondValueDate(D60,$B$2),I60)</f>
        <v>#NUM!</v>
      </c>
      <c r="C60" s="20" t="e">
        <v>#N/A</v>
      </c>
      <c r="D60" s="86" t="e">
        <f t="array" ref="D60:N60">_xll.BondInfo(C60,$D$5:$N$5)</f>
        <v>#VALUE!</v>
      </c>
      <c r="E60" s="20" t="e">
        <v>#VALUE!</v>
      </c>
      <c r="F60" s="87" t="e">
        <v>#VALUE!</v>
      </c>
      <c r="G60" s="19" t="e">
        <v>#VALUE!</v>
      </c>
      <c r="H60" s="19" t="e">
        <v>#VALUE!</v>
      </c>
      <c r="I60" s="19" t="e">
        <v>#VALUE!</v>
      </c>
      <c r="J60" s="20" t="e">
        <v>#VALUE!</v>
      </c>
      <c r="K60" s="20" t="e">
        <v>#VALUE!</v>
      </c>
      <c r="L60" s="20" t="e">
        <v>#VALUE!</v>
      </c>
      <c r="M60" s="20" t="e">
        <v>#VALUE!</v>
      </c>
      <c r="N60" s="20" t="e">
        <v>#VALUE!</v>
      </c>
      <c r="O60" s="21" t="e">
        <f>_xll.BondOutstanding(C60)</f>
        <v>#VALUE!</v>
      </c>
      <c r="P60" s="25" t="e">
        <f>_xll.xlBondYieldSensCustom(D60,E60,F60,G60,H60,I60,J60,B60,Q60,$AM$2,$AN$2,$AO$2,$AP$2,$AQ$2,"y")</f>
        <v>#NUM!</v>
      </c>
      <c r="Q60" s="26" t="e">
        <f>_xll.RtGet("IDN",$K60,IF(OR($D60="BTP,$E11=""CTZ"),Q$5,Q$4))</f>
        <v>#VALUE!</v>
      </c>
      <c r="R60" s="27" t="e">
        <f>_xll.RtGet("IDN",$K60,IF(OR($D60="BTP,$E11=""CTZ"),R$5,R$4))</f>
        <v>#VALUE!</v>
      </c>
      <c r="S60" s="28" t="e">
        <f>_xll.xlBondYieldSensCustom(D60,E60,F60,G60,H60,I60,J60,B60,R60,$AM$2,$AN$2,$AO$2,$AP$2,$AQ$2,"y")</f>
        <v>#NUM!</v>
      </c>
      <c r="T60" s="23" t="e">
        <f t="shared" si="3"/>
        <v>#VALUE!</v>
      </c>
      <c r="U60" s="83" t="e">
        <f>_xll.xlBondYieldSensCustom(D60,E60,F60,G60,H60,I60,J60,B60,T60,$AM$2,$AN$2,$AO$2,$AP$2,$AQ$2,"y")</f>
        <v>#NUM!</v>
      </c>
      <c r="V60" s="23"/>
      <c r="W60" s="23" t="e">
        <f t="shared" si="4"/>
        <v>#VALUE!</v>
      </c>
      <c r="X60" s="22"/>
      <c r="Y60" s="22" t="e">
        <f t="shared" si="5"/>
        <v>#NUM!</v>
      </c>
      <c r="Z60" s="23" t="e">
        <f>_xll.xlBondPriceCustom(D60,E60,F60,G60,H60,I60,J60,B60,Y60,$AM$2,$AN$2,$AO$2,$AP$2,$AQ$2)</f>
        <v>#NUM!</v>
      </c>
      <c r="AA60" s="20" t="e">
        <f t="array" ref="AA60:AG60">_xll.xlBondYieldSens(D60,E60,F60,G60,H60,I60,J60,B60,W60,$AA$5&amp;$AB$5&amp;$AC$5&amp;$AD$5&amp;$AE$5&amp;$AF$5&amp;$AG$5)</f>
        <v>#NUM!</v>
      </c>
      <c r="AB60" s="20" t="e">
        <v>#NUM!</v>
      </c>
      <c r="AC60" s="20" t="e">
        <v>#NUM!</v>
      </c>
      <c r="AD60" s="20" t="e">
        <v>#NUM!</v>
      </c>
      <c r="AE60" s="20" t="e">
        <v>#NUM!</v>
      </c>
      <c r="AF60" s="20" t="e">
        <v>#NUM!</v>
      </c>
      <c r="AG60" s="24" t="e">
        <v>#NUM!</v>
      </c>
      <c r="AH60" s="22" t="e">
        <f>_xll.xlBondYieldSensCustom(D60,E60,F60,G60,H60,I60,J60,B60,W60,$AM$2,$AN$2,$AO$2,$AP$2,$AQ$2,"y")</f>
        <v>#NUM!</v>
      </c>
      <c r="AI60" s="22" t="e">
        <f>IF(OR(TRIM($D60)="CTZ",TRIM($D60)="BTP",TRIM($D60)="BOT"),_xll.xlShmInterpRateFwd("EONIA",_xll.xlDateSettle("target",$B$2,2),0,4,$F60),"")</f>
        <v>#VALUE!</v>
      </c>
      <c r="AJ60" s="85" t="e">
        <f t="shared" si="6"/>
        <v>#NUM!</v>
      </c>
    </row>
    <row r="61" spans="1:36" ht="15.75" x14ac:dyDescent="0.25">
      <c r="A61" s="2"/>
      <c r="B61" s="19" t="e">
        <f>MAX(_xll.xlBondValueDate(D61,$B$2),I61)</f>
        <v>#NUM!</v>
      </c>
      <c r="C61" s="20" t="e">
        <v>#N/A</v>
      </c>
      <c r="D61" s="86" t="e">
        <f t="array" ref="D61:N61">_xll.BondInfo(C61,$D$5:$N$5)</f>
        <v>#VALUE!</v>
      </c>
      <c r="E61" s="20" t="e">
        <v>#VALUE!</v>
      </c>
      <c r="F61" s="87" t="e">
        <v>#VALUE!</v>
      </c>
      <c r="G61" s="19" t="e">
        <v>#VALUE!</v>
      </c>
      <c r="H61" s="19" t="e">
        <v>#VALUE!</v>
      </c>
      <c r="I61" s="19" t="e">
        <v>#VALUE!</v>
      </c>
      <c r="J61" s="20" t="e">
        <v>#VALUE!</v>
      </c>
      <c r="K61" s="20" t="e">
        <v>#VALUE!</v>
      </c>
      <c r="L61" s="20" t="e">
        <v>#VALUE!</v>
      </c>
      <c r="M61" s="20" t="e">
        <v>#VALUE!</v>
      </c>
      <c r="N61" s="20" t="e">
        <v>#VALUE!</v>
      </c>
      <c r="O61" s="21" t="e">
        <f>_xll.BondOutstanding(C61)</f>
        <v>#VALUE!</v>
      </c>
      <c r="P61" s="25" t="e">
        <f>_xll.xlBondYieldSensCustom(D61,E61,F61,G61,H61,I61,J61,B61,Q61,$AM$2,$AN$2,$AO$2,$AP$2,$AQ$2,"y")</f>
        <v>#NUM!</v>
      </c>
      <c r="Q61" s="26" t="e">
        <f>_xll.RtGet("IDN",$K61,IF(OR($D61="BTP,$E11=""CTZ"),Q$5,Q$4))</f>
        <v>#VALUE!</v>
      </c>
      <c r="R61" s="27" t="e">
        <f>_xll.RtGet("IDN",$K61,IF(OR($D61="BTP,$E11=""CTZ"),R$5,R$4))</f>
        <v>#VALUE!</v>
      </c>
      <c r="S61" s="28" t="e">
        <f>_xll.xlBondYieldSensCustom(D61,E61,F61,G61,H61,I61,J61,B61,R61,$AM$2,$AN$2,$AO$2,$AP$2,$AQ$2,"y")</f>
        <v>#NUM!</v>
      </c>
      <c r="T61" s="23" t="e">
        <f t="shared" si="3"/>
        <v>#VALUE!</v>
      </c>
      <c r="U61" s="83" t="e">
        <f>_xll.xlBondYieldSensCustom(D61,E61,F61,G61,H61,I61,J61,B61,T61,$AM$2,$AN$2,$AO$2,$AP$2,$AQ$2,"y")</f>
        <v>#NUM!</v>
      </c>
      <c r="V61" s="23"/>
      <c r="W61" s="23" t="e">
        <f t="shared" si="4"/>
        <v>#VALUE!</v>
      </c>
      <c r="X61" s="22"/>
      <c r="Y61" s="22" t="e">
        <f t="shared" si="5"/>
        <v>#NUM!</v>
      </c>
      <c r="Z61" s="23" t="e">
        <f>_xll.xlBondPriceCustom(D61,E61,F61,G61,H61,I61,J61,B61,Y61,$AM$2,$AN$2,$AO$2,$AP$2,$AQ$2)</f>
        <v>#NUM!</v>
      </c>
      <c r="AA61" s="20" t="e">
        <f t="array" ref="AA61:AG61">_xll.xlBondYieldSens(D61,E61,F61,G61,H61,I61,J61,B61,W61,$AA$5&amp;$AB$5&amp;$AC$5&amp;$AD$5&amp;$AE$5&amp;$AF$5&amp;$AG$5)</f>
        <v>#NUM!</v>
      </c>
      <c r="AB61" s="20" t="e">
        <v>#NUM!</v>
      </c>
      <c r="AC61" s="20" t="e">
        <v>#NUM!</v>
      </c>
      <c r="AD61" s="20" t="e">
        <v>#NUM!</v>
      </c>
      <c r="AE61" s="20" t="e">
        <v>#NUM!</v>
      </c>
      <c r="AF61" s="20" t="e">
        <v>#NUM!</v>
      </c>
      <c r="AG61" s="24" t="e">
        <v>#NUM!</v>
      </c>
      <c r="AH61" s="22" t="e">
        <f>_xll.xlBondYieldSensCustom(D61,E61,F61,G61,H61,I61,J61,B61,W61,$AM$2,$AN$2,$AO$2,$AP$2,$AQ$2,"y")</f>
        <v>#NUM!</v>
      </c>
      <c r="AI61" s="22" t="e">
        <f>IF(OR(TRIM($D61)="CTZ",TRIM($D61)="BTP",TRIM($D61)="BOT"),_xll.xlShmInterpRateFwd("EONIA",_xll.xlDateSettle("target",$B$2,2),0,4,$F61),"")</f>
        <v>#VALUE!</v>
      </c>
      <c r="AJ61" s="85" t="e">
        <f t="shared" si="6"/>
        <v>#NUM!</v>
      </c>
    </row>
    <row r="62" spans="1:36" ht="15.75" x14ac:dyDescent="0.25">
      <c r="A62" s="2"/>
      <c r="B62" s="19" t="e">
        <f>MAX(_xll.xlBondValueDate(D62,$B$2),I62)</f>
        <v>#NUM!</v>
      </c>
      <c r="C62" s="20" t="e">
        <v>#N/A</v>
      </c>
      <c r="D62" s="86" t="e">
        <f t="array" ref="D62:N62">_xll.BondInfo(C62,$D$5:$N$5)</f>
        <v>#VALUE!</v>
      </c>
      <c r="E62" s="20" t="e">
        <v>#VALUE!</v>
      </c>
      <c r="F62" s="87" t="e">
        <v>#VALUE!</v>
      </c>
      <c r="G62" s="19" t="e">
        <v>#VALUE!</v>
      </c>
      <c r="H62" s="19" t="e">
        <v>#VALUE!</v>
      </c>
      <c r="I62" s="19" t="e">
        <v>#VALUE!</v>
      </c>
      <c r="J62" s="20" t="e">
        <v>#VALUE!</v>
      </c>
      <c r="K62" s="20" t="e">
        <v>#VALUE!</v>
      </c>
      <c r="L62" s="20" t="e">
        <v>#VALUE!</v>
      </c>
      <c r="M62" s="20" t="e">
        <v>#VALUE!</v>
      </c>
      <c r="N62" s="20" t="e">
        <v>#VALUE!</v>
      </c>
      <c r="O62" s="21" t="e">
        <f>_xll.BondOutstanding(C62)</f>
        <v>#VALUE!</v>
      </c>
      <c r="P62" s="25" t="e">
        <f>_xll.xlBondYieldSensCustom(D62,E62,F62,G62,H62,I62,J62,B62,Q62,$AM$2,$AN$2,$AO$2,$AP$2,$AQ$2,"y")</f>
        <v>#NUM!</v>
      </c>
      <c r="Q62" s="26" t="e">
        <f>_xll.RtGet("IDN",$K62,IF(OR($D62="BTP,$E11=""CTZ"),Q$5,Q$4))</f>
        <v>#VALUE!</v>
      </c>
      <c r="R62" s="27" t="e">
        <f>_xll.RtGet("IDN",$K62,IF(OR($D62="BTP,$E11=""CTZ"),R$5,R$4))</f>
        <v>#VALUE!</v>
      </c>
      <c r="S62" s="28" t="e">
        <f>_xll.xlBondYieldSensCustom(D62,E62,F62,G62,H62,I62,J62,B62,R62,$AM$2,$AN$2,$AO$2,$AP$2,$AQ$2,"y")</f>
        <v>#NUM!</v>
      </c>
      <c r="T62" s="23" t="e">
        <f t="shared" si="3"/>
        <v>#VALUE!</v>
      </c>
      <c r="U62" s="83" t="e">
        <f>_xll.xlBondYieldSensCustom(D62,E62,F62,G62,H62,I62,J62,B62,T62,$AM$2,$AN$2,$AO$2,$AP$2,$AQ$2,"y")</f>
        <v>#NUM!</v>
      </c>
      <c r="V62" s="23"/>
      <c r="W62" s="23" t="e">
        <f t="shared" si="4"/>
        <v>#VALUE!</v>
      </c>
      <c r="X62" s="22"/>
      <c r="Y62" s="22" t="e">
        <f t="shared" si="5"/>
        <v>#NUM!</v>
      </c>
      <c r="Z62" s="23" t="e">
        <f>_xll.xlBondPriceCustom(D62,E62,F62,G62,H62,I62,J62,B62,Y62,$AM$2,$AN$2,$AO$2,$AP$2,$AQ$2)</f>
        <v>#NUM!</v>
      </c>
      <c r="AA62" s="20" t="e">
        <f t="array" ref="AA62:AG62">_xll.xlBondYieldSens(D62,E62,F62,G62,H62,I62,J62,B62,W62,$AA$5&amp;$AB$5&amp;$AC$5&amp;$AD$5&amp;$AE$5&amp;$AF$5&amp;$AG$5)</f>
        <v>#NUM!</v>
      </c>
      <c r="AB62" s="20" t="e">
        <v>#NUM!</v>
      </c>
      <c r="AC62" s="20" t="e">
        <v>#NUM!</v>
      </c>
      <c r="AD62" s="20" t="e">
        <v>#NUM!</v>
      </c>
      <c r="AE62" s="20" t="e">
        <v>#NUM!</v>
      </c>
      <c r="AF62" s="20" t="e">
        <v>#NUM!</v>
      </c>
      <c r="AG62" s="24" t="e">
        <v>#NUM!</v>
      </c>
      <c r="AH62" s="22" t="e">
        <f>_xll.xlBondYieldSensCustom(D62,E62,F62,G62,H62,I62,J62,B62,W62,$AM$2,$AN$2,$AO$2,$AP$2,$AQ$2,"y")</f>
        <v>#NUM!</v>
      </c>
      <c r="AI62" s="22" t="e">
        <f>IF(OR(TRIM($D62)="CTZ",TRIM($D62)="BTP",TRIM($D62)="BOT"),_xll.xlShmInterpRateFwd("EONIA",_xll.xlDateSettle("target",$B$2,2),0,4,$F62),"")</f>
        <v>#VALUE!</v>
      </c>
      <c r="AJ62" s="85" t="e">
        <f t="shared" si="6"/>
        <v>#NUM!</v>
      </c>
    </row>
    <row r="63" spans="1:36" ht="15.75" x14ac:dyDescent="0.25">
      <c r="A63" s="2"/>
      <c r="B63" s="19" t="e">
        <f>MAX(_xll.xlBondValueDate(D63,$B$2),I63)</f>
        <v>#NUM!</v>
      </c>
      <c r="C63" s="20" t="e">
        <v>#N/A</v>
      </c>
      <c r="D63" s="86" t="e">
        <f t="array" ref="D63:N63">_xll.BondInfo(C63,$D$5:$N$5)</f>
        <v>#VALUE!</v>
      </c>
      <c r="E63" s="20" t="e">
        <v>#VALUE!</v>
      </c>
      <c r="F63" s="87" t="e">
        <v>#VALUE!</v>
      </c>
      <c r="G63" s="19" t="e">
        <v>#VALUE!</v>
      </c>
      <c r="H63" s="19" t="e">
        <v>#VALUE!</v>
      </c>
      <c r="I63" s="19" t="e">
        <v>#VALUE!</v>
      </c>
      <c r="J63" s="20" t="e">
        <v>#VALUE!</v>
      </c>
      <c r="K63" s="20" t="e">
        <v>#VALUE!</v>
      </c>
      <c r="L63" s="20" t="e">
        <v>#VALUE!</v>
      </c>
      <c r="M63" s="20" t="e">
        <v>#VALUE!</v>
      </c>
      <c r="N63" s="20" t="e">
        <v>#VALUE!</v>
      </c>
      <c r="O63" s="21" t="e">
        <f>_xll.BondOutstanding(C63)</f>
        <v>#VALUE!</v>
      </c>
      <c r="P63" s="25" t="e">
        <f>_xll.xlBondYieldSensCustom(D63,E63,F63,G63,H63,I63,J63,B63,Q63,$AM$2,$AN$2,$AO$2,$AP$2,$AQ$2,"y")</f>
        <v>#NUM!</v>
      </c>
      <c r="Q63" s="26" t="e">
        <f>_xll.RtGet("IDN",$K63,IF(OR($D63="BTP,$E11=""CTZ"),Q$5,Q$4))</f>
        <v>#VALUE!</v>
      </c>
      <c r="R63" s="27" t="e">
        <f>_xll.RtGet("IDN",$K63,IF(OR($D63="BTP,$E11=""CTZ"),R$5,R$4))</f>
        <v>#VALUE!</v>
      </c>
      <c r="S63" s="28" t="e">
        <f>_xll.xlBondYieldSensCustom(D63,E63,F63,G63,H63,I63,J63,B63,R63,$AM$2,$AN$2,$AO$2,$AP$2,$AQ$2,"y")</f>
        <v>#NUM!</v>
      </c>
      <c r="T63" s="23" t="e">
        <f t="shared" si="3"/>
        <v>#VALUE!</v>
      </c>
      <c r="U63" s="83" t="e">
        <f>_xll.xlBondYieldSensCustom(D63,E63,F63,G63,H63,I63,J63,B63,T63,$AM$2,$AN$2,$AO$2,$AP$2,$AQ$2,"y")</f>
        <v>#NUM!</v>
      </c>
      <c r="V63" s="23"/>
      <c r="W63" s="23" t="e">
        <f t="shared" si="4"/>
        <v>#VALUE!</v>
      </c>
      <c r="X63" s="22"/>
      <c r="Y63" s="22" t="e">
        <f t="shared" si="5"/>
        <v>#NUM!</v>
      </c>
      <c r="Z63" s="23" t="e">
        <f>_xll.xlBondPriceCustom(D63,E63,F63,G63,H63,I63,J63,B63,Y63,$AM$2,$AN$2,$AO$2,$AP$2,$AQ$2)</f>
        <v>#NUM!</v>
      </c>
      <c r="AA63" s="20" t="e">
        <f t="array" ref="AA63:AG63">_xll.xlBondYieldSens(D63,E63,F63,G63,H63,I63,J63,B63,W63,$AA$5&amp;$AB$5&amp;$AC$5&amp;$AD$5&amp;$AE$5&amp;$AF$5&amp;$AG$5)</f>
        <v>#NUM!</v>
      </c>
      <c r="AB63" s="20" t="e">
        <v>#NUM!</v>
      </c>
      <c r="AC63" s="20" t="e">
        <v>#NUM!</v>
      </c>
      <c r="AD63" s="20" t="e">
        <v>#NUM!</v>
      </c>
      <c r="AE63" s="20" t="e">
        <v>#NUM!</v>
      </c>
      <c r="AF63" s="20" t="e">
        <v>#NUM!</v>
      </c>
      <c r="AG63" s="24" t="e">
        <v>#NUM!</v>
      </c>
      <c r="AH63" s="22" t="e">
        <f>_xll.xlBondYieldSensCustom(D63,E63,F63,G63,H63,I63,J63,B63,W63,$AM$2,$AN$2,$AO$2,$AP$2,$AQ$2,"y")</f>
        <v>#NUM!</v>
      </c>
      <c r="AI63" s="22" t="e">
        <f>IF(OR(TRIM($D63)="CTZ",TRIM($D63)="BTP",TRIM($D63)="BOT"),_xll.xlShmInterpRateFwd("EONIA",_xll.xlDateSettle("target",$B$2,2),0,4,$F63),"")</f>
        <v>#VALUE!</v>
      </c>
      <c r="AJ63" s="85" t="e">
        <f t="shared" si="6"/>
        <v>#NUM!</v>
      </c>
    </row>
    <row r="64" spans="1:36" ht="15.75" x14ac:dyDescent="0.25">
      <c r="A64" s="2"/>
      <c r="B64" s="19" t="e">
        <f>MAX(_xll.xlBondValueDate(D64,$B$2),I64)</f>
        <v>#NUM!</v>
      </c>
      <c r="C64" s="20" t="e">
        <v>#N/A</v>
      </c>
      <c r="D64" s="86" t="e">
        <f t="array" ref="D64:N64">_xll.BondInfo(C64,$D$5:$N$5)</f>
        <v>#VALUE!</v>
      </c>
      <c r="E64" s="20" t="e">
        <v>#VALUE!</v>
      </c>
      <c r="F64" s="87" t="e">
        <v>#VALUE!</v>
      </c>
      <c r="G64" s="19" t="e">
        <v>#VALUE!</v>
      </c>
      <c r="H64" s="19" t="e">
        <v>#VALUE!</v>
      </c>
      <c r="I64" s="19" t="e">
        <v>#VALUE!</v>
      </c>
      <c r="J64" s="20" t="e">
        <v>#VALUE!</v>
      </c>
      <c r="K64" s="20" t="e">
        <v>#VALUE!</v>
      </c>
      <c r="L64" s="20" t="e">
        <v>#VALUE!</v>
      </c>
      <c r="M64" s="20" t="e">
        <v>#VALUE!</v>
      </c>
      <c r="N64" s="20" t="e">
        <v>#VALUE!</v>
      </c>
      <c r="O64" s="21" t="e">
        <f>_xll.BondOutstanding(C64)</f>
        <v>#VALUE!</v>
      </c>
      <c r="P64" s="25" t="e">
        <f>_xll.xlBondYieldSensCustom(D64,E64,F64,G64,H64,I64,J64,B64,Q64,$AM$2,$AN$2,$AO$2,$AP$2,$AQ$2,"y")</f>
        <v>#NUM!</v>
      </c>
      <c r="Q64" s="26" t="e">
        <f>_xll.RtGet("IDN",$K64,IF(OR($D64="BTP,$E11=""CTZ"),Q$5,Q$4))</f>
        <v>#VALUE!</v>
      </c>
      <c r="R64" s="27" t="e">
        <f>_xll.RtGet("IDN",$K64,IF(OR($D64="BTP,$E11=""CTZ"),R$5,R$4))</f>
        <v>#VALUE!</v>
      </c>
      <c r="S64" s="28" t="e">
        <f>_xll.xlBondYieldSensCustom(D64,E64,F64,G64,H64,I64,J64,B64,R64,$AM$2,$AN$2,$AO$2,$AP$2,$AQ$2,"y")</f>
        <v>#NUM!</v>
      </c>
      <c r="T64" s="23" t="e">
        <f t="shared" si="3"/>
        <v>#VALUE!</v>
      </c>
      <c r="U64" s="83" t="e">
        <f>_xll.xlBondYieldSensCustom(D64,E64,F64,G64,H64,I64,J64,B64,T64,$AM$2,$AN$2,$AO$2,$AP$2,$AQ$2,"y")</f>
        <v>#NUM!</v>
      </c>
      <c r="V64" s="23"/>
      <c r="W64" s="23" t="e">
        <f t="shared" si="4"/>
        <v>#VALUE!</v>
      </c>
      <c r="X64" s="22"/>
      <c r="Y64" s="22" t="e">
        <f t="shared" si="5"/>
        <v>#NUM!</v>
      </c>
      <c r="Z64" s="23" t="e">
        <f>_xll.xlBondPriceCustom(D64,E64,F64,G64,H64,I64,J64,B64,Y64,$AM$2,$AN$2,$AO$2,$AP$2,$AQ$2)</f>
        <v>#NUM!</v>
      </c>
      <c r="AA64" s="20" t="e">
        <f t="array" ref="AA64:AG64">_xll.xlBondYieldSens(D64,E64,F64,G64,H64,I64,J64,B64,W64,$AA$5&amp;$AB$5&amp;$AC$5&amp;$AD$5&amp;$AE$5&amp;$AF$5&amp;$AG$5)</f>
        <v>#NUM!</v>
      </c>
      <c r="AB64" s="20" t="e">
        <v>#NUM!</v>
      </c>
      <c r="AC64" s="20" t="e">
        <v>#NUM!</v>
      </c>
      <c r="AD64" s="20" t="e">
        <v>#NUM!</v>
      </c>
      <c r="AE64" s="20" t="e">
        <v>#NUM!</v>
      </c>
      <c r="AF64" s="20" t="e">
        <v>#NUM!</v>
      </c>
      <c r="AG64" s="24" t="e">
        <v>#NUM!</v>
      </c>
      <c r="AH64" s="22" t="e">
        <f>_xll.xlBondYieldSensCustom(D64,E64,F64,G64,H64,I64,J64,B64,W64,$AM$2,$AN$2,$AO$2,$AP$2,$AQ$2,"y")</f>
        <v>#NUM!</v>
      </c>
      <c r="AI64" s="22" t="e">
        <f>IF(OR(TRIM($D64)="CTZ",TRIM($D64)="BTP",TRIM($D64)="BOT"),_xll.xlShmInterpRateFwd("EONIA",_xll.xlDateSettle("target",$B$2,2),0,4,$F64),"")</f>
        <v>#VALUE!</v>
      </c>
      <c r="AJ64" s="85" t="e">
        <f t="shared" si="6"/>
        <v>#NUM!</v>
      </c>
    </row>
    <row r="65" spans="1:36" ht="15.75" x14ac:dyDescent="0.25">
      <c r="A65" s="2"/>
      <c r="B65" s="19" t="e">
        <f>MAX(_xll.xlBondValueDate(D65,$B$2),I65)</f>
        <v>#NUM!</v>
      </c>
      <c r="C65" s="20" t="e">
        <v>#N/A</v>
      </c>
      <c r="D65" s="86" t="e">
        <f t="array" ref="D65:N65">_xll.BondInfo(C65,$D$5:$N$5)</f>
        <v>#VALUE!</v>
      </c>
      <c r="E65" s="20" t="e">
        <v>#VALUE!</v>
      </c>
      <c r="F65" s="87" t="e">
        <v>#VALUE!</v>
      </c>
      <c r="G65" s="19" t="e">
        <v>#VALUE!</v>
      </c>
      <c r="H65" s="19" t="e">
        <v>#VALUE!</v>
      </c>
      <c r="I65" s="19" t="e">
        <v>#VALUE!</v>
      </c>
      <c r="J65" s="20" t="e">
        <v>#VALUE!</v>
      </c>
      <c r="K65" s="20" t="e">
        <v>#VALUE!</v>
      </c>
      <c r="L65" s="20" t="e">
        <v>#VALUE!</v>
      </c>
      <c r="M65" s="20" t="e">
        <v>#VALUE!</v>
      </c>
      <c r="N65" s="20" t="e">
        <v>#VALUE!</v>
      </c>
      <c r="O65" s="21" t="e">
        <f>_xll.BondOutstanding(C65)</f>
        <v>#VALUE!</v>
      </c>
      <c r="P65" s="25" t="e">
        <f>_xll.xlBondYieldSensCustom(D65,E65,F65,G65,H65,I65,J65,B65,Q65,$AM$2,$AN$2,$AO$2,$AP$2,$AQ$2,"y")</f>
        <v>#NUM!</v>
      </c>
      <c r="Q65" s="26" t="e">
        <f>_xll.RtGet("IDN",$K65,IF(OR($D65="BTP,$E11=""CTZ"),Q$5,Q$4))</f>
        <v>#VALUE!</v>
      </c>
      <c r="R65" s="27" t="e">
        <f>_xll.RtGet("IDN",$K65,IF(OR($D65="BTP,$E11=""CTZ"),R$5,R$4))</f>
        <v>#VALUE!</v>
      </c>
      <c r="S65" s="28" t="e">
        <f>_xll.xlBondYieldSensCustom(D65,E65,F65,G65,H65,I65,J65,B65,R65,$AM$2,$AN$2,$AO$2,$AP$2,$AQ$2,"y")</f>
        <v>#NUM!</v>
      </c>
      <c r="T65" s="23" t="e">
        <f t="shared" si="3"/>
        <v>#VALUE!</v>
      </c>
      <c r="U65" s="83" t="e">
        <f>_xll.xlBondYieldSensCustom(D65,E65,F65,G65,H65,I65,J65,B65,T65,$AM$2,$AN$2,$AO$2,$AP$2,$AQ$2,"y")</f>
        <v>#NUM!</v>
      </c>
      <c r="V65" s="23"/>
      <c r="W65" s="23" t="e">
        <f t="shared" si="4"/>
        <v>#VALUE!</v>
      </c>
      <c r="X65" s="22"/>
      <c r="Y65" s="22" t="e">
        <f t="shared" si="5"/>
        <v>#NUM!</v>
      </c>
      <c r="Z65" s="23" t="e">
        <f>_xll.xlBondPriceCustom(D65,E65,F65,G65,H65,I65,J65,B65,Y65,$AM$2,$AN$2,$AO$2,$AP$2,$AQ$2)</f>
        <v>#NUM!</v>
      </c>
      <c r="AA65" s="20" t="e">
        <f t="array" ref="AA65:AG65">_xll.xlBondYieldSens(D65,E65,F65,G65,H65,I65,J65,B65,W65,$AA$5&amp;$AB$5&amp;$AC$5&amp;$AD$5&amp;$AE$5&amp;$AF$5&amp;$AG$5)</f>
        <v>#NUM!</v>
      </c>
      <c r="AB65" s="20" t="e">
        <v>#NUM!</v>
      </c>
      <c r="AC65" s="20" t="e">
        <v>#NUM!</v>
      </c>
      <c r="AD65" s="20" t="e">
        <v>#NUM!</v>
      </c>
      <c r="AE65" s="20" t="e">
        <v>#NUM!</v>
      </c>
      <c r="AF65" s="20" t="e">
        <v>#NUM!</v>
      </c>
      <c r="AG65" s="24" t="e">
        <v>#NUM!</v>
      </c>
      <c r="AH65" s="22" t="e">
        <f>_xll.xlBondYieldSensCustom(D65,E65,F65,G65,H65,I65,J65,B65,W65,$AM$2,$AN$2,$AO$2,$AP$2,$AQ$2,"y")</f>
        <v>#NUM!</v>
      </c>
      <c r="AI65" s="22" t="e">
        <f>IF(OR(TRIM($D65)="CTZ",TRIM($D65)="BTP",TRIM($D65)="BOT"),_xll.xlShmInterpRateFwd("EONIA",_xll.xlDateSettle("target",$B$2,2),0,4,$F65),"")</f>
        <v>#VALUE!</v>
      </c>
      <c r="AJ65" s="85" t="e">
        <f t="shared" si="6"/>
        <v>#NUM!</v>
      </c>
    </row>
    <row r="66" spans="1:36" ht="15.75" x14ac:dyDescent="0.25">
      <c r="A66" s="2"/>
      <c r="B66" s="19" t="e">
        <f>MAX(_xll.xlBondValueDate(D66,$B$2),I66)</f>
        <v>#NUM!</v>
      </c>
      <c r="C66" s="20" t="e">
        <v>#N/A</v>
      </c>
      <c r="D66" s="86" t="e">
        <f t="array" ref="D66:N66">_xll.BondInfo(C66,$D$5:$N$5)</f>
        <v>#VALUE!</v>
      </c>
      <c r="E66" s="20" t="e">
        <v>#VALUE!</v>
      </c>
      <c r="F66" s="87" t="e">
        <v>#VALUE!</v>
      </c>
      <c r="G66" s="19" t="e">
        <v>#VALUE!</v>
      </c>
      <c r="H66" s="19" t="e">
        <v>#VALUE!</v>
      </c>
      <c r="I66" s="19" t="e">
        <v>#VALUE!</v>
      </c>
      <c r="J66" s="20" t="e">
        <v>#VALUE!</v>
      </c>
      <c r="K66" s="20" t="e">
        <v>#VALUE!</v>
      </c>
      <c r="L66" s="20" t="e">
        <v>#VALUE!</v>
      </c>
      <c r="M66" s="20" t="e">
        <v>#VALUE!</v>
      </c>
      <c r="N66" s="20" t="e">
        <v>#VALUE!</v>
      </c>
      <c r="O66" s="21" t="e">
        <f>_xll.BondOutstanding(C66)</f>
        <v>#VALUE!</v>
      </c>
      <c r="P66" s="25" t="e">
        <f>_xll.xlBondYieldSensCustom(D66,E66,F66,G66,H66,I66,J66,B66,Q66,$AM$2,$AN$2,$AO$2,$AP$2,$AQ$2,"y")</f>
        <v>#NUM!</v>
      </c>
      <c r="Q66" s="26" t="e">
        <f>_xll.RtGet("IDN",$K66,IF(OR($D66="BTP,$E11=""CTZ"),Q$5,Q$4))</f>
        <v>#VALUE!</v>
      </c>
      <c r="R66" s="27" t="e">
        <f>_xll.RtGet("IDN",$K66,IF(OR($D66="BTP,$E11=""CTZ"),R$5,R$4))</f>
        <v>#VALUE!</v>
      </c>
      <c r="S66" s="28" t="e">
        <f>_xll.xlBondYieldSensCustom(D66,E66,F66,G66,H66,I66,J66,B66,R66,$AM$2,$AN$2,$AO$2,$AP$2,$AQ$2,"y")</f>
        <v>#NUM!</v>
      </c>
      <c r="T66" s="23" t="e">
        <f t="shared" si="3"/>
        <v>#VALUE!</v>
      </c>
      <c r="U66" s="83" t="e">
        <f>_xll.xlBondYieldSensCustom(D66,E66,F66,G66,H66,I66,J66,B66,T66,$AM$2,$AN$2,$AO$2,$AP$2,$AQ$2,"y")</f>
        <v>#NUM!</v>
      </c>
      <c r="V66" s="23"/>
      <c r="W66" s="23" t="e">
        <f t="shared" si="4"/>
        <v>#VALUE!</v>
      </c>
      <c r="X66" s="22"/>
      <c r="Y66" s="22" t="e">
        <f t="shared" si="5"/>
        <v>#NUM!</v>
      </c>
      <c r="Z66" s="23" t="e">
        <f>_xll.xlBondPriceCustom(D66,E66,F66,G66,H66,I66,J66,B66,Y66,$AM$2,$AN$2,$AO$2,$AP$2,$AQ$2)</f>
        <v>#NUM!</v>
      </c>
      <c r="AA66" s="20" t="e">
        <f t="array" ref="AA66:AG66">_xll.xlBondYieldSens(D66,E66,F66,G66,H66,I66,J66,B66,W66,$AA$5&amp;$AB$5&amp;$AC$5&amp;$AD$5&amp;$AE$5&amp;$AF$5&amp;$AG$5)</f>
        <v>#NUM!</v>
      </c>
      <c r="AB66" s="20" t="e">
        <v>#NUM!</v>
      </c>
      <c r="AC66" s="20" t="e">
        <v>#NUM!</v>
      </c>
      <c r="AD66" s="20" t="e">
        <v>#NUM!</v>
      </c>
      <c r="AE66" s="20" t="e">
        <v>#NUM!</v>
      </c>
      <c r="AF66" s="20" t="e">
        <v>#NUM!</v>
      </c>
      <c r="AG66" s="24" t="e">
        <v>#NUM!</v>
      </c>
      <c r="AH66" s="22" t="e">
        <f>_xll.xlBondYieldSensCustom(D66,E66,F66,G66,H66,I66,J66,B66,W66,$AM$2,$AN$2,$AO$2,$AP$2,$AQ$2,"y")</f>
        <v>#NUM!</v>
      </c>
      <c r="AI66" s="22" t="e">
        <f>IF(OR(TRIM($D66)="CTZ",TRIM($D66)="BTP",TRIM($D66)="BOT"),_xll.xlShmInterpRateFwd("EONIA",_xll.xlDateSettle("target",$B$2,2),0,4,$F66),"")</f>
        <v>#VALUE!</v>
      </c>
      <c r="AJ66" s="85" t="e">
        <f t="shared" si="6"/>
        <v>#NUM!</v>
      </c>
    </row>
    <row r="67" spans="1:36" ht="15.75" x14ac:dyDescent="0.25">
      <c r="A67" s="2"/>
      <c r="B67" s="19" t="e">
        <f>MAX(_xll.xlBondValueDate(D67,$B$2),I67)</f>
        <v>#NUM!</v>
      </c>
      <c r="C67" s="20" t="e">
        <v>#N/A</v>
      </c>
      <c r="D67" s="86" t="e">
        <f t="array" ref="D67:N67">_xll.BondInfo(C67,$D$5:$N$5)</f>
        <v>#VALUE!</v>
      </c>
      <c r="E67" s="20" t="e">
        <v>#VALUE!</v>
      </c>
      <c r="F67" s="87" t="e">
        <v>#VALUE!</v>
      </c>
      <c r="G67" s="19" t="e">
        <v>#VALUE!</v>
      </c>
      <c r="H67" s="19" t="e">
        <v>#VALUE!</v>
      </c>
      <c r="I67" s="19" t="e">
        <v>#VALUE!</v>
      </c>
      <c r="J67" s="20" t="e">
        <v>#VALUE!</v>
      </c>
      <c r="K67" s="20" t="e">
        <v>#VALUE!</v>
      </c>
      <c r="L67" s="20" t="e">
        <v>#VALUE!</v>
      </c>
      <c r="M67" s="20" t="e">
        <v>#VALUE!</v>
      </c>
      <c r="N67" s="20" t="e">
        <v>#VALUE!</v>
      </c>
      <c r="O67" s="21" t="e">
        <f>_xll.BondOutstanding(C67)</f>
        <v>#VALUE!</v>
      </c>
      <c r="P67" s="25" t="e">
        <f>_xll.xlBondYieldSensCustom(D67,E67,F67,G67,H67,I67,J67,B67,Q67,$AM$2,$AN$2,$AO$2,$AP$2,$AQ$2,"y")</f>
        <v>#NUM!</v>
      </c>
      <c r="Q67" s="26" t="e">
        <f>_xll.RtGet("IDN",$K67,IF(OR($D67="BTP,$E11=""CTZ"),Q$5,Q$4))</f>
        <v>#VALUE!</v>
      </c>
      <c r="R67" s="27" t="e">
        <f>_xll.RtGet("IDN",$K67,IF(OR($D67="BTP,$E11=""CTZ"),R$5,R$4))</f>
        <v>#VALUE!</v>
      </c>
      <c r="S67" s="28" t="e">
        <f>_xll.xlBondYieldSensCustom(D67,E67,F67,G67,H67,I67,J67,B67,R67,$AM$2,$AN$2,$AO$2,$AP$2,$AQ$2,"y")</f>
        <v>#NUM!</v>
      </c>
      <c r="T67" s="23" t="e">
        <f t="shared" si="3"/>
        <v>#VALUE!</v>
      </c>
      <c r="U67" s="83" t="e">
        <f>_xll.xlBondYieldSensCustom(D67,E67,F67,G67,H67,I67,J67,B67,T67,$AM$2,$AN$2,$AO$2,$AP$2,$AQ$2,"y")</f>
        <v>#NUM!</v>
      </c>
      <c r="V67" s="23"/>
      <c r="W67" s="23" t="e">
        <f t="shared" si="4"/>
        <v>#VALUE!</v>
      </c>
      <c r="X67" s="22"/>
      <c r="Y67" s="22" t="e">
        <f t="shared" si="5"/>
        <v>#NUM!</v>
      </c>
      <c r="Z67" s="23" t="e">
        <f>_xll.xlBondPriceCustom(D67,E67,F67,G67,H67,I67,J67,B67,Y67,$AM$2,$AN$2,$AO$2,$AP$2,$AQ$2)</f>
        <v>#NUM!</v>
      </c>
      <c r="AA67" s="20" t="e">
        <f t="array" ref="AA67:AG67">_xll.xlBondYieldSens(D67,E67,F67,G67,H67,I67,J67,B67,W67,$AA$5&amp;$AB$5&amp;$AC$5&amp;$AD$5&amp;$AE$5&amp;$AF$5&amp;$AG$5)</f>
        <v>#NUM!</v>
      </c>
      <c r="AB67" s="20" t="e">
        <v>#NUM!</v>
      </c>
      <c r="AC67" s="20" t="e">
        <v>#NUM!</v>
      </c>
      <c r="AD67" s="20" t="e">
        <v>#NUM!</v>
      </c>
      <c r="AE67" s="20" t="e">
        <v>#NUM!</v>
      </c>
      <c r="AF67" s="20" t="e">
        <v>#NUM!</v>
      </c>
      <c r="AG67" s="24" t="e">
        <v>#NUM!</v>
      </c>
      <c r="AH67" s="22" t="e">
        <f>_xll.xlBondYieldSensCustom(D67,E67,F67,G67,H67,I67,J67,B67,W67,$AM$2,$AN$2,$AO$2,$AP$2,$AQ$2,"y")</f>
        <v>#NUM!</v>
      </c>
      <c r="AI67" s="22" t="e">
        <f>IF(OR(TRIM($D67)="CTZ",TRIM($D67)="BTP",TRIM($D67)="BOT"),_xll.xlShmInterpRateFwd("EONIA",_xll.xlDateSettle("target",$B$2,2),0,4,$F67),"")</f>
        <v>#VALUE!</v>
      </c>
      <c r="AJ67" s="85" t="e">
        <f t="shared" si="6"/>
        <v>#NUM!</v>
      </c>
    </row>
    <row r="68" spans="1:36" ht="15.75" x14ac:dyDescent="0.25">
      <c r="A68" s="2"/>
      <c r="B68" s="19" t="e">
        <f>MAX(_xll.xlBondValueDate(D68,$B$2),I68)</f>
        <v>#NUM!</v>
      </c>
      <c r="C68" s="20" t="e">
        <v>#N/A</v>
      </c>
      <c r="D68" s="86" t="e">
        <f t="array" ref="D68:N68">_xll.BondInfo(C68,$D$5:$N$5)</f>
        <v>#VALUE!</v>
      </c>
      <c r="E68" s="20" t="e">
        <v>#VALUE!</v>
      </c>
      <c r="F68" s="87" t="e">
        <v>#VALUE!</v>
      </c>
      <c r="G68" s="19" t="e">
        <v>#VALUE!</v>
      </c>
      <c r="H68" s="19" t="e">
        <v>#VALUE!</v>
      </c>
      <c r="I68" s="19" t="e">
        <v>#VALUE!</v>
      </c>
      <c r="J68" s="20" t="e">
        <v>#VALUE!</v>
      </c>
      <c r="K68" s="20" t="e">
        <v>#VALUE!</v>
      </c>
      <c r="L68" s="20" t="e">
        <v>#VALUE!</v>
      </c>
      <c r="M68" s="20" t="e">
        <v>#VALUE!</v>
      </c>
      <c r="N68" s="20" t="e">
        <v>#VALUE!</v>
      </c>
      <c r="O68" s="21" t="e">
        <f>_xll.BondOutstanding(C68)</f>
        <v>#VALUE!</v>
      </c>
      <c r="P68" s="25" t="e">
        <f>_xll.xlBondYieldSensCustom(D68,E68,F68,G68,H68,I68,J68,B68,Q68,$AM$2,$AN$2,$AO$2,$AP$2,$AQ$2,"y")</f>
        <v>#NUM!</v>
      </c>
      <c r="Q68" s="26" t="e">
        <f>_xll.RtGet("IDN",$K68,IF(OR($D68="BTP,$E11=""CTZ"),Q$5,Q$4))</f>
        <v>#VALUE!</v>
      </c>
      <c r="R68" s="27" t="e">
        <f>_xll.RtGet("IDN",$K68,IF(OR($D68="BTP,$E11=""CTZ"),R$5,R$4))</f>
        <v>#VALUE!</v>
      </c>
      <c r="S68" s="28" t="e">
        <f>_xll.xlBondYieldSensCustom(D68,E68,F68,G68,H68,I68,J68,B68,R68,$AM$2,$AN$2,$AO$2,$AP$2,$AQ$2,"y")</f>
        <v>#NUM!</v>
      </c>
      <c r="T68" s="23" t="e">
        <f t="shared" si="3"/>
        <v>#VALUE!</v>
      </c>
      <c r="U68" s="83" t="e">
        <f>_xll.xlBondYieldSensCustom(D68,E68,F68,G68,H68,I68,J68,B68,T68,$AM$2,$AN$2,$AO$2,$AP$2,$AQ$2,"y")</f>
        <v>#NUM!</v>
      </c>
      <c r="V68" s="23"/>
      <c r="W68" s="23" t="e">
        <f t="shared" si="4"/>
        <v>#VALUE!</v>
      </c>
      <c r="X68" s="22"/>
      <c r="Y68" s="22" t="e">
        <f t="shared" si="5"/>
        <v>#NUM!</v>
      </c>
      <c r="Z68" s="23" t="e">
        <f>_xll.xlBondPriceCustom(D68,E68,F68,G68,H68,I68,J68,B68,Y68,$AM$2,$AN$2,$AO$2,$AP$2,$AQ$2)</f>
        <v>#NUM!</v>
      </c>
      <c r="AA68" s="20" t="e">
        <f t="array" ref="AA68:AG68">_xll.xlBondYieldSens(D68,E68,F68,G68,H68,I68,J68,B68,W68,$AA$5&amp;$AB$5&amp;$AC$5&amp;$AD$5&amp;$AE$5&amp;$AF$5&amp;$AG$5)</f>
        <v>#NUM!</v>
      </c>
      <c r="AB68" s="20" t="e">
        <v>#NUM!</v>
      </c>
      <c r="AC68" s="20" t="e">
        <v>#NUM!</v>
      </c>
      <c r="AD68" s="20" t="e">
        <v>#NUM!</v>
      </c>
      <c r="AE68" s="20" t="e">
        <v>#NUM!</v>
      </c>
      <c r="AF68" s="20" t="e">
        <v>#NUM!</v>
      </c>
      <c r="AG68" s="24" t="e">
        <v>#NUM!</v>
      </c>
      <c r="AH68" s="22" t="e">
        <f>_xll.xlBondYieldSensCustom(D68,E68,F68,G68,H68,I68,J68,B68,W68,$AM$2,$AN$2,$AO$2,$AP$2,$AQ$2,"y")</f>
        <v>#NUM!</v>
      </c>
      <c r="AI68" s="22" t="e">
        <f>IF(OR(TRIM($D68)="CTZ",TRIM($D68)="BTP",TRIM($D68)="BOT"),_xll.xlShmInterpRateFwd("EONIA",_xll.xlDateSettle("target",$B$2,2),0,4,$F68),"")</f>
        <v>#VALUE!</v>
      </c>
      <c r="AJ68" s="85" t="e">
        <f t="shared" si="6"/>
        <v>#NUM!</v>
      </c>
    </row>
    <row r="69" spans="1:36" ht="15.75" x14ac:dyDescent="0.25">
      <c r="A69" s="2"/>
      <c r="B69" s="19" t="e">
        <f>MAX(_xll.xlBondValueDate(D69,$B$2),I69)</f>
        <v>#NUM!</v>
      </c>
      <c r="C69" s="20" t="e">
        <v>#N/A</v>
      </c>
      <c r="D69" s="86" t="e">
        <f t="array" ref="D69:N69">_xll.BondInfo(C69,$D$5:$N$5)</f>
        <v>#VALUE!</v>
      </c>
      <c r="E69" s="20" t="e">
        <v>#VALUE!</v>
      </c>
      <c r="F69" s="87" t="e">
        <v>#VALUE!</v>
      </c>
      <c r="G69" s="19" t="e">
        <v>#VALUE!</v>
      </c>
      <c r="H69" s="19" t="e">
        <v>#VALUE!</v>
      </c>
      <c r="I69" s="19" t="e">
        <v>#VALUE!</v>
      </c>
      <c r="J69" s="20" t="e">
        <v>#VALUE!</v>
      </c>
      <c r="K69" s="20" t="e">
        <v>#VALUE!</v>
      </c>
      <c r="L69" s="20" t="e">
        <v>#VALUE!</v>
      </c>
      <c r="M69" s="20" t="e">
        <v>#VALUE!</v>
      </c>
      <c r="N69" s="20" t="e">
        <v>#VALUE!</v>
      </c>
      <c r="O69" s="21" t="e">
        <f>_xll.BondOutstanding(C69)</f>
        <v>#VALUE!</v>
      </c>
      <c r="P69" s="25" t="e">
        <f>_xll.xlBondYieldSensCustom(D69,E69,F69,G69,H69,I69,J69,B69,Q69,$AM$2,$AN$2,$AO$2,$AP$2,$AQ$2,"y")</f>
        <v>#NUM!</v>
      </c>
      <c r="Q69" s="26" t="e">
        <f>_xll.RtGet("IDN",$K69,IF(OR($D69="BTP,$E11=""CTZ"),Q$5,Q$4))</f>
        <v>#VALUE!</v>
      </c>
      <c r="R69" s="27" t="e">
        <f>_xll.RtGet("IDN",$K69,IF(OR($D69="BTP,$E11=""CTZ"),R$5,R$4))</f>
        <v>#VALUE!</v>
      </c>
      <c r="S69" s="28" t="e">
        <f>_xll.xlBondYieldSensCustom(D69,E69,F69,G69,H69,I69,J69,B69,R69,$AM$2,$AN$2,$AO$2,$AP$2,$AQ$2,"y")</f>
        <v>#NUM!</v>
      </c>
      <c r="T69" s="23" t="e">
        <f t="shared" si="3"/>
        <v>#VALUE!</v>
      </c>
      <c r="U69" s="83" t="e">
        <f>_xll.xlBondYieldSensCustom(D69,E69,F69,G69,H69,I69,J69,B69,T69,$AM$2,$AN$2,$AO$2,$AP$2,$AQ$2,"y")</f>
        <v>#NUM!</v>
      </c>
      <c r="V69" s="23"/>
      <c r="W69" s="23" t="e">
        <f t="shared" si="4"/>
        <v>#VALUE!</v>
      </c>
      <c r="X69" s="22"/>
      <c r="Y69" s="22" t="e">
        <f t="shared" si="5"/>
        <v>#NUM!</v>
      </c>
      <c r="Z69" s="23" t="e">
        <f>_xll.xlBondPriceCustom(D69,E69,F69,G69,H69,I69,J69,B69,Y69,$AM$2,$AN$2,$AO$2,$AP$2,$AQ$2)</f>
        <v>#NUM!</v>
      </c>
      <c r="AA69" s="20" t="e">
        <f t="array" ref="AA69:AG69">_xll.xlBondYieldSens(D69,E69,F69,G69,H69,I69,J69,B69,W69,$AA$5&amp;$AB$5&amp;$AC$5&amp;$AD$5&amp;$AE$5&amp;$AF$5&amp;$AG$5)</f>
        <v>#NUM!</v>
      </c>
      <c r="AB69" s="20" t="e">
        <v>#NUM!</v>
      </c>
      <c r="AC69" s="20" t="e">
        <v>#NUM!</v>
      </c>
      <c r="AD69" s="20" t="e">
        <v>#NUM!</v>
      </c>
      <c r="AE69" s="20" t="e">
        <v>#NUM!</v>
      </c>
      <c r="AF69" s="20" t="e">
        <v>#NUM!</v>
      </c>
      <c r="AG69" s="24" t="e">
        <v>#NUM!</v>
      </c>
      <c r="AH69" s="22" t="e">
        <f>_xll.xlBondYieldSensCustom(D69,E69,F69,G69,H69,I69,J69,B69,W69,$AM$2,$AN$2,$AO$2,$AP$2,$AQ$2,"y")</f>
        <v>#NUM!</v>
      </c>
      <c r="AI69" s="22" t="e">
        <f>IF(OR(TRIM($D69)="CTZ",TRIM($D69)="BTP",TRIM($D69)="BOT"),_xll.xlShmInterpRateFwd("EONIA",_xll.xlDateSettle("target",$B$2,2),0,4,$F69),"")</f>
        <v>#VALUE!</v>
      </c>
      <c r="AJ69" s="85" t="e">
        <f t="shared" si="6"/>
        <v>#NUM!</v>
      </c>
    </row>
    <row r="70" spans="1:36" ht="15.75" x14ac:dyDescent="0.25">
      <c r="A70" s="2"/>
      <c r="B70" s="19" t="e">
        <f>MAX(_xll.xlBondValueDate(D70,$B$2),I70)</f>
        <v>#NUM!</v>
      </c>
      <c r="C70" s="20" t="e">
        <v>#N/A</v>
      </c>
      <c r="D70" s="86" t="e">
        <f t="array" ref="D70:N70">_xll.BondInfo(C70,$D$5:$N$5)</f>
        <v>#VALUE!</v>
      </c>
      <c r="E70" s="20" t="e">
        <v>#VALUE!</v>
      </c>
      <c r="F70" s="87" t="e">
        <v>#VALUE!</v>
      </c>
      <c r="G70" s="19" t="e">
        <v>#VALUE!</v>
      </c>
      <c r="H70" s="19" t="e">
        <v>#VALUE!</v>
      </c>
      <c r="I70" s="19" t="e">
        <v>#VALUE!</v>
      </c>
      <c r="J70" s="20" t="e">
        <v>#VALUE!</v>
      </c>
      <c r="K70" s="20" t="e">
        <v>#VALUE!</v>
      </c>
      <c r="L70" s="20" t="e">
        <v>#VALUE!</v>
      </c>
      <c r="M70" s="20" t="e">
        <v>#VALUE!</v>
      </c>
      <c r="N70" s="20" t="e">
        <v>#VALUE!</v>
      </c>
      <c r="O70" s="21" t="e">
        <f>_xll.BondOutstanding(C70)</f>
        <v>#VALUE!</v>
      </c>
      <c r="P70" s="25" t="e">
        <f>_xll.xlBondYieldSensCustom(D70,E70,F70,G70,H70,I70,J70,B70,Q70,$AM$2,$AN$2,$AO$2,$AP$2,$AQ$2,"y")</f>
        <v>#NUM!</v>
      </c>
      <c r="Q70" s="26" t="e">
        <f>_xll.RtGet("IDN",$K70,IF(OR($D70="BTP,$E11=""CTZ"),Q$5,Q$4))</f>
        <v>#VALUE!</v>
      </c>
      <c r="R70" s="27" t="e">
        <f>_xll.RtGet("IDN",$K70,IF(OR($D70="BTP,$E11=""CTZ"),R$5,R$4))</f>
        <v>#VALUE!</v>
      </c>
      <c r="S70" s="28" t="e">
        <f>_xll.xlBondYieldSensCustom(D70,E70,F70,G70,H70,I70,J70,B70,R70,$AM$2,$AN$2,$AO$2,$AP$2,$AQ$2,"y")</f>
        <v>#NUM!</v>
      </c>
      <c r="T70" s="23" t="e">
        <f t="shared" si="3"/>
        <v>#VALUE!</v>
      </c>
      <c r="U70" s="83" t="e">
        <f>_xll.xlBondYieldSensCustom(D70,E70,F70,G70,H70,I70,J70,B70,T70,$AM$2,$AN$2,$AO$2,$AP$2,$AQ$2,"y")</f>
        <v>#NUM!</v>
      </c>
      <c r="V70" s="23"/>
      <c r="W70" s="23" t="e">
        <f t="shared" ref="W70:W80" si="7">IF(ISNUMBER(V70),V70,T70)</f>
        <v>#VALUE!</v>
      </c>
      <c r="X70" s="22"/>
      <c r="Y70" s="22" t="e">
        <f t="shared" ref="Y70:Y80" si="8">IF(ISNUMBER(X70),X70,AH70)</f>
        <v>#NUM!</v>
      </c>
      <c r="Z70" s="23" t="e">
        <f>_xll.xlBondPriceCustom(D70,E70,F70,G70,H70,I70,J70,B70,Y70,$AM$2,$AN$2,$AO$2,$AP$2,$AQ$2)</f>
        <v>#NUM!</v>
      </c>
      <c r="AA70" s="20" t="e">
        <f t="array" ref="AA70:AG70">_xll.xlBondYieldSens(D70,E70,F70,G70,H70,I70,J70,B70,W70,$AA$5&amp;$AB$5&amp;$AC$5&amp;$AD$5&amp;$AE$5&amp;$AF$5&amp;$AG$5)</f>
        <v>#NUM!</v>
      </c>
      <c r="AB70" s="20" t="e">
        <v>#NUM!</v>
      </c>
      <c r="AC70" s="20" t="e">
        <v>#NUM!</v>
      </c>
      <c r="AD70" s="20" t="e">
        <v>#NUM!</v>
      </c>
      <c r="AE70" s="20" t="e">
        <v>#NUM!</v>
      </c>
      <c r="AF70" s="20" t="e">
        <v>#NUM!</v>
      </c>
      <c r="AG70" s="24" t="e">
        <v>#NUM!</v>
      </c>
      <c r="AH70" s="22" t="e">
        <f>_xll.xlBondYieldSensCustom(D70,E70,F70,G70,H70,I70,J70,B70,W70,$AM$2,$AN$2,$AO$2,$AP$2,$AQ$2,"y")</f>
        <v>#NUM!</v>
      </c>
      <c r="AI70" s="22" t="e">
        <f>IF(OR(TRIM($D70)="CTZ",TRIM($D70)="BTP",TRIM($D70)="BOT"),_xll.xlShmInterpRateFwd("EONIA",_xll.xlDateSettle("target",$B$2,2),0,4,$F70),"")</f>
        <v>#VALUE!</v>
      </c>
      <c r="AJ70" s="85" t="e">
        <f t="shared" ref="AJ70:AJ80" si="9">$Y70-$AI70</f>
        <v>#NUM!</v>
      </c>
    </row>
    <row r="71" spans="1:36" ht="15.75" x14ac:dyDescent="0.25">
      <c r="A71" s="2"/>
      <c r="B71" s="19" t="e">
        <f>MAX(_xll.xlBondValueDate(D71,$B$2),I71)</f>
        <v>#NUM!</v>
      </c>
      <c r="C71" s="20" t="e">
        <v>#N/A</v>
      </c>
      <c r="D71" s="86" t="e">
        <f t="array" ref="D71:N71">_xll.BondInfo(C71,$D$5:$N$5)</f>
        <v>#VALUE!</v>
      </c>
      <c r="E71" s="20" t="e">
        <v>#VALUE!</v>
      </c>
      <c r="F71" s="87" t="e">
        <v>#VALUE!</v>
      </c>
      <c r="G71" s="19" t="e">
        <v>#VALUE!</v>
      </c>
      <c r="H71" s="19" t="e">
        <v>#VALUE!</v>
      </c>
      <c r="I71" s="19" t="e">
        <v>#VALUE!</v>
      </c>
      <c r="J71" s="20" t="e">
        <v>#VALUE!</v>
      </c>
      <c r="K71" s="20" t="e">
        <v>#VALUE!</v>
      </c>
      <c r="L71" s="20" t="e">
        <v>#VALUE!</v>
      </c>
      <c r="M71" s="20" t="e">
        <v>#VALUE!</v>
      </c>
      <c r="N71" s="20" t="e">
        <v>#VALUE!</v>
      </c>
      <c r="O71" s="21" t="e">
        <f>_xll.BondOutstanding(C71)</f>
        <v>#VALUE!</v>
      </c>
      <c r="P71" s="25" t="e">
        <f>_xll.xlBondYieldSensCustom(D71,E71,F71,G71,H71,I71,J71,B71,Q71,$AM$2,$AN$2,$AO$2,$AP$2,$AQ$2,"y")</f>
        <v>#NUM!</v>
      </c>
      <c r="Q71" s="26" t="e">
        <f>_xll.RtGet("IDN",$K71,IF(OR($D71="BTP,$E11=""CTZ"),Q$5,Q$4))</f>
        <v>#VALUE!</v>
      </c>
      <c r="R71" s="27" t="e">
        <f>_xll.RtGet("IDN",$K71,IF(OR($D71="BTP,$E11=""CTZ"),R$5,R$4))</f>
        <v>#VALUE!</v>
      </c>
      <c r="S71" s="28" t="e">
        <f>_xll.xlBondYieldSensCustom(D71,E71,F71,G71,H71,I71,J71,B71,R71,$AM$2,$AN$2,$AO$2,$AP$2,$AQ$2,"y")</f>
        <v>#NUM!</v>
      </c>
      <c r="T71" s="23" t="e">
        <f t="shared" ref="T71:T80" si="10">AVERAGE(Q71:R71)</f>
        <v>#VALUE!</v>
      </c>
      <c r="U71" s="83" t="e">
        <f>_xll.xlBondYieldSensCustom(D71,E71,F71,G71,H71,I71,J71,B71,T71,$AM$2,$AN$2,$AO$2,$AP$2,$AQ$2,"y")</f>
        <v>#NUM!</v>
      </c>
      <c r="V71" s="23"/>
      <c r="W71" s="23" t="e">
        <f t="shared" si="7"/>
        <v>#VALUE!</v>
      </c>
      <c r="X71" s="22"/>
      <c r="Y71" s="22" t="e">
        <f t="shared" si="8"/>
        <v>#NUM!</v>
      </c>
      <c r="Z71" s="23" t="e">
        <f>_xll.xlBondPriceCustom(D71,E71,F71,G71,H71,I71,J71,B71,Y71,$AM$2,$AN$2,$AO$2,$AP$2,$AQ$2)</f>
        <v>#NUM!</v>
      </c>
      <c r="AA71" s="20" t="e">
        <f t="array" ref="AA71:AG71">_xll.xlBondYieldSens(D71,E71,F71,G71,H71,I71,J71,B71,W71,$AA$5&amp;$AB$5&amp;$AC$5&amp;$AD$5&amp;$AE$5&amp;$AF$5&amp;$AG$5)</f>
        <v>#NUM!</v>
      </c>
      <c r="AB71" s="20" t="e">
        <v>#NUM!</v>
      </c>
      <c r="AC71" s="20" t="e">
        <v>#NUM!</v>
      </c>
      <c r="AD71" s="20" t="e">
        <v>#NUM!</v>
      </c>
      <c r="AE71" s="20" t="e">
        <v>#NUM!</v>
      </c>
      <c r="AF71" s="20" t="e">
        <v>#NUM!</v>
      </c>
      <c r="AG71" s="24" t="e">
        <v>#NUM!</v>
      </c>
      <c r="AH71" s="22" t="e">
        <f>_xll.xlBondYieldSensCustom(D71,E71,F71,G71,H71,I71,J71,B71,W71,$AM$2,$AN$2,$AO$2,$AP$2,$AQ$2,"y")</f>
        <v>#NUM!</v>
      </c>
      <c r="AI71" s="22" t="e">
        <f>IF(OR(TRIM($D71)="CTZ",TRIM($D71)="BTP",TRIM($D71)="BOT"),_xll.xlShmInterpRateFwd("EONIA",_xll.xlDateSettle("target",$B$2,2),0,4,$F71),"")</f>
        <v>#VALUE!</v>
      </c>
      <c r="AJ71" s="85" t="e">
        <f t="shared" si="9"/>
        <v>#NUM!</v>
      </c>
    </row>
    <row r="72" spans="1:36" ht="15.75" x14ac:dyDescent="0.25">
      <c r="A72" s="2"/>
      <c r="B72" s="19" t="e">
        <f>MAX(_xll.xlBondValueDate(D72,$B$2),I72)</f>
        <v>#NUM!</v>
      </c>
      <c r="C72" s="20" t="e">
        <v>#N/A</v>
      </c>
      <c r="D72" s="86" t="e">
        <f t="array" ref="D72:N72">_xll.BondInfo(C72,$D$5:$N$5)</f>
        <v>#VALUE!</v>
      </c>
      <c r="E72" s="20" t="e">
        <v>#VALUE!</v>
      </c>
      <c r="F72" s="87" t="e">
        <v>#VALUE!</v>
      </c>
      <c r="G72" s="19" t="e">
        <v>#VALUE!</v>
      </c>
      <c r="H72" s="19" t="e">
        <v>#VALUE!</v>
      </c>
      <c r="I72" s="19" t="e">
        <v>#VALUE!</v>
      </c>
      <c r="J72" s="20" t="e">
        <v>#VALUE!</v>
      </c>
      <c r="K72" s="20" t="e">
        <v>#VALUE!</v>
      </c>
      <c r="L72" s="20" t="e">
        <v>#VALUE!</v>
      </c>
      <c r="M72" s="20" t="e">
        <v>#VALUE!</v>
      </c>
      <c r="N72" s="20" t="e">
        <v>#VALUE!</v>
      </c>
      <c r="O72" s="21" t="e">
        <f>_xll.BondOutstanding(C72)</f>
        <v>#VALUE!</v>
      </c>
      <c r="P72" s="25" t="e">
        <f>_xll.xlBondYieldSensCustom(D72,E72,F72,G72,H72,I72,J72,B72,Q72,$AM$2,$AN$2,$AO$2,$AP$2,$AQ$2,"y")</f>
        <v>#NUM!</v>
      </c>
      <c r="Q72" s="26" t="e">
        <f>_xll.RtGet("IDN",$K72,IF(OR($D72="BTP,$E11=""CTZ"),Q$5,Q$4))</f>
        <v>#VALUE!</v>
      </c>
      <c r="R72" s="27" t="e">
        <f>_xll.RtGet("IDN",$K72,IF(OR($D72="BTP,$E11=""CTZ"),R$5,R$4))</f>
        <v>#VALUE!</v>
      </c>
      <c r="S72" s="28" t="e">
        <f>_xll.xlBondYieldSensCustom(D72,E72,F72,G72,H72,I72,J72,B72,R72,$AM$2,$AN$2,$AO$2,$AP$2,$AQ$2,"y")</f>
        <v>#NUM!</v>
      </c>
      <c r="T72" s="23" t="e">
        <f t="shared" si="10"/>
        <v>#VALUE!</v>
      </c>
      <c r="U72" s="83" t="e">
        <f>_xll.xlBondYieldSensCustom(D72,E72,F72,G72,H72,I72,J72,B72,T72,$AM$2,$AN$2,$AO$2,$AP$2,$AQ$2,"y")</f>
        <v>#NUM!</v>
      </c>
      <c r="V72" s="23"/>
      <c r="W72" s="23" t="e">
        <f t="shared" si="7"/>
        <v>#VALUE!</v>
      </c>
      <c r="X72" s="22"/>
      <c r="Y72" s="22" t="e">
        <f t="shared" si="8"/>
        <v>#NUM!</v>
      </c>
      <c r="Z72" s="23" t="e">
        <f>_xll.xlBondPriceCustom(D72,E72,F72,G72,H72,I72,J72,B72,Y72,$AM$2,$AN$2,$AO$2,$AP$2,$AQ$2)</f>
        <v>#NUM!</v>
      </c>
      <c r="AA72" s="20" t="e">
        <f t="array" ref="AA72:AG72">_xll.xlBondYieldSens(D72,E72,F72,G72,H72,I72,J72,B72,W72,$AA$5&amp;$AB$5&amp;$AC$5&amp;$AD$5&amp;$AE$5&amp;$AF$5&amp;$AG$5)</f>
        <v>#NUM!</v>
      </c>
      <c r="AB72" s="20" t="e">
        <v>#NUM!</v>
      </c>
      <c r="AC72" s="20" t="e">
        <v>#NUM!</v>
      </c>
      <c r="AD72" s="20" t="e">
        <v>#NUM!</v>
      </c>
      <c r="AE72" s="20" t="e">
        <v>#NUM!</v>
      </c>
      <c r="AF72" s="20" t="e">
        <v>#NUM!</v>
      </c>
      <c r="AG72" s="24" t="e">
        <v>#NUM!</v>
      </c>
      <c r="AH72" s="22" t="e">
        <f>_xll.xlBondYieldSensCustom(D72,E72,F72,G72,H72,I72,J72,B72,W72,$AM$2,$AN$2,$AO$2,$AP$2,$AQ$2,"y")</f>
        <v>#NUM!</v>
      </c>
      <c r="AI72" s="22"/>
      <c r="AJ72" s="85" t="e">
        <f t="shared" si="9"/>
        <v>#NUM!</v>
      </c>
    </row>
    <row r="73" spans="1:36" ht="15.75" x14ac:dyDescent="0.25">
      <c r="A73" s="2"/>
      <c r="B73" s="19" t="e">
        <f>MAX(_xll.xlBondValueDate(D73,$B$2),I73)</f>
        <v>#NUM!</v>
      </c>
      <c r="C73" s="20" t="e">
        <v>#N/A</v>
      </c>
      <c r="D73" s="86" t="e">
        <f t="array" ref="D73:N73">_xll.BondInfo(C73,$D$5:$N$5)</f>
        <v>#VALUE!</v>
      </c>
      <c r="E73" s="20" t="e">
        <v>#VALUE!</v>
      </c>
      <c r="F73" s="87" t="e">
        <v>#VALUE!</v>
      </c>
      <c r="G73" s="19" t="e">
        <v>#VALUE!</v>
      </c>
      <c r="H73" s="19" t="e">
        <v>#VALUE!</v>
      </c>
      <c r="I73" s="19" t="e">
        <v>#VALUE!</v>
      </c>
      <c r="J73" s="20" t="e">
        <v>#VALUE!</v>
      </c>
      <c r="K73" s="20" t="e">
        <v>#VALUE!</v>
      </c>
      <c r="L73" s="20" t="e">
        <v>#VALUE!</v>
      </c>
      <c r="M73" s="20" t="e">
        <v>#VALUE!</v>
      </c>
      <c r="N73" s="20" t="e">
        <v>#VALUE!</v>
      </c>
      <c r="O73" s="21" t="e">
        <f>_xll.BondOutstanding(C73)</f>
        <v>#VALUE!</v>
      </c>
      <c r="P73" s="25" t="e">
        <f>_xll.xlBondYieldSensCustom(D73,E73,F73,G73,H73,I73,J73,B73,Q73,$AM$2,$AN$2,$AO$2,$AP$2,$AQ$2,"y")</f>
        <v>#NUM!</v>
      </c>
      <c r="Q73" s="26" t="e">
        <f>_xll.RtGet("IDN",$K73,IF(OR($D73="BTP,$E11=""CTZ"),Q$5,Q$4))</f>
        <v>#VALUE!</v>
      </c>
      <c r="R73" s="27" t="e">
        <f>_xll.RtGet("IDN",$K73,IF(OR($D73="BTP,$E11=""CTZ"),R$5,R$4))</f>
        <v>#VALUE!</v>
      </c>
      <c r="S73" s="28" t="e">
        <f>_xll.xlBondYieldSensCustom(D73,E73,F73,G73,H73,I73,J73,B73,R73,$AM$2,$AN$2,$AO$2,$AP$2,$AQ$2,"y")</f>
        <v>#NUM!</v>
      </c>
      <c r="T73" s="23" t="e">
        <f t="shared" si="10"/>
        <v>#VALUE!</v>
      </c>
      <c r="U73" s="83" t="e">
        <f>_xll.xlBondYieldSensCustom(D73,E73,F73,G73,H73,I73,J73,B73,T73,$AM$2,$AN$2,$AO$2,$AP$2,$AQ$2,"y")</f>
        <v>#NUM!</v>
      </c>
      <c r="V73" s="23"/>
      <c r="W73" s="23" t="e">
        <f t="shared" si="7"/>
        <v>#VALUE!</v>
      </c>
      <c r="X73" s="22"/>
      <c r="Y73" s="22" t="e">
        <f t="shared" si="8"/>
        <v>#NUM!</v>
      </c>
      <c r="Z73" s="23" t="e">
        <f>_xll.xlBondPriceCustom(D73,E73,F73,G73,H73,I73,J73,B73,Y73,$AM$2,$AN$2,$AO$2,$AP$2,$AQ$2)</f>
        <v>#NUM!</v>
      </c>
      <c r="AA73" s="20" t="e">
        <f t="array" ref="AA73:AG73">_xll.xlBondYieldSens(D73,E73,F73,G73,H73,I73,J73,B73,W73,$AA$5&amp;$AB$5&amp;$AC$5&amp;$AD$5&amp;$AE$5&amp;$AF$5&amp;$AG$5)</f>
        <v>#NUM!</v>
      </c>
      <c r="AB73" s="20" t="e">
        <v>#NUM!</v>
      </c>
      <c r="AC73" s="20" t="e">
        <v>#NUM!</v>
      </c>
      <c r="AD73" s="20" t="e">
        <v>#NUM!</v>
      </c>
      <c r="AE73" s="20" t="e">
        <v>#NUM!</v>
      </c>
      <c r="AF73" s="20" t="e">
        <v>#NUM!</v>
      </c>
      <c r="AG73" s="24" t="e">
        <v>#NUM!</v>
      </c>
      <c r="AH73" s="22" t="e">
        <f>_xll.xlBondYieldSensCustom(D73,E73,F73,G73,H73,I73,J73,B73,W73,$AM$2,$AN$2,$AO$2,$AP$2,$AQ$2,"y")</f>
        <v>#NUM!</v>
      </c>
      <c r="AI73" s="22"/>
      <c r="AJ73" s="85" t="e">
        <f t="shared" si="9"/>
        <v>#NUM!</v>
      </c>
    </row>
    <row r="74" spans="1:36" ht="15.75" x14ac:dyDescent="0.25">
      <c r="A74" s="2"/>
      <c r="B74" s="19" t="e">
        <f>MAX(_xll.xlBondValueDate(D74,$B$2),I74)</f>
        <v>#NUM!</v>
      </c>
      <c r="C74" s="20" t="e">
        <v>#N/A</v>
      </c>
      <c r="D74" s="86" t="e">
        <f t="array" ref="D74:N74">_xll.BondInfo(C74,$D$5:$N$5)</f>
        <v>#VALUE!</v>
      </c>
      <c r="E74" s="20" t="e">
        <v>#VALUE!</v>
      </c>
      <c r="F74" s="87" t="e">
        <v>#VALUE!</v>
      </c>
      <c r="G74" s="19" t="e">
        <v>#VALUE!</v>
      </c>
      <c r="H74" s="19" t="e">
        <v>#VALUE!</v>
      </c>
      <c r="I74" s="19" t="e">
        <v>#VALUE!</v>
      </c>
      <c r="J74" s="20" t="e">
        <v>#VALUE!</v>
      </c>
      <c r="K74" s="20" t="e">
        <v>#VALUE!</v>
      </c>
      <c r="L74" s="20" t="e">
        <v>#VALUE!</v>
      </c>
      <c r="M74" s="20" t="e">
        <v>#VALUE!</v>
      </c>
      <c r="N74" s="20" t="e">
        <v>#VALUE!</v>
      </c>
      <c r="O74" s="21" t="e">
        <f>_xll.BondOutstanding(C74)</f>
        <v>#VALUE!</v>
      </c>
      <c r="P74" s="25" t="e">
        <f>_xll.xlBondYieldSensCustom(D74,E74,F74,G74,H74,I74,J74,B74,Q74,$AM$2,$AN$2,$AO$2,$AP$2,$AQ$2,"y")</f>
        <v>#NUM!</v>
      </c>
      <c r="Q74" s="26" t="e">
        <f>_xll.RtGet("IDN",$K74,IF(OR($D74="BTP,$E11=""CTZ"),Q$5,Q$4))</f>
        <v>#VALUE!</v>
      </c>
      <c r="R74" s="27" t="e">
        <f>_xll.RtGet("IDN",$K74,IF(OR($D74="BTP,$E11=""CTZ"),R$5,R$4))</f>
        <v>#VALUE!</v>
      </c>
      <c r="S74" s="28" t="e">
        <f>_xll.xlBondYieldSensCustom(D74,E74,F74,G74,H74,I74,J74,B74,R74,$AM$2,$AN$2,$AO$2,$AP$2,$AQ$2,"y")</f>
        <v>#NUM!</v>
      </c>
      <c r="T74" s="23" t="e">
        <f t="shared" si="10"/>
        <v>#VALUE!</v>
      </c>
      <c r="U74" s="83" t="e">
        <f>_xll.xlBondYieldSensCustom(D74,E74,F74,G74,H74,I74,J74,B74,T74,$AM$2,$AN$2,$AO$2,$AP$2,$AQ$2,"y")</f>
        <v>#NUM!</v>
      </c>
      <c r="V74" s="23"/>
      <c r="W74" s="23" t="e">
        <f t="shared" si="7"/>
        <v>#VALUE!</v>
      </c>
      <c r="X74" s="22"/>
      <c r="Y74" s="22" t="e">
        <f t="shared" si="8"/>
        <v>#NUM!</v>
      </c>
      <c r="Z74" s="23" t="e">
        <f>_xll.xlBondPriceCustom(D74,E74,F74,G74,H74,I74,J74,B74,Y74,$AM$2,$AN$2,$AO$2,$AP$2,$AQ$2)</f>
        <v>#NUM!</v>
      </c>
      <c r="AA74" s="20" t="e">
        <f t="array" ref="AA74:AG74">_xll.xlBondYieldSens(D74,E74,F74,G74,H74,I74,J74,B74,W74,$AA$5&amp;$AB$5&amp;$AC$5&amp;$AD$5&amp;$AE$5&amp;$AF$5&amp;$AG$5)</f>
        <v>#NUM!</v>
      </c>
      <c r="AB74" s="20" t="e">
        <v>#NUM!</v>
      </c>
      <c r="AC74" s="20" t="e">
        <v>#NUM!</v>
      </c>
      <c r="AD74" s="20" t="e">
        <v>#NUM!</v>
      </c>
      <c r="AE74" s="20" t="e">
        <v>#NUM!</v>
      </c>
      <c r="AF74" s="20" t="e">
        <v>#NUM!</v>
      </c>
      <c r="AG74" s="24" t="e">
        <v>#NUM!</v>
      </c>
      <c r="AH74" s="22" t="e">
        <f>_xll.xlBondYieldSensCustom(D74,E74,F74,G74,H74,I74,J74,B74,W74,$AM$2,$AN$2,$AO$2,$AP$2,$AQ$2,"y")</f>
        <v>#NUM!</v>
      </c>
      <c r="AI74" s="22"/>
      <c r="AJ74" s="85" t="e">
        <f t="shared" si="9"/>
        <v>#NUM!</v>
      </c>
    </row>
    <row r="75" spans="1:36" ht="15.75" x14ac:dyDescent="0.25">
      <c r="A75" s="2"/>
      <c r="B75" s="19" t="e">
        <f>MAX(_xll.xlBondValueDate(D75,$B$2),I75)</f>
        <v>#NUM!</v>
      </c>
      <c r="C75" s="20" t="e">
        <v>#N/A</v>
      </c>
      <c r="D75" s="86" t="e">
        <f t="array" ref="D75:N75">_xll.BondInfo(C75,$D$5:$N$5)</f>
        <v>#VALUE!</v>
      </c>
      <c r="E75" s="20" t="e">
        <v>#VALUE!</v>
      </c>
      <c r="F75" s="87" t="e">
        <v>#VALUE!</v>
      </c>
      <c r="G75" s="19" t="e">
        <v>#VALUE!</v>
      </c>
      <c r="H75" s="19" t="e">
        <v>#VALUE!</v>
      </c>
      <c r="I75" s="19" t="e">
        <v>#VALUE!</v>
      </c>
      <c r="J75" s="20" t="e">
        <v>#VALUE!</v>
      </c>
      <c r="K75" s="20" t="e">
        <v>#VALUE!</v>
      </c>
      <c r="L75" s="20" t="e">
        <v>#VALUE!</v>
      </c>
      <c r="M75" s="20" t="e">
        <v>#VALUE!</v>
      </c>
      <c r="N75" s="20" t="e">
        <v>#VALUE!</v>
      </c>
      <c r="O75" s="21" t="e">
        <f>_xll.BondOutstanding(C75)</f>
        <v>#VALUE!</v>
      </c>
      <c r="P75" s="25" t="e">
        <f>_xll.xlBondYieldSensCustom(D75,E75,F75,G75,H75,I75,J75,B75,Q75,$AM$2,$AN$2,$AO$2,$AP$2,$AQ$2,"y")</f>
        <v>#NUM!</v>
      </c>
      <c r="Q75" s="26" t="e">
        <f>_xll.RtGet("IDN",$K75,IF(OR($D75="BTP,$E11=""CTZ"),Q$5,Q$4))</f>
        <v>#VALUE!</v>
      </c>
      <c r="R75" s="27" t="e">
        <f>_xll.RtGet("IDN",$K75,IF(OR($D75="BTP,$E11=""CTZ"),R$5,R$4))</f>
        <v>#VALUE!</v>
      </c>
      <c r="S75" s="28" t="e">
        <f>_xll.xlBondYieldSensCustom(D75,E75,F75,G75,H75,I75,J75,B75,R75,$AM$2,$AN$2,$AO$2,$AP$2,$AQ$2,"y")</f>
        <v>#NUM!</v>
      </c>
      <c r="T75" s="23" t="e">
        <f t="shared" si="10"/>
        <v>#VALUE!</v>
      </c>
      <c r="U75" s="83" t="e">
        <f>_xll.xlBondYieldSensCustom(D75,E75,F75,G75,H75,I75,J75,B75,T75,$AM$2,$AN$2,$AO$2,$AP$2,$AQ$2,"y")</f>
        <v>#NUM!</v>
      </c>
      <c r="V75" s="23"/>
      <c r="W75" s="23" t="e">
        <f t="shared" si="7"/>
        <v>#VALUE!</v>
      </c>
      <c r="X75" s="22"/>
      <c r="Y75" s="22" t="e">
        <f t="shared" si="8"/>
        <v>#NUM!</v>
      </c>
      <c r="Z75" s="23" t="e">
        <f>_xll.xlBondPriceCustom(D75,E75,F75,G75,H75,I75,J75,B75,Y75,$AM$2,$AN$2,$AO$2,$AP$2,$AQ$2)</f>
        <v>#NUM!</v>
      </c>
      <c r="AA75" s="20" t="e">
        <f t="array" ref="AA75:AG75">_xll.xlBondYieldSens(D75,E75,F75,G75,H75,I75,J75,B75,W75,$AA$5&amp;$AB$5&amp;$AC$5&amp;$AD$5&amp;$AE$5&amp;$AF$5&amp;$AG$5)</f>
        <v>#NUM!</v>
      </c>
      <c r="AB75" s="20" t="e">
        <v>#NUM!</v>
      </c>
      <c r="AC75" s="20" t="e">
        <v>#NUM!</v>
      </c>
      <c r="AD75" s="20" t="e">
        <v>#NUM!</v>
      </c>
      <c r="AE75" s="20" t="e">
        <v>#NUM!</v>
      </c>
      <c r="AF75" s="20" t="e">
        <v>#NUM!</v>
      </c>
      <c r="AG75" s="24" t="e">
        <v>#NUM!</v>
      </c>
      <c r="AH75" s="22" t="e">
        <f>_xll.xlBondYieldSensCustom(D75,E75,F75,G75,H75,I75,J75,B75,W75,$AM$2,$AN$2,$AO$2,$AP$2,$AQ$2,"y")</f>
        <v>#NUM!</v>
      </c>
      <c r="AI75" s="22"/>
      <c r="AJ75" s="85" t="e">
        <f t="shared" si="9"/>
        <v>#NUM!</v>
      </c>
    </row>
    <row r="76" spans="1:36" ht="15.75" x14ac:dyDescent="0.25">
      <c r="A76" s="2"/>
      <c r="B76" s="19" t="e">
        <f>MAX(_xll.xlBondValueDate(D76,$B$2),I76)</f>
        <v>#NUM!</v>
      </c>
      <c r="C76" s="20" t="e">
        <v>#N/A</v>
      </c>
      <c r="D76" s="86" t="e">
        <f t="array" ref="D76:N76">_xll.BondInfo(C76,$D$5:$N$5)</f>
        <v>#VALUE!</v>
      </c>
      <c r="E76" s="20" t="e">
        <v>#VALUE!</v>
      </c>
      <c r="F76" s="87" t="e">
        <v>#VALUE!</v>
      </c>
      <c r="G76" s="19" t="e">
        <v>#VALUE!</v>
      </c>
      <c r="H76" s="19" t="e">
        <v>#VALUE!</v>
      </c>
      <c r="I76" s="19" t="e">
        <v>#VALUE!</v>
      </c>
      <c r="J76" s="20" t="e">
        <v>#VALUE!</v>
      </c>
      <c r="K76" s="20" t="e">
        <v>#VALUE!</v>
      </c>
      <c r="L76" s="20" t="e">
        <v>#VALUE!</v>
      </c>
      <c r="M76" s="20" t="e">
        <v>#VALUE!</v>
      </c>
      <c r="N76" s="20" t="e">
        <v>#VALUE!</v>
      </c>
      <c r="O76" s="21" t="e">
        <f>_xll.BondOutstanding(C76)</f>
        <v>#VALUE!</v>
      </c>
      <c r="P76" s="25" t="e">
        <f>_xll.xlBondYieldSensCustom(D76,E76,F76,G76,H76,I76,J76,B76,Q76,$AM$2,$AN$2,$AO$2,$AP$2,$AQ$2,"y")</f>
        <v>#NUM!</v>
      </c>
      <c r="Q76" s="26" t="e">
        <f>_xll.RtGet("IDN",$K76,IF(OR($D76="BTP,$E11=""CTZ"),Q$5,Q$4))</f>
        <v>#VALUE!</v>
      </c>
      <c r="R76" s="27" t="e">
        <f>_xll.RtGet("IDN",$K76,IF(OR($D76="BTP,$E11=""CTZ"),R$5,R$4))</f>
        <v>#VALUE!</v>
      </c>
      <c r="S76" s="28" t="e">
        <f>_xll.xlBondYieldSensCustom(D76,E76,F76,G76,H76,I76,J76,B76,R76,$AM$2,$AN$2,$AO$2,$AP$2,$AQ$2,"y")</f>
        <v>#NUM!</v>
      </c>
      <c r="T76" s="23" t="e">
        <f t="shared" si="10"/>
        <v>#VALUE!</v>
      </c>
      <c r="U76" s="83" t="e">
        <f>_xll.xlBondYieldSensCustom(D76,E76,F76,G76,H76,I76,J76,B76,T76,$AM$2,$AN$2,$AO$2,$AP$2,$AQ$2,"y")</f>
        <v>#NUM!</v>
      </c>
      <c r="V76" s="23"/>
      <c r="W76" s="23" t="e">
        <f t="shared" si="7"/>
        <v>#VALUE!</v>
      </c>
      <c r="X76" s="22"/>
      <c r="Y76" s="22" t="e">
        <f t="shared" si="8"/>
        <v>#NUM!</v>
      </c>
      <c r="Z76" s="23" t="e">
        <f>_xll.xlBondPriceCustom(D76,E76,F76,G76,H76,I76,J76,B76,Y76,$AM$2,$AN$2,$AO$2,$AP$2,$AQ$2)</f>
        <v>#NUM!</v>
      </c>
      <c r="AA76" s="20" t="e">
        <f t="array" ref="AA76:AG76">_xll.xlBondYieldSens(D76,E76,F76,G76,H76,I76,J76,B76,W76,$AA$5&amp;$AB$5&amp;$AC$5&amp;$AD$5&amp;$AE$5&amp;$AF$5&amp;$AG$5)</f>
        <v>#NUM!</v>
      </c>
      <c r="AB76" s="20" t="e">
        <v>#NUM!</v>
      </c>
      <c r="AC76" s="20" t="e">
        <v>#NUM!</v>
      </c>
      <c r="AD76" s="20" t="e">
        <v>#NUM!</v>
      </c>
      <c r="AE76" s="20" t="e">
        <v>#NUM!</v>
      </c>
      <c r="AF76" s="20" t="e">
        <v>#NUM!</v>
      </c>
      <c r="AG76" s="24" t="e">
        <v>#NUM!</v>
      </c>
      <c r="AH76" s="22" t="e">
        <f>_xll.xlBondYieldSensCustom(D76,E76,F76,G76,H76,I76,J76,B76,W76,$AM$2,$AN$2,$AO$2,$AP$2,$AQ$2,"y")</f>
        <v>#NUM!</v>
      </c>
      <c r="AI76" s="22"/>
      <c r="AJ76" s="85" t="e">
        <f t="shared" si="9"/>
        <v>#NUM!</v>
      </c>
    </row>
    <row r="77" spans="1:36" ht="15.75" x14ac:dyDescent="0.25">
      <c r="A77" s="2"/>
      <c r="B77" s="19" t="e">
        <f>MAX(_xll.xlBondValueDate(D77,$B$2),I77)</f>
        <v>#NUM!</v>
      </c>
      <c r="C77" s="20" t="e">
        <v>#N/A</v>
      </c>
      <c r="D77" s="86" t="e">
        <f t="array" ref="D77:N77">_xll.BondInfo(C77,$D$5:$N$5)</f>
        <v>#VALUE!</v>
      </c>
      <c r="E77" s="20" t="e">
        <v>#VALUE!</v>
      </c>
      <c r="F77" s="87" t="e">
        <v>#VALUE!</v>
      </c>
      <c r="G77" s="19" t="e">
        <v>#VALUE!</v>
      </c>
      <c r="H77" s="19" t="e">
        <v>#VALUE!</v>
      </c>
      <c r="I77" s="19" t="e">
        <v>#VALUE!</v>
      </c>
      <c r="J77" s="20" t="e">
        <v>#VALUE!</v>
      </c>
      <c r="K77" s="20" t="e">
        <v>#VALUE!</v>
      </c>
      <c r="L77" s="20" t="e">
        <v>#VALUE!</v>
      </c>
      <c r="M77" s="20" t="e">
        <v>#VALUE!</v>
      </c>
      <c r="N77" s="20" t="e">
        <v>#VALUE!</v>
      </c>
      <c r="O77" s="21" t="e">
        <f>_xll.BondOutstanding(C77)</f>
        <v>#VALUE!</v>
      </c>
      <c r="P77" s="25" t="e">
        <f>_xll.xlBondYieldSensCustom(D77,E77,F77,G77,H77,I77,J77,B77,Q77,$AM$2,$AN$2,$AO$2,$AP$2,$AQ$2,"y")</f>
        <v>#NUM!</v>
      </c>
      <c r="Q77" s="26" t="e">
        <f>_xll.RtGet("IDN",$K77,IF(OR($D77="BTP,$E11=""CTZ"),Q$5,Q$4))</f>
        <v>#VALUE!</v>
      </c>
      <c r="R77" s="27" t="e">
        <f>_xll.RtGet("IDN",$K77,IF(OR($D77="BTP,$E11=""CTZ"),R$5,R$4))</f>
        <v>#VALUE!</v>
      </c>
      <c r="S77" s="28" t="e">
        <f>_xll.xlBondYieldSensCustom(D77,E77,F77,G77,H77,I77,J77,B77,R77,$AM$2,$AN$2,$AO$2,$AP$2,$AQ$2,"y")</f>
        <v>#NUM!</v>
      </c>
      <c r="T77" s="23" t="e">
        <f t="shared" si="10"/>
        <v>#VALUE!</v>
      </c>
      <c r="U77" s="83" t="e">
        <f>_xll.xlBondYieldSensCustom(D77,E77,F77,G77,H77,I77,J77,B77,T77,$AM$2,$AN$2,$AO$2,$AP$2,$AQ$2,"y")</f>
        <v>#NUM!</v>
      </c>
      <c r="V77" s="23"/>
      <c r="W77" s="23" t="e">
        <f t="shared" si="7"/>
        <v>#VALUE!</v>
      </c>
      <c r="X77" s="22"/>
      <c r="Y77" s="22" t="e">
        <f t="shared" si="8"/>
        <v>#NUM!</v>
      </c>
      <c r="Z77" s="23" t="e">
        <f>_xll.xlBondPriceCustom(D77,E77,F77,G77,H77,I77,J77,B77,Y77,$AM$2,$AN$2,$AO$2,$AP$2,$AQ$2)</f>
        <v>#NUM!</v>
      </c>
      <c r="AA77" s="20" t="e">
        <f t="array" ref="AA77:AG77">_xll.xlBondYieldSens(D77,E77,F77,G77,H77,I77,J77,B77,W77,$AA$5&amp;$AB$5&amp;$AC$5&amp;$AD$5&amp;$AE$5&amp;$AF$5&amp;$AG$5)</f>
        <v>#NUM!</v>
      </c>
      <c r="AB77" s="20" t="e">
        <v>#NUM!</v>
      </c>
      <c r="AC77" s="20" t="e">
        <v>#NUM!</v>
      </c>
      <c r="AD77" s="20" t="e">
        <v>#NUM!</v>
      </c>
      <c r="AE77" s="20" t="e">
        <v>#NUM!</v>
      </c>
      <c r="AF77" s="20" t="e">
        <v>#NUM!</v>
      </c>
      <c r="AG77" s="24" t="e">
        <v>#NUM!</v>
      </c>
      <c r="AH77" s="22" t="e">
        <f>_xll.xlBondYieldSensCustom(D77,E77,F77,G77,H77,I77,J77,B77,W77,$AM$2,$AN$2,$AO$2,$AP$2,$AQ$2,"y")</f>
        <v>#NUM!</v>
      </c>
      <c r="AI77" s="22"/>
      <c r="AJ77" s="85" t="e">
        <f t="shared" si="9"/>
        <v>#NUM!</v>
      </c>
    </row>
    <row r="78" spans="1:36" ht="15.75" x14ac:dyDescent="0.25">
      <c r="A78" s="2"/>
      <c r="B78" s="19" t="e">
        <f>MAX(_xll.xlBondValueDate(D78,$B$2),I78)</f>
        <v>#NUM!</v>
      </c>
      <c r="C78" s="20" t="e">
        <v>#N/A</v>
      </c>
      <c r="D78" s="86" t="e">
        <f t="array" ref="D78:N78">_xll.BondInfo(C78,$D$5:$N$5)</f>
        <v>#VALUE!</v>
      </c>
      <c r="E78" s="20" t="e">
        <v>#VALUE!</v>
      </c>
      <c r="F78" s="87" t="e">
        <v>#VALUE!</v>
      </c>
      <c r="G78" s="19" t="e">
        <v>#VALUE!</v>
      </c>
      <c r="H78" s="19" t="e">
        <v>#VALUE!</v>
      </c>
      <c r="I78" s="19" t="e">
        <v>#VALUE!</v>
      </c>
      <c r="J78" s="20" t="e">
        <v>#VALUE!</v>
      </c>
      <c r="K78" s="20" t="e">
        <v>#VALUE!</v>
      </c>
      <c r="L78" s="20" t="e">
        <v>#VALUE!</v>
      </c>
      <c r="M78" s="20" t="e">
        <v>#VALUE!</v>
      </c>
      <c r="N78" s="20" t="e">
        <v>#VALUE!</v>
      </c>
      <c r="O78" s="21" t="e">
        <f>_xll.BondOutstanding(C78)</f>
        <v>#VALUE!</v>
      </c>
      <c r="P78" s="25" t="e">
        <f>_xll.xlBondYieldSensCustom(D78,E78,F78,G78,H78,I78,J78,B78,Q78,$AM$2,$AN$2,$AO$2,$AP$2,$AQ$2,"y")</f>
        <v>#NUM!</v>
      </c>
      <c r="Q78" s="26" t="e">
        <f>_xll.RtGet("IDN",$K78,IF(OR($D78="BTP,$E11=""CTZ"),Q$5,Q$4))</f>
        <v>#VALUE!</v>
      </c>
      <c r="R78" s="27" t="e">
        <f>_xll.RtGet("IDN",$K78,IF(OR($D78="BTP,$E11=""CTZ"),R$5,R$4))</f>
        <v>#VALUE!</v>
      </c>
      <c r="S78" s="28" t="e">
        <f>_xll.xlBondYieldSensCustom(D78,E78,F78,G78,H78,I78,J78,B78,R78,$AM$2,$AN$2,$AO$2,$AP$2,$AQ$2,"y")</f>
        <v>#NUM!</v>
      </c>
      <c r="T78" s="23" t="e">
        <f t="shared" si="10"/>
        <v>#VALUE!</v>
      </c>
      <c r="U78" s="83" t="e">
        <f>_xll.xlBondYieldSensCustom(D78,E78,F78,G78,H78,I78,J78,B78,T78,$AM$2,$AN$2,$AO$2,$AP$2,$AQ$2,"y")</f>
        <v>#NUM!</v>
      </c>
      <c r="V78" s="23"/>
      <c r="W78" s="23" t="e">
        <f t="shared" si="7"/>
        <v>#VALUE!</v>
      </c>
      <c r="X78" s="22"/>
      <c r="Y78" s="22" t="e">
        <f t="shared" si="8"/>
        <v>#NUM!</v>
      </c>
      <c r="Z78" s="23" t="e">
        <f>_xll.xlBondPriceCustom(D78,E78,F78,G78,H78,I78,J78,B78,Y78,$AM$2,$AN$2,$AO$2,$AP$2,$AQ$2)</f>
        <v>#NUM!</v>
      </c>
      <c r="AA78" s="20" t="e">
        <f t="array" ref="AA78:AG78">_xll.xlBondYieldSens(D78,E78,F78,G78,H78,I78,J78,B78,W78,$AA$5&amp;$AB$5&amp;$AC$5&amp;$AD$5&amp;$AE$5&amp;$AF$5&amp;$AG$5)</f>
        <v>#NUM!</v>
      </c>
      <c r="AB78" s="20" t="e">
        <v>#NUM!</v>
      </c>
      <c r="AC78" s="20" t="e">
        <v>#NUM!</v>
      </c>
      <c r="AD78" s="20" t="e">
        <v>#NUM!</v>
      </c>
      <c r="AE78" s="20" t="e">
        <v>#NUM!</v>
      </c>
      <c r="AF78" s="20" t="e">
        <v>#NUM!</v>
      </c>
      <c r="AG78" s="24" t="e">
        <v>#NUM!</v>
      </c>
      <c r="AH78" s="22" t="e">
        <f>_xll.xlBondYieldSensCustom(D78,E78,F78,G78,H78,I78,J78,B78,W78,$AM$2,$AN$2,$AO$2,$AP$2,$AQ$2,"y")</f>
        <v>#NUM!</v>
      </c>
      <c r="AI78" s="22"/>
      <c r="AJ78" s="85" t="e">
        <f t="shared" si="9"/>
        <v>#NUM!</v>
      </c>
    </row>
    <row r="79" spans="1:36" ht="15.75" x14ac:dyDescent="0.25">
      <c r="A79" s="2"/>
      <c r="B79" s="19" t="e">
        <f>MAX(_xll.xlBondValueDate(D79,$B$2),I79)</f>
        <v>#NUM!</v>
      </c>
      <c r="C79" s="20" t="e">
        <v>#N/A</v>
      </c>
      <c r="D79" s="86" t="e">
        <f t="array" ref="D79:N79">_xll.BondInfo(C79,$D$5:$N$5)</f>
        <v>#VALUE!</v>
      </c>
      <c r="E79" s="20" t="e">
        <v>#VALUE!</v>
      </c>
      <c r="F79" s="87" t="e">
        <v>#VALUE!</v>
      </c>
      <c r="G79" s="19" t="e">
        <v>#VALUE!</v>
      </c>
      <c r="H79" s="19" t="e">
        <v>#VALUE!</v>
      </c>
      <c r="I79" s="19" t="e">
        <v>#VALUE!</v>
      </c>
      <c r="J79" s="20" t="e">
        <v>#VALUE!</v>
      </c>
      <c r="K79" s="20" t="e">
        <v>#VALUE!</v>
      </c>
      <c r="L79" s="20" t="e">
        <v>#VALUE!</v>
      </c>
      <c r="M79" s="20" t="e">
        <v>#VALUE!</v>
      </c>
      <c r="N79" s="20" t="e">
        <v>#VALUE!</v>
      </c>
      <c r="O79" s="21" t="e">
        <f>_xll.BondOutstanding(C79)</f>
        <v>#VALUE!</v>
      </c>
      <c r="P79" s="25" t="e">
        <f>_xll.xlBondYieldSensCustom(D79,E79,F79,G79,H79,I79,J79,B79,Q79,$AM$2,$AN$2,$AO$2,$AP$2,$AQ$2,"y")</f>
        <v>#NUM!</v>
      </c>
      <c r="Q79" s="26" t="e">
        <f>_xll.RtGet("IDN",$K79,IF(OR($D79="BTP,$E11=""CTZ"),Q$5,Q$4))</f>
        <v>#VALUE!</v>
      </c>
      <c r="R79" s="27" t="e">
        <f>_xll.RtGet("IDN",$K79,IF(OR($D79="BTP,$E11=""CTZ"),R$5,R$4))</f>
        <v>#VALUE!</v>
      </c>
      <c r="S79" s="28" t="e">
        <f>_xll.xlBondYieldSensCustom(D79,E79,F79,G79,H79,I79,J79,B79,R79,$AM$2,$AN$2,$AO$2,$AP$2,$AQ$2,"y")</f>
        <v>#NUM!</v>
      </c>
      <c r="T79" s="23" t="e">
        <f t="shared" si="10"/>
        <v>#VALUE!</v>
      </c>
      <c r="U79" s="83" t="e">
        <f>_xll.xlBondYieldSensCustom(D79,E79,F79,G79,H79,I79,J79,B79,T79,$AM$2,$AN$2,$AO$2,$AP$2,$AQ$2,"y")</f>
        <v>#NUM!</v>
      </c>
      <c r="V79" s="23"/>
      <c r="W79" s="23" t="e">
        <f t="shared" si="7"/>
        <v>#VALUE!</v>
      </c>
      <c r="X79" s="22"/>
      <c r="Y79" s="22" t="e">
        <f t="shared" si="8"/>
        <v>#NUM!</v>
      </c>
      <c r="Z79" s="23" t="e">
        <f>_xll.xlBondPriceCustom(D79,E79,F79,G79,H79,I79,J79,B79,Y79,$AM$2,$AN$2,$AO$2,$AP$2,$AQ$2)</f>
        <v>#NUM!</v>
      </c>
      <c r="AA79" s="20" t="e">
        <f t="array" ref="AA79:AG79">_xll.xlBondYieldSens(D79,E79,F79,G79,H79,I79,J79,B79,W79,$AA$5&amp;$AB$5&amp;$AC$5&amp;$AD$5&amp;$AE$5&amp;$AF$5&amp;$AG$5)</f>
        <v>#NUM!</v>
      </c>
      <c r="AB79" s="20" t="e">
        <v>#NUM!</v>
      </c>
      <c r="AC79" s="20" t="e">
        <v>#NUM!</v>
      </c>
      <c r="AD79" s="20" t="e">
        <v>#NUM!</v>
      </c>
      <c r="AE79" s="20" t="e">
        <v>#NUM!</v>
      </c>
      <c r="AF79" s="20" t="e">
        <v>#NUM!</v>
      </c>
      <c r="AG79" s="24" t="e">
        <v>#NUM!</v>
      </c>
      <c r="AH79" s="22" t="e">
        <f>_xll.xlBondYieldSensCustom(D79,E79,F79,G79,H79,I79,J79,B79,W79,$AM$2,$AN$2,$AO$2,$AP$2,$AQ$2,"y")</f>
        <v>#NUM!</v>
      </c>
      <c r="AI79" s="22"/>
      <c r="AJ79" s="85" t="e">
        <f t="shared" si="9"/>
        <v>#NUM!</v>
      </c>
    </row>
    <row r="80" spans="1:36" ht="15.75" x14ac:dyDescent="0.25">
      <c r="A80" s="2"/>
      <c r="B80" s="19" t="e">
        <f>MAX(_xll.xlBondValueDate(D80,$B$2),I80)</f>
        <v>#NUM!</v>
      </c>
      <c r="C80" s="20" t="e">
        <v>#N/A</v>
      </c>
      <c r="D80" s="86" t="e">
        <f t="array" ref="D80:N80">_xll.BondInfo(C80,$D$5:$N$5)</f>
        <v>#VALUE!</v>
      </c>
      <c r="E80" s="20" t="e">
        <v>#VALUE!</v>
      </c>
      <c r="F80" s="87" t="e">
        <v>#VALUE!</v>
      </c>
      <c r="G80" s="19" t="e">
        <v>#VALUE!</v>
      </c>
      <c r="H80" s="19" t="e">
        <v>#VALUE!</v>
      </c>
      <c r="I80" s="19" t="e">
        <v>#VALUE!</v>
      </c>
      <c r="J80" s="20" t="e">
        <v>#VALUE!</v>
      </c>
      <c r="K80" s="20" t="e">
        <v>#VALUE!</v>
      </c>
      <c r="L80" s="20" t="e">
        <v>#VALUE!</v>
      </c>
      <c r="M80" s="20" t="e">
        <v>#VALUE!</v>
      </c>
      <c r="N80" s="20" t="e">
        <v>#VALUE!</v>
      </c>
      <c r="O80" s="21" t="e">
        <f>_xll.BondOutstanding(C80)</f>
        <v>#VALUE!</v>
      </c>
      <c r="P80" s="25" t="e">
        <f>_xll.xlBondYieldSensCustom(D80,E80,F80,G80,H80,I80,J80,B80,Q80,$AM$2,$AN$2,$AO$2,$AP$2,$AQ$2,"y")</f>
        <v>#NUM!</v>
      </c>
      <c r="Q80" s="26" t="e">
        <f>_xll.RtGet("IDN",$K80,IF(OR($D80="BTP,$E11=""CTZ"),Q$5,Q$4))</f>
        <v>#VALUE!</v>
      </c>
      <c r="R80" s="27" t="e">
        <f>_xll.RtGet("IDN",$K80,IF(OR($D80="BTP,$E11=""CTZ"),R$5,R$4))</f>
        <v>#VALUE!</v>
      </c>
      <c r="S80" s="28" t="e">
        <f>_xll.xlBondYieldSensCustom(D80,E80,F80,G80,H80,I80,J80,B80,R80,$AM$2,$AN$2,$AO$2,$AP$2,$AQ$2,"y")</f>
        <v>#NUM!</v>
      </c>
      <c r="T80" s="23" t="e">
        <f t="shared" si="10"/>
        <v>#VALUE!</v>
      </c>
      <c r="U80" s="83" t="e">
        <f>_xll.xlBondYieldSensCustom(D80,E80,F80,G80,H80,I80,J80,B80,T80,$AM$2,$AN$2,$AO$2,$AP$2,$AQ$2,"y")</f>
        <v>#NUM!</v>
      </c>
      <c r="V80" s="23"/>
      <c r="W80" s="23" t="e">
        <f t="shared" si="7"/>
        <v>#VALUE!</v>
      </c>
      <c r="X80" s="22"/>
      <c r="Y80" s="22" t="e">
        <f t="shared" si="8"/>
        <v>#NUM!</v>
      </c>
      <c r="Z80" s="23" t="e">
        <f>_xll.xlBondPriceCustom(D80,E80,F80,G80,H80,I80,J80,B80,Y80,$AM$2,$AN$2,$AO$2,$AP$2,$AQ$2)</f>
        <v>#NUM!</v>
      </c>
      <c r="AA80" s="20" t="e">
        <f t="array" ref="AA80:AG80">_xll.xlBondYieldSens(D80,E80,F80,G80,H80,I80,J80,B80,W80,$AA$5&amp;$AB$5&amp;$AC$5&amp;$AD$5&amp;$AE$5&amp;$AF$5&amp;$AG$5)</f>
        <v>#NUM!</v>
      </c>
      <c r="AB80" s="20" t="e">
        <v>#NUM!</v>
      </c>
      <c r="AC80" s="20" t="e">
        <v>#NUM!</v>
      </c>
      <c r="AD80" s="20" t="e">
        <v>#NUM!</v>
      </c>
      <c r="AE80" s="20" t="e">
        <v>#NUM!</v>
      </c>
      <c r="AF80" s="20" t="e">
        <v>#NUM!</v>
      </c>
      <c r="AG80" s="24" t="e">
        <v>#NUM!</v>
      </c>
      <c r="AH80" s="22" t="e">
        <f>_xll.xlBondYieldSensCustom(D80,E80,F80,G80,H80,I80,J80,B80,W80,$AM$2,$AN$2,$AO$2,$AP$2,$AQ$2,"y")</f>
        <v>#NUM!</v>
      </c>
      <c r="AI80" s="22"/>
      <c r="AJ80" s="85" t="e">
        <f t="shared" si="9"/>
        <v>#NUM!</v>
      </c>
    </row>
  </sheetData>
  <phoneticPr fontId="0" type="noConversion"/>
  <conditionalFormatting sqref="A6:A80">
    <cfRule type="expression" dxfId="9" priority="2" stopIfTrue="1">
      <formula>$L6="Y"</formula>
    </cfRule>
    <cfRule type="expression" dxfId="8" priority="3" stopIfTrue="1">
      <formula>$D6=0</formula>
    </cfRule>
  </conditionalFormatting>
  <conditionalFormatting sqref="B6:AJ80">
    <cfRule type="expression" dxfId="6" priority="4" stopIfTrue="1">
      <formula>$N6="ICTZ"</formula>
    </cfRule>
    <cfRule type="expression" dxfId="5" priority="5" stopIfTrue="1">
      <formula>$N6="BOTS"</formula>
    </cfRule>
    <cfRule type="expression" dxfId="7" priority="6" stopIfTrue="1">
      <formula>$C6=0</formula>
    </cfRule>
  </conditionalFormatting>
  <dataValidations count="1">
    <dataValidation type="list" allowBlank="1" showInputMessage="1" showErrorMessage="1" sqref="D2">
      <formula1>BookList</formula1>
    </dataValidation>
  </dataValidations>
  <pageMargins left="0.75" right="0.75" top="1" bottom="1" header="0.5" footer="0.5"/>
  <pageSetup paperSize="9" orientation="portrait" r:id="rId1"/>
  <headerFooter alignWithMargins="0"/>
  <ignoredErrors>
    <ignoredError sqref="B45:B80" evalError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Q82"/>
  <sheetViews>
    <sheetView showGridLines="0" topLeftCell="B1" zoomScale="85" workbookViewId="0">
      <pane xSplit="10" ySplit="5" topLeftCell="T6" activePane="bottomRight" state="frozen"/>
      <selection activeCell="B1" sqref="B1"/>
      <selection pane="topRight" activeCell="L1" sqref="L1"/>
      <selection pane="bottomLeft" activeCell="B6" sqref="B6"/>
      <selection pane="bottomRight" activeCell="V22" sqref="V22"/>
    </sheetView>
  </sheetViews>
  <sheetFormatPr defaultRowHeight="12.75" outlineLevelCol="1" x14ac:dyDescent="0.2"/>
  <cols>
    <col min="1" max="1" width="9.7109375" hidden="1" customWidth="1"/>
    <col min="2" max="2" width="13.7109375" customWidth="1"/>
    <col min="3" max="3" width="14.28515625" hidden="1" customWidth="1" outlineLevel="1"/>
    <col min="4" max="4" width="10.7109375" customWidth="1" collapsed="1"/>
    <col min="5" max="5" width="5.85546875" customWidth="1"/>
    <col min="6" max="6" width="13.28515625" customWidth="1"/>
    <col min="7" max="9" width="13.7109375" hidden="1" customWidth="1" outlineLevel="1"/>
    <col min="10" max="10" width="15" hidden="1" customWidth="1" outlineLevel="1"/>
    <col min="11" max="11" width="25.5703125" hidden="1" customWidth="1" outlineLevel="1"/>
    <col min="12" max="12" width="4.140625" customWidth="1" collapsed="1"/>
    <col min="13" max="13" width="8.7109375" customWidth="1"/>
    <col min="14" max="15" width="9.140625" customWidth="1"/>
    <col min="16" max="16" width="9.7109375" customWidth="1" collapsed="1"/>
    <col min="17" max="17" width="9.85546875" customWidth="1"/>
    <col min="18" max="18" width="9.5703125" customWidth="1"/>
    <col min="19" max="19" width="9.42578125" customWidth="1" collapsed="1"/>
    <col min="20" max="26" width="10.7109375" customWidth="1"/>
    <col min="27" max="29" width="9.140625" hidden="1" customWidth="1" outlineLevel="1"/>
    <col min="30" max="32" width="12.7109375" hidden="1" customWidth="1" outlineLevel="1"/>
    <col min="33" max="33" width="10.7109375" customWidth="1" collapsed="1"/>
    <col min="34" max="36" width="10.7109375" customWidth="1"/>
    <col min="42" max="42" width="9.28515625" bestFit="1" customWidth="1"/>
  </cols>
  <sheetData>
    <row r="1" spans="1:43" ht="15" customHeight="1" x14ac:dyDescent="0.2">
      <c r="A1" s="1"/>
      <c r="B1" s="8" t="s">
        <v>27</v>
      </c>
      <c r="C1" s="3"/>
      <c r="D1" s="8" t="s">
        <v>29</v>
      </c>
      <c r="E1" s="6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1"/>
      <c r="U1" s="3"/>
      <c r="V1" s="1"/>
      <c r="W1" s="3"/>
      <c r="X1" s="8"/>
      <c r="Y1" s="8" t="s">
        <v>200</v>
      </c>
      <c r="Z1" s="8"/>
      <c r="AA1" s="3"/>
      <c r="AB1" s="3"/>
      <c r="AC1" s="3"/>
      <c r="AD1" s="3"/>
      <c r="AE1" s="3"/>
      <c r="AF1" s="3"/>
      <c r="AG1" s="3"/>
      <c r="AI1" s="8" t="s">
        <v>201</v>
      </c>
      <c r="AJ1" s="8" t="s">
        <v>202</v>
      </c>
      <c r="AM1" s="9" t="s">
        <v>92</v>
      </c>
      <c r="AN1" s="10" t="s">
        <v>93</v>
      </c>
      <c r="AO1" s="10" t="s">
        <v>94</v>
      </c>
      <c r="AP1" s="10" t="s">
        <v>95</v>
      </c>
      <c r="AQ1" s="11" t="s">
        <v>96</v>
      </c>
    </row>
    <row r="2" spans="1:43" ht="15" customHeight="1" thickBot="1" x14ac:dyDescent="0.25">
      <c r="A2" s="1"/>
      <c r="B2" s="12">
        <f ca="1">TODAY()</f>
        <v>41626</v>
      </c>
      <c r="C2" s="3"/>
      <c r="D2" s="13" t="s">
        <v>237</v>
      </c>
      <c r="E2" s="6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1"/>
      <c r="U2" s="3"/>
      <c r="V2" s="1"/>
      <c r="W2" s="3"/>
      <c r="X2" s="5"/>
      <c r="Y2" s="5"/>
      <c r="Z2" s="5"/>
      <c r="AA2" s="3"/>
      <c r="AB2" s="3"/>
      <c r="AC2" s="3"/>
      <c r="AD2" s="3"/>
      <c r="AE2" s="3"/>
      <c r="AF2" s="3"/>
      <c r="AG2" s="5" t="s">
        <v>42</v>
      </c>
      <c r="AH2" s="5" t="s">
        <v>42</v>
      </c>
      <c r="AI2" s="6"/>
      <c r="AJ2" s="3"/>
      <c r="AM2" s="14">
        <v>4</v>
      </c>
      <c r="AN2" s="15">
        <v>1</v>
      </c>
      <c r="AO2" s="15">
        <v>0</v>
      </c>
      <c r="AP2" s="15">
        <v>2</v>
      </c>
      <c r="AQ2" s="16">
        <v>1</v>
      </c>
    </row>
    <row r="3" spans="1:43" ht="15" customHeight="1" thickBot="1" x14ac:dyDescent="0.25">
      <c r="A3" s="7" t="s">
        <v>57</v>
      </c>
      <c r="B3" s="7" t="s">
        <v>37</v>
      </c>
      <c r="C3" s="7" t="s">
        <v>38</v>
      </c>
      <c r="D3" s="7" t="s">
        <v>39</v>
      </c>
      <c r="E3" s="7" t="s">
        <v>110</v>
      </c>
      <c r="F3" s="7" t="s">
        <v>43</v>
      </c>
      <c r="G3" s="7" t="s">
        <v>102</v>
      </c>
      <c r="H3" s="7" t="s">
        <v>103</v>
      </c>
      <c r="I3" s="7" t="s">
        <v>104</v>
      </c>
      <c r="J3" s="7" t="s">
        <v>13</v>
      </c>
      <c r="K3" s="7" t="s">
        <v>15</v>
      </c>
      <c r="L3" s="7" t="s">
        <v>40</v>
      </c>
      <c r="M3" s="7" t="s">
        <v>44</v>
      </c>
      <c r="N3" s="7"/>
      <c r="O3" s="7"/>
      <c r="P3" s="7" t="s">
        <v>106</v>
      </c>
      <c r="Q3" s="7" t="s">
        <v>18</v>
      </c>
      <c r="R3" s="7" t="s">
        <v>19</v>
      </c>
      <c r="S3" s="7" t="s">
        <v>105</v>
      </c>
      <c r="T3" s="7" t="s">
        <v>205</v>
      </c>
      <c r="U3" s="7" t="s">
        <v>203</v>
      </c>
      <c r="V3" s="7" t="s">
        <v>207</v>
      </c>
      <c r="W3" s="7" t="s">
        <v>41</v>
      </c>
      <c r="X3" s="7" t="s">
        <v>206</v>
      </c>
      <c r="Y3" s="7" t="s">
        <v>41</v>
      </c>
      <c r="Z3" s="7" t="s">
        <v>204</v>
      </c>
      <c r="AA3" s="7"/>
      <c r="AB3" s="7"/>
      <c r="AC3" s="7"/>
      <c r="AD3" s="7"/>
      <c r="AE3" s="7"/>
      <c r="AF3" s="7"/>
      <c r="AG3" s="7" t="s">
        <v>108</v>
      </c>
      <c r="AH3" s="7" t="s">
        <v>109</v>
      </c>
      <c r="AI3" s="7" t="s">
        <v>97</v>
      </c>
      <c r="AJ3" s="7" t="s">
        <v>107</v>
      </c>
    </row>
    <row r="4" spans="1:43" ht="15" hidden="1" customHeight="1" x14ac:dyDescent="0.2">
      <c r="B4" s="3"/>
      <c r="C4" s="3"/>
      <c r="D4" s="13"/>
      <c r="E4" s="6"/>
      <c r="F4" s="3"/>
      <c r="G4" s="3"/>
      <c r="H4" s="3"/>
      <c r="I4" s="3"/>
      <c r="J4" s="3"/>
      <c r="K4" s="3"/>
      <c r="L4" s="3"/>
      <c r="M4" s="8"/>
      <c r="N4" s="3"/>
      <c r="O4" s="3"/>
      <c r="P4" s="3"/>
      <c r="Q4" s="3" t="s">
        <v>25</v>
      </c>
      <c r="R4" s="3" t="s">
        <v>26</v>
      </c>
      <c r="S4" s="3"/>
      <c r="T4" s="8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6"/>
      <c r="AJ4" s="3"/>
    </row>
    <row r="5" spans="1:43" ht="15" hidden="1" customHeight="1" thickBot="1" x14ac:dyDescent="0.25">
      <c r="B5" s="7" t="s">
        <v>28</v>
      </c>
      <c r="C5" s="4">
        <f t="array" ref="C5:C80">_xll.GetLogicBookInstruments(D2,"n")</f>
        <v>22</v>
      </c>
      <c r="D5" s="7" t="s">
        <v>14</v>
      </c>
      <c r="E5" s="7" t="s">
        <v>8</v>
      </c>
      <c r="F5" s="7" t="s">
        <v>9</v>
      </c>
      <c r="G5" s="7" t="s">
        <v>10</v>
      </c>
      <c r="H5" s="7" t="s">
        <v>11</v>
      </c>
      <c r="I5" s="7" t="s">
        <v>12</v>
      </c>
      <c r="J5" s="7" t="s">
        <v>13</v>
      </c>
      <c r="K5" s="7" t="s">
        <v>15</v>
      </c>
      <c r="L5" s="7" t="s">
        <v>17</v>
      </c>
      <c r="M5" s="7" t="s">
        <v>62</v>
      </c>
      <c r="N5" s="7" t="s">
        <v>238</v>
      </c>
      <c r="O5" s="7" t="s">
        <v>16</v>
      </c>
      <c r="P5" s="4"/>
      <c r="Q5" s="7" t="s">
        <v>23</v>
      </c>
      <c r="R5" s="7" t="s">
        <v>24</v>
      </c>
      <c r="S5" s="4"/>
      <c r="T5" s="7" t="s">
        <v>20</v>
      </c>
      <c r="U5" s="7"/>
      <c r="V5" s="7" t="s">
        <v>21</v>
      </c>
      <c r="W5" s="7" t="s">
        <v>22</v>
      </c>
      <c r="X5" s="7" t="s">
        <v>21</v>
      </c>
      <c r="Y5" s="7" t="s">
        <v>22</v>
      </c>
      <c r="Z5" s="7"/>
      <c r="AA5" s="7" t="s">
        <v>35</v>
      </c>
      <c r="AB5" s="7" t="s">
        <v>31</v>
      </c>
      <c r="AC5" s="7" t="s">
        <v>32</v>
      </c>
      <c r="AD5" s="7" t="s">
        <v>33</v>
      </c>
      <c r="AE5" s="7" t="s">
        <v>34</v>
      </c>
      <c r="AF5" s="7" t="s">
        <v>36</v>
      </c>
      <c r="AG5" s="7" t="s">
        <v>30</v>
      </c>
      <c r="AH5" s="18"/>
      <c r="AI5" s="17"/>
      <c r="AJ5" s="18"/>
    </row>
    <row r="6" spans="1:43" ht="15.75" x14ac:dyDescent="0.25">
      <c r="A6" s="2" t="s">
        <v>59</v>
      </c>
      <c r="B6" s="19">
        <f ca="1">IF(C6=0,NA(),MAX(_xll.xlBondValueDate(D6,$B$2),I6))</f>
        <v>41631</v>
      </c>
      <c r="C6" s="20" t="str">
        <v>ES0L01401246</v>
      </c>
      <c r="D6" s="86" t="str">
        <f t="array" ref="D6:N6">_xll.BondInfo(C6,$D$5:$N$5)</f>
        <v>SPGB</v>
      </c>
      <c r="E6" s="20">
        <v>0</v>
      </c>
      <c r="F6" s="87">
        <v>41663</v>
      </c>
      <c r="G6" s="19">
        <v>41292</v>
      </c>
      <c r="H6" s="19">
        <v>41663</v>
      </c>
      <c r="I6" s="19">
        <v>41292</v>
      </c>
      <c r="J6" s="20">
        <v>98.506</v>
      </c>
      <c r="K6" s="20" t="str">
        <v>ESL0140124=</v>
      </c>
      <c r="L6" s="20" t="str">
        <v>N</v>
      </c>
      <c r="M6" s="20" t="str">
        <v>EJ5141324</v>
      </c>
      <c r="N6" s="20" t="str">
        <v>SGLT</v>
      </c>
      <c r="O6" s="21">
        <f>_xll.BondOutstanding(C6)</f>
        <v>8008700000</v>
      </c>
      <c r="P6" s="25">
        <f ca="1">_xll.xlBondYieldSensCustom(D6,E6,F6,G6,H6,I6,J6,B6,Q6,$AM$2,$AN$2,$AO$2,$AP$2,$AQ$2,"y")</f>
        <v>7.4299037364655707E-3</v>
      </c>
      <c r="Q6" s="26">
        <f>_xll.RtGet("IDN",$K6,IF(OR($D6="BTP,$E11=""CTZ"),Q$5,Q$4))</f>
        <v>99.933999999999997</v>
      </c>
      <c r="R6" s="27">
        <f>_xll.RtGet("IDN",$K6,IF(OR($D6="BTP,$E11=""CTZ"),R$5,R$4))</f>
        <v>99.947000000000003</v>
      </c>
      <c r="S6" s="28">
        <f ca="1">_xll.xlBondYieldSensCustom(D6,E6,F6,G6,H6,I6,J6,B6,R6,$AM$2,$AN$2,$AO$2,$AP$2,$AQ$2,"y")</f>
        <v>5.9656618007553064E-3</v>
      </c>
      <c r="T6" s="23">
        <f t="shared" ref="T6:T37" si="0">AVERAGE(Q6:R6)</f>
        <v>99.9405</v>
      </c>
      <c r="U6" s="83">
        <f ca="1">_xll.xlBondYieldSensCustom(D6,E6,F6,G6,H6,I6,J6,B6,T6,$AM$2,$AN$2,$AO$2,$AP$2,$AQ$2,"y")</f>
        <v>6.6977351525281392E-3</v>
      </c>
      <c r="V6" s="23"/>
      <c r="W6" s="23">
        <f t="shared" ref="W6:W37" si="1">IF(ISNUMBER(V6),V6,T6)</f>
        <v>99.9405</v>
      </c>
      <c r="X6" s="22"/>
      <c r="Y6" s="22">
        <f t="shared" ref="Y6:Y37" ca="1" si="2">IF(ISNUMBER(X6),X6,AH6)</f>
        <v>6.6977351525281392E-3</v>
      </c>
      <c r="Z6" s="23">
        <f ca="1">_xll.xlBondPriceCustom(D6,E6,F6,G6,H6,I6,J6,B6,Y6,$AM$2,$AN$2,$AO$2,$AP$2,$AQ$2)</f>
        <v>99.940499999998991</v>
      </c>
      <c r="AA6" s="20">
        <f t="array" aca="1" ref="AA6:AG6" ca="1">_xll.xlBondYieldSens(D6,E6,F6,G6,H6,I6,J6,B6,W6,$AA$5&amp;$AB$5&amp;$AC$5&amp;$AD$5&amp;$AE$5&amp;$AF$5&amp;$AG$5)</f>
        <v>0</v>
      </c>
      <c r="AB6" s="20">
        <f ca="1"/>
        <v>8.8888888888888906E-2</v>
      </c>
      <c r="AC6" s="20">
        <f ca="1"/>
        <v>-8.829569995930342E-2</v>
      </c>
      <c r="AD6" s="20">
        <f ca="1"/>
        <v>9.6790123456790131E-4</v>
      </c>
      <c r="AE6" s="20">
        <f ca="1"/>
        <v>9.5502600233465784E-4</v>
      </c>
      <c r="AF6" s="20">
        <f ca="1"/>
        <v>8.8243164331203161E-2</v>
      </c>
      <c r="AG6" s="24">
        <f ca="1"/>
        <v>6.7182087780963684E-3</v>
      </c>
      <c r="AH6" s="22">
        <f ca="1">_xll.xlBondYieldSensCustom(D6,E6,F6,G6,H6,I6,J6,B6,W6,$AM$2,$AN$2,$AO$2,$AP$2,$AQ$2,"y")</f>
        <v>6.6977351525281392E-3</v>
      </c>
      <c r="AI6" s="22">
        <f ca="1">IF(TRUE,_xll.xlShmInterpRateFwd("EONIA",_xll.xlDateSettle("target",$B$2,2),0,4,$F6),"")</f>
        <v>1.970502734314468E-3</v>
      </c>
      <c r="AJ6" s="85">
        <f t="shared" ref="AJ6:AJ37" ca="1" si="3">$Y6-$AI6</f>
        <v>4.7272324182136716E-3</v>
      </c>
      <c r="AO6" s="84"/>
    </row>
    <row r="7" spans="1:43" ht="15.75" x14ac:dyDescent="0.25">
      <c r="A7" s="2" t="s">
        <v>60</v>
      </c>
      <c r="B7" s="19">
        <f ca="1">MAX(_xll.xlBondValueDate(D7,$B$2),I7)</f>
        <v>41631</v>
      </c>
      <c r="C7" s="20" t="str">
        <v>ES00000121H0</v>
      </c>
      <c r="D7" s="86" t="str">
        <f t="array" ref="D7:N7">_xll.BondInfo(C7,$D$5:$N$5)</f>
        <v>SPGB</v>
      </c>
      <c r="E7" s="20">
        <v>4.25</v>
      </c>
      <c r="F7" s="87">
        <v>41670</v>
      </c>
      <c r="G7" s="19">
        <v>39728</v>
      </c>
      <c r="H7" s="19">
        <v>39844</v>
      </c>
      <c r="I7" s="19">
        <v>39728</v>
      </c>
      <c r="J7" s="20">
        <v>99.25</v>
      </c>
      <c r="K7" s="20" t="str">
        <v>ES0000121H=GESN</v>
      </c>
      <c r="L7" s="20" t="str">
        <v>N</v>
      </c>
      <c r="M7" s="20" t="str">
        <v>EH5759301</v>
      </c>
      <c r="N7" s="20" t="str">
        <v>SPGB</v>
      </c>
      <c r="O7" s="21">
        <f>_xll.BondOutstanding(C7)</f>
        <v>14229370000</v>
      </c>
      <c r="P7" s="25">
        <f ca="1">_xll.xlBondYieldSensCustom(D7,E7,F7,G7,H7,I7,J7,B7,Q7,$AM$2,$AN$2,$AO$2,$AP$2,$AQ$2,"y")</f>
        <v>8.3404201365563507E-3</v>
      </c>
      <c r="Q7" s="26">
        <f>_xll.RtGet("IDN",$K7,IF(OR($D7="BTP,$E11=""CTZ"),Q$5,Q$4))</f>
        <v>100.36</v>
      </c>
      <c r="R7" s="27">
        <f>_xll.RtGet("IDN",$K7,IF(OR($D7="BTP,$E11=""CTZ"),R$5,R$4))</f>
        <v>100.38500000000001</v>
      </c>
      <c r="S7" s="28">
        <f ca="1">_xll.xlBondYieldSensCustom(D7,E7,F7,G7,H7,I7,J7,B7,R7,$AM$2,$AN$2,$AO$2,$AP$2,$AQ$2,"y")</f>
        <v>6.1233366127718056E-3</v>
      </c>
      <c r="T7" s="23">
        <f t="shared" si="0"/>
        <v>100.3725</v>
      </c>
      <c r="U7" s="83">
        <f ca="1">_xll.xlBondYieldSensCustom(D7,E7,F7,G7,H7,I7,J7,B7,T7,$AM$2,$AN$2,$AO$2,$AP$2,$AQ$2,"y")</f>
        <v>7.2317453532918588E-3</v>
      </c>
      <c r="V7" s="23"/>
      <c r="W7" s="23">
        <f t="shared" si="1"/>
        <v>100.3725</v>
      </c>
      <c r="X7" s="22"/>
      <c r="Y7" s="22">
        <f t="shared" ca="1" si="2"/>
        <v>7.2317453532918588E-3</v>
      </c>
      <c r="Z7" s="23">
        <f ca="1">_xll.xlBondPriceCustom(D7,E7,F7,G7,H7,I7,J7,B7,Y7,$AM$2,$AN$2,$AO$2,$AP$2,$AQ$2)</f>
        <v>100.37250000109785</v>
      </c>
      <c r="AA7" s="20">
        <f t="array" aca="1" ref="AA7:AG7" ca="1">_xll.xlBondYieldSens(D7,E7,F7,G7,H7,I7,J7,B7,W7,$AA$5&amp;$AB$5&amp;$AC$5&amp;$AD$5&amp;$AE$5&amp;$AF$5&amp;$AG$5)</f>
        <v>3.7958904109589042</v>
      </c>
      <c r="AB7" s="20">
        <f ca="1"/>
        <v>0.10684931506849316</v>
      </c>
      <c r="AC7" s="20">
        <f ca="1"/>
        <v>-0.10606905950991841</v>
      </c>
      <c r="AD7" s="20">
        <f ca="1"/>
        <v>1.1826609119909926E-3</v>
      </c>
      <c r="AE7" s="20">
        <f ca="1"/>
        <v>1.1654514706842868E-3</v>
      </c>
      <c r="AF7" s="20">
        <f ca="1"/>
        <v>0.11049041796979964</v>
      </c>
      <c r="AG7" s="24">
        <f ca="1"/>
        <v>7.3562408733324272E-3</v>
      </c>
      <c r="AH7" s="22">
        <f ca="1">_xll.xlBondYieldSensCustom(D7,E7,F7,G7,H7,I7,J7,B7,W7,$AM$2,$AN$2,$AO$2,$AP$2,$AQ$2,"y")</f>
        <v>7.2317453532918588E-3</v>
      </c>
      <c r="AI7" s="22">
        <f ca="1">IF(TRUE,_xll.xlShmInterpRateFwd("EONIA",_xll.xlDateSettle("target",$B$2,2),0,4,$F7),"")</f>
        <v>1.9365332633117019E-3</v>
      </c>
      <c r="AJ7" s="85">
        <f t="shared" ca="1" si="3"/>
        <v>5.2952120899801567E-3</v>
      </c>
      <c r="AO7" s="84"/>
    </row>
    <row r="8" spans="1:43" ht="15.75" x14ac:dyDescent="0.25">
      <c r="A8" s="2" t="s">
        <v>61</v>
      </c>
      <c r="B8" s="19">
        <f ca="1">MAX(_xll.xlBondValueDate(D8,$B$2),I8)</f>
        <v>41631</v>
      </c>
      <c r="C8" s="20" t="str">
        <v>ES0L01402210</v>
      </c>
      <c r="D8" s="86" t="str">
        <f t="array" ref="D8:N8">_xll.BondInfo(C8,$D$5:$N$5)</f>
        <v>SPGB</v>
      </c>
      <c r="E8" s="20">
        <v>0</v>
      </c>
      <c r="F8" s="87">
        <v>41691</v>
      </c>
      <c r="G8" s="19">
        <v>41145</v>
      </c>
      <c r="H8" s="19">
        <v>41691</v>
      </c>
      <c r="I8" s="19">
        <v>41145</v>
      </c>
      <c r="J8" s="20">
        <v>95.147000000000006</v>
      </c>
      <c r="K8" s="20" t="str">
        <v>ESL0140221=</v>
      </c>
      <c r="L8" s="20" t="str">
        <v>N</v>
      </c>
      <c r="M8" s="20" t="str">
        <v>EJ3310129</v>
      </c>
      <c r="N8" s="20" t="str">
        <v>SGLT</v>
      </c>
      <c r="O8" s="21">
        <f>_xll.BondOutstanding(C8)</f>
        <v>11458490000</v>
      </c>
      <c r="P8" s="25">
        <f ca="1">_xll.xlBondYieldSensCustom(D8,E8,F8,G8,H8,I8,J8,B8,Q8,$AM$2,$AN$2,$AO$2,$AP$2,$AQ$2,"y")</f>
        <v>6.4870059664441371E-3</v>
      </c>
      <c r="Q8" s="26">
        <f>_xll.RtGet("IDN",$K8,IF(OR($D8="BTP,$E11=""CTZ"),Q$5,Q$4))</f>
        <v>99.891999999999996</v>
      </c>
      <c r="R8" s="27">
        <f>_xll.RtGet("IDN",$K8,IF(OR($D8="BTP,$E11=""CTZ"),R$5,R$4))</f>
        <v>99.915000000000006</v>
      </c>
      <c r="S8" s="28">
        <f ca="1">_xll.xlBondYieldSensCustom(D8,E8,F8,G8,H8,I8,J8,B8,R8,$AM$2,$AN$2,$AO$2,$AP$2,$AQ$2,"y")</f>
        <v>5.104338687883736E-3</v>
      </c>
      <c r="T8" s="23">
        <f t="shared" si="0"/>
        <v>99.903500000000008</v>
      </c>
      <c r="U8" s="83">
        <f ca="1">_xll.xlBondYieldSensCustom(D8,E8,F8,G8,H8,I8,J8,B8,T8,$AM$2,$AN$2,$AO$2,$AP$2,$AQ$2,"y")</f>
        <v>5.7955927470008106E-3</v>
      </c>
      <c r="V8" s="23"/>
      <c r="W8" s="23">
        <f t="shared" si="1"/>
        <v>99.903500000000008</v>
      </c>
      <c r="X8" s="22"/>
      <c r="Y8" s="22">
        <f t="shared" ca="1" si="2"/>
        <v>5.7955927470008106E-3</v>
      </c>
      <c r="Z8" s="23">
        <f ca="1">_xll.xlBondPriceCustom(D8,E8,F8,G8,H8,I8,J8,B8,Y8,$AM$2,$AN$2,$AO$2,$AP$2,$AQ$2)</f>
        <v>99.903499999999994</v>
      </c>
      <c r="AA8" s="20">
        <f t="array" aca="1" ref="AA8:AG8" ca="1">_xll.xlBondYieldSens(D8,E8,F8,G8,H8,I8,J8,B8,W8,$AA$5&amp;$AB$5&amp;$AC$5&amp;$AD$5&amp;$AE$5&amp;$AF$5&amp;$AG$5)</f>
        <v>0</v>
      </c>
      <c r="AB8" s="20">
        <f ca="1"/>
        <v>0.16666666666666666</v>
      </c>
      <c r="AC8" s="20">
        <f ca="1"/>
        <v>-0.16570399174948366</v>
      </c>
      <c r="AD8" s="20">
        <f ca="1"/>
        <v>1.9444444444444446E-3</v>
      </c>
      <c r="AE8" s="20">
        <f ca="1"/>
        <v>1.9220469017199066E-3</v>
      </c>
      <c r="AF8" s="20">
        <f ca="1"/>
        <v>0.16554408807323284</v>
      </c>
      <c r="AG8" s="24">
        <f ca="1"/>
        <v>5.8096061578769564E-3</v>
      </c>
      <c r="AH8" s="22">
        <f ca="1">_xll.xlBondYieldSensCustom(D8,E8,F8,G8,H8,I8,J8,B8,W8,$AM$2,$AN$2,$AO$2,$AP$2,$AQ$2,"y")</f>
        <v>5.7955927470008106E-3</v>
      </c>
      <c r="AI8" s="22">
        <f ca="1">IF(TRUE,_xll.xlShmInterpRateFwd("EONIA",_xll.xlDateSettle("target",$B$2,2),0,4,$F8),"")</f>
        <v>1.8375148943523905E-3</v>
      </c>
      <c r="AJ8" s="85">
        <f t="shared" ca="1" si="3"/>
        <v>3.9580778526484197E-3</v>
      </c>
      <c r="AO8" s="84"/>
    </row>
    <row r="9" spans="1:43" ht="15.75" x14ac:dyDescent="0.25">
      <c r="A9" s="2" t="s">
        <v>52</v>
      </c>
      <c r="B9" s="19">
        <f ca="1">MAX(_xll.xlBondValueDate(D9,$B$2),I9)</f>
        <v>41631</v>
      </c>
      <c r="C9" s="20" t="str">
        <v>ES0L01403143</v>
      </c>
      <c r="D9" s="86" t="str">
        <f t="array" ref="D9:N9">_xll.BondInfo(C9,$D$5:$N$5)</f>
        <v>SPGB</v>
      </c>
      <c r="E9" s="20">
        <v>0</v>
      </c>
      <c r="F9" s="87">
        <v>41712</v>
      </c>
      <c r="G9" s="19">
        <v>41348</v>
      </c>
      <c r="H9" s="19">
        <v>41712</v>
      </c>
      <c r="I9" s="19">
        <v>41348</v>
      </c>
      <c r="J9" s="20">
        <v>98.641000000000005</v>
      </c>
      <c r="K9" s="20" t="str">
        <v>ESL0140314=</v>
      </c>
      <c r="L9" s="20" t="str">
        <v>Y</v>
      </c>
      <c r="M9" s="20" t="str">
        <v>EJ5884352</v>
      </c>
      <c r="N9" s="20" t="str">
        <v>SGLT</v>
      </c>
      <c r="O9" s="21">
        <f>_xll.BondOutstanding(C9)</f>
        <v>9789100000</v>
      </c>
      <c r="P9" s="25">
        <f ca="1">_xll.xlBondYieldSensCustom(D9,E9,F9,G9,H9,I9,J9,B9,Q9,$AM$2,$AN$2,$AO$2,$AP$2,$AQ$2,"y")</f>
        <v>8.0590312910810979E-3</v>
      </c>
      <c r="Q9" s="26">
        <f>_xll.RtGet("IDN",$K9,IF(OR($D9="BTP,$E11=""CTZ"),Q$5,Q$4))</f>
        <v>99.819000000000003</v>
      </c>
      <c r="R9" s="27">
        <f>_xll.RtGet("IDN",$K9,IF(OR($D9="BTP,$E11=""CTZ"),R$5,R$4))</f>
        <v>99.876000000000005</v>
      </c>
      <c r="S9" s="28">
        <f ca="1">_xll.xlBondYieldSensCustom(D9,E9,F9,G9,H9,I9,J9,B9,R9,$AM$2,$AN$2,$AO$2,$AP$2,$AQ$2,"y")</f>
        <v>5.5179533732937118E-3</v>
      </c>
      <c r="T9" s="23">
        <f t="shared" si="0"/>
        <v>99.847499999999997</v>
      </c>
      <c r="U9" s="83">
        <f ca="1">_xll.xlBondYieldSensCustom(D9,E9,F9,G9,H9,I9,J9,B9,T9,$AM$2,$AN$2,$AO$2,$AP$2,$AQ$2,"y")</f>
        <v>6.7881296755335618E-3</v>
      </c>
      <c r="V9" s="23"/>
      <c r="W9" s="23">
        <f t="shared" si="1"/>
        <v>99.847499999999997</v>
      </c>
      <c r="X9" s="22"/>
      <c r="Y9" s="22">
        <f t="shared" ca="1" si="2"/>
        <v>6.7881296755335618E-3</v>
      </c>
      <c r="Z9" s="23">
        <f ca="1">_xll.xlBondPriceCustom(D9,E9,F9,G9,H9,I9,J9,B9,Y9,$AM$2,$AN$2,$AO$2,$AP$2,$AQ$2)</f>
        <v>99.847499999999982</v>
      </c>
      <c r="AA9" s="20">
        <f t="array" aca="1" ref="AA9:AG9" ca="1">_xll.xlBondYieldSens(D9,E9,F9,G9,H9,I9,J9,B9,W9,$AA$5&amp;$AB$5&amp;$AC$5&amp;$AD$5&amp;$AE$5&amp;$AF$5&amp;$AG$5)</f>
        <v>0</v>
      </c>
      <c r="AB9" s="20">
        <f ca="1"/>
        <v>0.22500000000000001</v>
      </c>
      <c r="AC9" s="20">
        <f ca="1"/>
        <v>-0.22347900029664802</v>
      </c>
      <c r="AD9" s="20">
        <f ca="1"/>
        <v>2.75625E-3</v>
      </c>
      <c r="AE9" s="20">
        <f ca="1"/>
        <v>2.7191114612287459E-3</v>
      </c>
      <c r="AF9" s="20">
        <f ca="1"/>
        <v>0.22313819579338201</v>
      </c>
      <c r="AG9" s="24">
        <f ca="1"/>
        <v>6.8060074067720754E-3</v>
      </c>
      <c r="AH9" s="22">
        <f ca="1">_xll.xlBondYieldSensCustom(D9,E9,F9,G9,H9,I9,J9,B9,W9,$AM$2,$AN$2,$AO$2,$AP$2,$AQ$2,"y")</f>
        <v>6.7881296755335618E-3</v>
      </c>
      <c r="AI9" s="22">
        <f ca="1">IF(TRUE,_xll.xlShmInterpRateFwd("EONIA",_xll.xlDateSettle("target",$B$2,2),0,4,$F9),"")</f>
        <v>1.7850549895828596E-3</v>
      </c>
      <c r="AJ9" s="85">
        <f t="shared" ca="1" si="3"/>
        <v>5.0030746859507022E-3</v>
      </c>
      <c r="AO9" s="84"/>
    </row>
    <row r="10" spans="1:43" ht="15.75" x14ac:dyDescent="0.25">
      <c r="A10" s="2" t="s">
        <v>53</v>
      </c>
      <c r="B10" s="19">
        <f ca="1">MAX(_xll.xlBondValueDate(D10,$B$2),I10)</f>
        <v>41631</v>
      </c>
      <c r="C10" s="20" t="str">
        <v>ES0L01404166</v>
      </c>
      <c r="D10" s="86" t="str">
        <f t="array" ref="D10:N10">_xll.BondInfo(C10,$D$5:$N$5)</f>
        <v>SPGB</v>
      </c>
      <c r="E10" s="20">
        <v>0</v>
      </c>
      <c r="F10" s="87">
        <v>41745</v>
      </c>
      <c r="G10" s="19">
        <v>41201</v>
      </c>
      <c r="H10" s="19">
        <v>41745</v>
      </c>
      <c r="I10" s="19">
        <v>41201</v>
      </c>
      <c r="J10" s="20">
        <v>95.600999999999999</v>
      </c>
      <c r="K10" s="20" t="str">
        <v>ESL0140416=</v>
      </c>
      <c r="L10" s="20" t="str">
        <v>N</v>
      </c>
      <c r="M10" s="20" t="str">
        <v>EJ4009001</v>
      </c>
      <c r="N10" s="20" t="str">
        <v>SGLT</v>
      </c>
      <c r="O10" s="21">
        <f>_xll.BondOutstanding(C10)</f>
        <v>11172265000</v>
      </c>
      <c r="P10" s="25">
        <f ca="1">_xll.xlBondYieldSensCustom(D10,E10,F10,G10,H10,I10,J10,B10,Q10,$AM$2,$AN$2,$AO$2,$AP$2,$AQ$2,"y")</f>
        <v>8.0414779856343589E-3</v>
      </c>
      <c r="Q10" s="26">
        <f>_xll.RtGet("IDN",$K10,IF(OR($D10="BTP,$E11=""CTZ"),Q$5,Q$4))</f>
        <v>99.745999999999995</v>
      </c>
      <c r="R10" s="27">
        <f>_xll.RtGet("IDN",$K10,IF(OR($D10="BTP,$E11=""CTZ"),R$5,R$4))</f>
        <v>99.805000000000007</v>
      </c>
      <c r="S10" s="28">
        <f ca="1">_xll.xlBondYieldSensCustom(D10,E10,F10,G10,H10,I10,J10,B10,R10,$AM$2,$AN$2,$AO$2,$AP$2,$AQ$2,"y")</f>
        <v>6.1699260927224713E-3</v>
      </c>
      <c r="T10" s="23">
        <f t="shared" si="0"/>
        <v>99.775499999999994</v>
      </c>
      <c r="U10" s="83">
        <f ca="1">_xll.xlBondYieldSensCustom(D10,E10,F10,G10,H10,I10,J10,B10,T10,$AM$2,$AN$2,$AO$2,$AP$2,$AQ$2,"y")</f>
        <v>7.1054253641532564E-3</v>
      </c>
      <c r="V10" s="23"/>
      <c r="W10" s="23">
        <f t="shared" si="1"/>
        <v>99.775499999999994</v>
      </c>
      <c r="X10" s="22"/>
      <c r="Y10" s="22">
        <f t="shared" ca="1" si="2"/>
        <v>7.1054253641532564E-3</v>
      </c>
      <c r="Z10" s="23">
        <f ca="1">_xll.xlBondPriceCustom(D10,E10,F10,G10,H10,I10,J10,B10,Y10,$AM$2,$AN$2,$AO$2,$AP$2,$AQ$2)</f>
        <v>99.775499999999994</v>
      </c>
      <c r="AA10" s="20">
        <f t="array" aca="1" ref="AA10:AG10" ca="1">_xll.xlBondYieldSens(D10,E10,F10,G10,H10,I10,J10,B10,W10,$AA$5&amp;$AB$5&amp;$AC$5&amp;$AD$5&amp;$AE$5&amp;$AF$5&amp;$AG$5)</f>
        <v>0</v>
      </c>
      <c r="AB10" s="20">
        <f ca="1"/>
        <v>0.31666666666666665</v>
      </c>
      <c r="AC10" s="20">
        <f ca="1"/>
        <v>-0.31442709990906159</v>
      </c>
      <c r="AD10" s="20">
        <f ca="1"/>
        <v>4.1694444444444444E-3</v>
      </c>
      <c r="AE10" s="20">
        <f ca="1"/>
        <v>4.1106777323266421E-3</v>
      </c>
      <c r="AF10" s="20">
        <f ca="1"/>
        <v>0.31372121260986319</v>
      </c>
      <c r="AG10" s="24">
        <f ca="1"/>
        <v>7.1226900946411657E-3</v>
      </c>
      <c r="AH10" s="22">
        <f ca="1">_xll.xlBondYieldSensCustom(D10,E10,F10,G10,H10,I10,J10,B10,W10,$AM$2,$AN$2,$AO$2,$AP$2,$AQ$2,"y")</f>
        <v>7.1054253641532564E-3</v>
      </c>
      <c r="AI10" s="22">
        <f ca="1">IF(TRUE,_xll.xlShmInterpRateFwd("EONIA",_xll.xlDateSettle("target",$B$2,2),0,4,$F10),"")</f>
        <v>1.7127613260669785E-3</v>
      </c>
      <c r="AJ10" s="85">
        <f t="shared" ca="1" si="3"/>
        <v>5.3926640380862782E-3</v>
      </c>
      <c r="AO10" s="84"/>
    </row>
    <row r="11" spans="1:43" ht="15.75" x14ac:dyDescent="0.25">
      <c r="A11" s="2" t="s">
        <v>56</v>
      </c>
      <c r="B11" s="19">
        <f ca="1">MAX(_xll.xlBondValueDate(D11,$B$2),I11)</f>
        <v>41631</v>
      </c>
      <c r="C11" s="20" t="str">
        <v>ES00000123D5</v>
      </c>
      <c r="D11" s="86" t="str">
        <f t="array" ref="D11:N11">_xll.BondInfo(C11,$D$5:$N$5)</f>
        <v>SPGB</v>
      </c>
      <c r="E11" s="20">
        <v>3.4</v>
      </c>
      <c r="F11" s="87">
        <v>41759</v>
      </c>
      <c r="G11" s="19">
        <v>40645</v>
      </c>
      <c r="H11" s="19">
        <v>40663</v>
      </c>
      <c r="I11" s="19">
        <v>40645</v>
      </c>
      <c r="J11" s="20">
        <v>99.524000000000001</v>
      </c>
      <c r="K11" s="20" t="str">
        <v>ES0000123D=GESN</v>
      </c>
      <c r="L11" s="20" t="str">
        <v>N</v>
      </c>
      <c r="M11" s="20" t="str">
        <v>EI6252411</v>
      </c>
      <c r="N11" s="20" t="str">
        <v>SPGB</v>
      </c>
      <c r="O11" s="21">
        <f>_xll.BondOutstanding(C11)</f>
        <v>15437863000</v>
      </c>
      <c r="P11" s="25">
        <f ca="1">_xll.xlBondYieldSensCustom(D11,E11,F11,G11,H11,I11,J11,B11,Q11,$AM$2,$AN$2,$AO$2,$AP$2,$AQ$2,"y")</f>
        <v>7.7004204562189371E-3</v>
      </c>
      <c r="Q11" s="26">
        <f>_xll.RtGet("IDN",$K11,IF(OR($D11="BTP,$E11=""CTZ"),Q$5,Q$4))</f>
        <v>100.91</v>
      </c>
      <c r="R11" s="27">
        <f>_xll.RtGet("IDN",$K11,IF(OR($D11="BTP,$E11=""CTZ"),R$5,R$4))</f>
        <v>100.97</v>
      </c>
      <c r="S11" s="28">
        <f ca="1">_xll.xlBondYieldSensCustom(D11,E11,F11,G11,H11,I11,J11,B11,R11,$AM$2,$AN$2,$AO$2,$AP$2,$AQ$2,"y")</f>
        <v>6.060415003088529E-3</v>
      </c>
      <c r="T11" s="23">
        <f t="shared" si="0"/>
        <v>100.94</v>
      </c>
      <c r="U11" s="83">
        <f ca="1">_xll.xlBondYieldSensCustom(D11,E11,F11,G11,H11,I11,J11,B11,T11,$AM$2,$AN$2,$AO$2,$AP$2,$AQ$2,"y")</f>
        <v>6.8801792500033307E-3</v>
      </c>
      <c r="V11" s="23"/>
      <c r="W11" s="23">
        <f t="shared" si="1"/>
        <v>100.94</v>
      </c>
      <c r="X11" s="22"/>
      <c r="Y11" s="22">
        <f t="shared" ca="1" si="2"/>
        <v>6.8801792500033307E-3</v>
      </c>
      <c r="Z11" s="23">
        <f ca="1">_xll.xlBondPriceCustom(D11,E11,F11,G11,H11,I11,J11,B11,Y11,$AM$2,$AN$2,$AO$2,$AP$2,$AQ$2)</f>
        <v>100.94000006747288</v>
      </c>
      <c r="AA11" s="20">
        <f t="array" aca="1" ref="AA11:AG11" ca="1">_xll.xlBondYieldSens(D11,E11,F11,G11,H11,I11,J11,B11,W11,$AA$5&amp;$AB$5&amp;$AC$5&amp;$AD$5&amp;$AE$5&amp;$AF$5&amp;$AG$5)</f>
        <v>2.2076712328767121</v>
      </c>
      <c r="AB11" s="20">
        <f ca="1"/>
        <v>0.35068493150684932</v>
      </c>
      <c r="AC11" s="20">
        <f ca="1"/>
        <v>-0.34825013005509758</v>
      </c>
      <c r="AD11" s="20">
        <f ca="1"/>
        <v>4.7366485269281292E-3</v>
      </c>
      <c r="AE11" s="20">
        <f ca="1"/>
        <v>4.6711038648525344E-3</v>
      </c>
      <c r="AF11" s="20">
        <f ca="1"/>
        <v>0.35921189479921622</v>
      </c>
      <c r="AG11" s="24">
        <f ca="1"/>
        <v>6.991548273872987E-3</v>
      </c>
      <c r="AH11" s="22">
        <f ca="1">_xll.xlBondYieldSensCustom(D11,E11,F11,G11,H11,I11,J11,B11,W11,$AM$2,$AN$2,$AO$2,$AP$2,$AQ$2,"y")</f>
        <v>6.8801792500033307E-3</v>
      </c>
      <c r="AI11" s="22">
        <f ca="1">IF(TRUE,_xll.xlShmInterpRateFwd("EONIA",_xll.xlDateSettle("target",$B$2,2),0,4,$F11),"")</f>
        <v>1.6857381355233423E-3</v>
      </c>
      <c r="AJ11" s="85">
        <f t="shared" ca="1" si="3"/>
        <v>5.1944411144799882E-3</v>
      </c>
      <c r="AO11" s="84"/>
    </row>
    <row r="12" spans="1:43" ht="15.75" x14ac:dyDescent="0.25">
      <c r="A12" s="2" t="s">
        <v>55</v>
      </c>
      <c r="B12" s="19">
        <f ca="1">MAX(_xll.xlBondValueDate(D12,$B$2),I12)</f>
        <v>41631</v>
      </c>
      <c r="C12" s="20" t="str">
        <v>ES0L01405163</v>
      </c>
      <c r="D12" s="86" t="str">
        <f t="array" ref="D12:N12">_xll.BondInfo(C12,$D$5:$N$5)</f>
        <v>SPGB</v>
      </c>
      <c r="E12" s="20">
        <v>0</v>
      </c>
      <c r="F12" s="87">
        <v>41775</v>
      </c>
      <c r="G12" s="19">
        <v>41411</v>
      </c>
      <c r="H12" s="19">
        <v>41775</v>
      </c>
      <c r="I12" s="19">
        <v>41411</v>
      </c>
      <c r="J12" s="20">
        <v>99.004999999999995</v>
      </c>
      <c r="K12" s="20" t="str">
        <v>ESL0140516=</v>
      </c>
      <c r="L12" s="20" t="str">
        <v>N</v>
      </c>
      <c r="M12" s="20" t="str">
        <v>EJ6740173</v>
      </c>
      <c r="N12" s="20" t="str">
        <v>SGLT</v>
      </c>
      <c r="O12" s="21">
        <f>_xll.BondOutstanding(C12)</f>
        <v>7211460000</v>
      </c>
      <c r="P12" s="25">
        <f ca="1">_xll.xlBondYieldSensCustom(D12,E12,F12,G12,H12,I12,J12,B12,Q12,$AM$2,$AN$2,$AO$2,$AP$2,$AQ$2,"y")</f>
        <v>8.1514923501380121E-3</v>
      </c>
      <c r="Q12" s="26">
        <f>_xll.RtGet("IDN",$K12,IF(OR($D12="BTP,$E11=""CTZ"),Q$5,Q$4))</f>
        <v>99.674999999999997</v>
      </c>
      <c r="R12" s="27">
        <f>_xll.RtGet("IDN",$K12,IF(OR($D12="BTP,$E11=""CTZ"),R$5,R$4))</f>
        <v>99.753</v>
      </c>
      <c r="S12" s="28">
        <f ca="1">_xll.xlBondYieldSensCustom(D12,E12,F12,G12,H12,I12,J12,B12,R12,$AM$2,$AN$2,$AO$2,$AP$2,$AQ$2,"y")</f>
        <v>6.1902900163401942E-3</v>
      </c>
      <c r="T12" s="23">
        <f t="shared" si="0"/>
        <v>99.713999999999999</v>
      </c>
      <c r="U12" s="83">
        <f ca="1">_xll.xlBondYieldSensCustom(D12,E12,F12,G12,H12,I12,J12,B12,T12,$AM$2,$AN$2,$AO$2,$AP$2,$AQ$2,"y")</f>
        <v>7.17050765188465E-3</v>
      </c>
      <c r="V12" s="23"/>
      <c r="W12" s="23">
        <f t="shared" si="1"/>
        <v>99.713999999999999</v>
      </c>
      <c r="X12" s="22"/>
      <c r="Y12" s="22">
        <f t="shared" ca="1" si="2"/>
        <v>7.17050765188465E-3</v>
      </c>
      <c r="Z12" s="23">
        <f ca="1">_xll.xlBondPriceCustom(D12,E12,F12,G12,H12,I12,J12,B12,Y12,$AM$2,$AN$2,$AO$2,$AP$2,$AQ$2)</f>
        <v>99.713999999999999</v>
      </c>
      <c r="AA12" s="20">
        <f t="array" aca="1" ref="AA12:AG12" ca="1">_xll.xlBondYieldSens(D12,E12,F12,G12,H12,I12,J12,B12,W12,$AA$5&amp;$AB$5&amp;$AC$5&amp;$AD$5&amp;$AE$5&amp;$AF$5&amp;$AG$5)</f>
        <v>0</v>
      </c>
      <c r="AB12" s="20">
        <f ca="1"/>
        <v>0.4</v>
      </c>
      <c r="AC12" s="20">
        <f ca="1"/>
        <v>-0.39714613180337538</v>
      </c>
      <c r="AD12" s="20">
        <f ca="1"/>
        <v>5.6000000000000008E-3</v>
      </c>
      <c r="AE12" s="20">
        <f ca="1"/>
        <v>5.5203767502234402E-3</v>
      </c>
      <c r="AF12" s="20">
        <f ca="1"/>
        <v>0.39601029602422955</v>
      </c>
      <c r="AG12" s="24">
        <f ca="1"/>
        <v>7.1859398768403526E-3</v>
      </c>
      <c r="AH12" s="22">
        <f ca="1">_xll.xlBondYieldSensCustom(D12,E12,F12,G12,H12,I12,J12,B12,W12,$AM$2,$AN$2,$AO$2,$AP$2,$AQ$2,"y")</f>
        <v>7.17050765188465E-3</v>
      </c>
      <c r="AI12" s="22">
        <f ca="1">IF(TRUE,_xll.xlShmInterpRateFwd("EONIA",_xll.xlDateSettle("target",$B$2,2),0,4,$F12),"")</f>
        <v>1.6571556842799985E-3</v>
      </c>
      <c r="AJ12" s="85">
        <f t="shared" ca="1" si="3"/>
        <v>5.5133519676046515E-3</v>
      </c>
      <c r="AO12" s="84"/>
    </row>
    <row r="13" spans="1:43" ht="15.75" x14ac:dyDescent="0.25">
      <c r="A13" s="2" t="s">
        <v>54</v>
      </c>
      <c r="B13" s="19">
        <f ca="1">MAX(_xll.xlBondValueDate(D13,$B$2),I13)</f>
        <v>41631</v>
      </c>
      <c r="C13" s="20" t="str">
        <v>ES0L01406203</v>
      </c>
      <c r="D13" s="86" t="str">
        <f t="array" ref="D13:N13">_xll.BondInfo(C13,$D$5:$N$5)</f>
        <v>SPGB</v>
      </c>
      <c r="E13" s="20">
        <v>0</v>
      </c>
      <c r="F13" s="87">
        <v>41810</v>
      </c>
      <c r="G13" s="19">
        <v>41257</v>
      </c>
      <c r="H13" s="19">
        <v>41810</v>
      </c>
      <c r="I13" s="19">
        <v>41257</v>
      </c>
      <c r="J13" s="20">
        <v>95.879000000000005</v>
      </c>
      <c r="K13" s="20" t="str">
        <v>ESL0140620=</v>
      </c>
      <c r="L13" s="20" t="str">
        <v>Y</v>
      </c>
      <c r="M13" s="20" t="str">
        <v>EJ4779249</v>
      </c>
      <c r="N13" s="20" t="str">
        <v>SGLT</v>
      </c>
      <c r="O13" s="21">
        <f>_xll.BondOutstanding(C13)</f>
        <v>12792950000</v>
      </c>
      <c r="P13" s="25">
        <f ca="1">_xll.xlBondYieldSensCustom(D13,E13,F13,G13,H13,I13,J13,B13,Q13,$AM$2,$AN$2,$AO$2,$AP$2,$AQ$2,"y")</f>
        <v>9.152073417722199E-3</v>
      </c>
      <c r="Q13" s="26">
        <f>_xll.RtGet("IDN",$K13,IF(OR($D13="BTP,$E11=""CTZ"),Q$5,Q$4))</f>
        <v>99.546999999999997</v>
      </c>
      <c r="R13" s="27">
        <f>_xll.RtGet("IDN",$K13,IF(OR($D13="BTP,$E11=""CTZ"),R$5,R$4))</f>
        <v>99.67</v>
      </c>
      <c r="S13" s="28">
        <f ca="1">_xll.xlBondYieldSensCustom(D13,E13,F13,G13,H13,I13,J13,B13,R13,$AM$2,$AN$2,$AO$2,$AP$2,$AQ$2,"y")</f>
        <v>6.6588456991871232E-3</v>
      </c>
      <c r="T13" s="23">
        <f t="shared" si="0"/>
        <v>99.608499999999992</v>
      </c>
      <c r="U13" s="83">
        <f ca="1">_xll.xlBondYieldSensCustom(D13,E13,F13,G13,H13,I13,J13,B13,T13,$AM$2,$AN$2,$AO$2,$AP$2,$AQ$2,"y")</f>
        <v>7.9046898776310038E-3</v>
      </c>
      <c r="V13" s="23"/>
      <c r="W13" s="23">
        <f t="shared" si="1"/>
        <v>99.608499999999992</v>
      </c>
      <c r="X13" s="22"/>
      <c r="Y13" s="22">
        <f t="shared" ca="1" si="2"/>
        <v>7.9046898776310038E-3</v>
      </c>
      <c r="Z13" s="23">
        <f ca="1">_xll.xlBondPriceCustom(D13,E13,F13,G13,H13,I13,J13,B13,Y13,$AM$2,$AN$2,$AO$2,$AP$2,$AQ$2)</f>
        <v>99.608499999999992</v>
      </c>
      <c r="AA13" s="20">
        <f t="array" aca="1" ref="AA13:AG13" ca="1">_xll.xlBondYieldSens(D13,E13,F13,G13,H13,I13,J13,B13,W13,$AA$5&amp;$AB$5&amp;$AC$5&amp;$AD$5&amp;$AE$5&amp;$AF$5&amp;$AG$5)</f>
        <v>0</v>
      </c>
      <c r="AB13" s="20">
        <f ca="1"/>
        <v>0.49722222222222223</v>
      </c>
      <c r="AC13" s="20">
        <f ca="1"/>
        <v>-0.4933149713796029</v>
      </c>
      <c r="AD13" s="20">
        <f ca="1"/>
        <v>7.4445216049382722E-3</v>
      </c>
      <c r="AE13" s="20">
        <f ca="1"/>
        <v>7.3279808531917477E-3</v>
      </c>
      <c r="AF13" s="20">
        <f ca="1"/>
        <v>0.49138364624994324</v>
      </c>
      <c r="AG13" s="24">
        <f ca="1"/>
        <v>7.9203979213643017E-3</v>
      </c>
      <c r="AH13" s="22">
        <f ca="1">_xll.xlBondYieldSensCustom(D13,E13,F13,G13,H13,I13,J13,B13,W13,$AM$2,$AN$2,$AO$2,$AP$2,$AQ$2,"y")</f>
        <v>7.9046898776310038E-3</v>
      </c>
      <c r="AI13" s="22">
        <f ca="1">IF(TRUE,_xll.xlShmInterpRateFwd("EONIA",_xll.xlDateSettle("target",$B$2,2),0,4,$F13),"")</f>
        <v>1.6100000000000094E-3</v>
      </c>
      <c r="AJ13" s="85">
        <f t="shared" ca="1" si="3"/>
        <v>6.2946898776309948E-3</v>
      </c>
      <c r="AO13" s="84"/>
    </row>
    <row r="14" spans="1:43" ht="15.75" x14ac:dyDescent="0.25">
      <c r="A14" s="2" t="s">
        <v>101</v>
      </c>
      <c r="B14" s="19">
        <f ca="1">MAX(_xll.xlBondValueDate(D14,$B$2),I14)</f>
        <v>41631</v>
      </c>
      <c r="C14" s="20" t="str">
        <v>ES0L01407185</v>
      </c>
      <c r="D14" s="86" t="str">
        <f t="array" ref="D14:N14">_xll.BondInfo(C14,$D$5:$N$5)</f>
        <v>SPGB</v>
      </c>
      <c r="E14" s="20">
        <v>0</v>
      </c>
      <c r="F14" s="87">
        <v>41838</v>
      </c>
      <c r="G14" s="19">
        <v>41474</v>
      </c>
      <c r="H14" s="19">
        <v>41838</v>
      </c>
      <c r="I14" s="19">
        <v>41474</v>
      </c>
      <c r="J14" s="20">
        <v>98.503</v>
      </c>
      <c r="K14" s="20" t="str">
        <v>ESL0140718=</v>
      </c>
      <c r="L14" s="20" t="str">
        <v>N</v>
      </c>
      <c r="M14" s="20" t="str">
        <v>EJ7559945</v>
      </c>
      <c r="N14" s="20" t="str">
        <v>SGLT</v>
      </c>
      <c r="O14" s="21">
        <f>_xll.BondOutstanding(C14)</f>
        <v>5713670000</v>
      </c>
      <c r="P14" s="25">
        <f ca="1">_xll.xlBondYieldSensCustom(D14,E14,F14,G14,H14,I14,J14,B14,Q14,$AM$2,$AN$2,$AO$2,$AP$2,$AQ$2,"y")</f>
        <v>9.6708712222067263E-3</v>
      </c>
      <c r="Q14" s="26">
        <f>_xll.RtGet("IDN",$K14,IF(OR($D14="BTP,$E11=""CTZ"),Q$5,Q$4))</f>
        <v>99.447000000000003</v>
      </c>
      <c r="R14" s="27">
        <f>_xll.RtGet("IDN",$K14,IF(OR($D14="BTP,$E11=""CTZ"),R$5,R$4))</f>
        <v>99.578000000000003</v>
      </c>
      <c r="S14" s="28">
        <f ca="1">_xll.xlBondYieldSensCustom(D14,E14,F14,G14,H14,I14,J14,B14,R14,$AM$2,$AN$2,$AO$2,$AP$2,$AQ$2,"y")</f>
        <v>7.3702328172856367E-3</v>
      </c>
      <c r="T14" s="23">
        <f t="shared" si="0"/>
        <v>99.512500000000003</v>
      </c>
      <c r="U14" s="83">
        <f ca="1">_xll.xlBondYieldSensCustom(D14,E14,F14,G14,H14,I14,J14,B14,T14,$AM$2,$AN$2,$AO$2,$AP$2,$AQ$2,"y")</f>
        <v>8.5197948695544014E-3</v>
      </c>
      <c r="V14" s="23"/>
      <c r="W14" s="23">
        <f t="shared" si="1"/>
        <v>99.512500000000003</v>
      </c>
      <c r="X14" s="22"/>
      <c r="Y14" s="22">
        <f t="shared" ca="1" si="2"/>
        <v>8.5197948695544014E-3</v>
      </c>
      <c r="Z14" s="23">
        <f ca="1">_xll.xlBondPriceCustom(D14,E14,F14,G14,H14,I14,J14,B14,Y14,$AM$2,$AN$2,$AO$2,$AP$2,$AQ$2)</f>
        <v>99.512499999999989</v>
      </c>
      <c r="AA14" s="20">
        <f t="array" aca="1" ref="AA14:AG14" ca="1">_xll.xlBondYieldSens(D14,E14,F14,G14,H14,I14,J14,B14,W14,$AA$5&amp;$AB$5&amp;$AC$5&amp;$AD$5&amp;$AE$5&amp;$AF$5&amp;$AG$5)</f>
        <v>0</v>
      </c>
      <c r="AB14" s="20">
        <f ca="1"/>
        <v>0.57499999999999996</v>
      </c>
      <c r="AC14" s="20">
        <f ca="1"/>
        <v>-0.57013378670668358</v>
      </c>
      <c r="AD14" s="20">
        <f ca="1"/>
        <v>9.0562500000000001E-3</v>
      </c>
      <c r="AE14" s="20">
        <f ca="1"/>
        <v>8.9036129082189722E-3</v>
      </c>
      <c r="AF14" s="20">
        <f ca="1"/>
        <v>0.56735438823807272</v>
      </c>
      <c r="AG14" s="24">
        <f ca="1"/>
        <v>8.5352130261405236E-3</v>
      </c>
      <c r="AH14" s="22">
        <f ca="1">_xll.xlBondYieldSensCustom(D14,E14,F14,G14,H14,I14,J14,B14,W14,$AM$2,$AN$2,$AO$2,$AP$2,$AQ$2,"y")</f>
        <v>8.5197948695544014E-3</v>
      </c>
      <c r="AI14" s="22">
        <f ca="1">IF(TRUE,_xll.xlShmInterpRateFwd("EONIA",_xll.xlDateSettle("target",$B$2,2),0,4,$F14),"")</f>
        <v>1.5829098806632695E-3</v>
      </c>
      <c r="AJ14" s="85">
        <f t="shared" ca="1" si="3"/>
        <v>6.9368849888911321E-3</v>
      </c>
      <c r="AO14" s="84"/>
    </row>
    <row r="15" spans="1:43" ht="15.75" x14ac:dyDescent="0.25">
      <c r="A15" s="2" t="s">
        <v>235</v>
      </c>
      <c r="B15" s="19">
        <f ca="1">MAX(_xll.xlBondValueDate(D15,$B$2),I15)</f>
        <v>41631</v>
      </c>
      <c r="C15" s="20" t="str">
        <v>ES0000012098</v>
      </c>
      <c r="D15" s="86" t="str">
        <f t="array" ref="D15:N15">_xll.BondInfo(C15,$D$5:$N$5)</f>
        <v>SPGB</v>
      </c>
      <c r="E15" s="20">
        <v>4.75</v>
      </c>
      <c r="F15" s="87">
        <v>41850</v>
      </c>
      <c r="G15" s="19">
        <v>36371</v>
      </c>
      <c r="H15" s="19">
        <v>36737</v>
      </c>
      <c r="I15" s="19">
        <v>36136</v>
      </c>
      <c r="J15" s="20">
        <v>98.103999999999999</v>
      </c>
      <c r="K15" s="20" t="str">
        <v>ES00001209=GESN</v>
      </c>
      <c r="L15" s="20" t="str">
        <v>N</v>
      </c>
      <c r="M15" s="20" t="str">
        <v>EC0729771</v>
      </c>
      <c r="N15" s="20" t="str">
        <v>SPGB</v>
      </c>
      <c r="O15" s="21">
        <f>_xll.BondOutstanding(C15)</f>
        <v>16395047000</v>
      </c>
      <c r="P15" s="25">
        <f ca="1">_xll.xlBondYieldSensCustom(D15,E15,F15,G15,H15,I15,J15,B15,Q15,$AM$2,$AN$2,$AO$2,$AP$2,$AQ$2,"y")</f>
        <v>8.9145955646509137E-3</v>
      </c>
      <c r="Q15" s="26">
        <f>_xll.RtGet("IDN",$K15,IF(OR($D15="BTP,$E11=""CTZ"),Q$5,Q$4))</f>
        <v>102.285</v>
      </c>
      <c r="R15" s="27">
        <f>_xll.RtGet("IDN",$K15,IF(OR($D15="BTP,$E11=""CTZ"),R$5,R$4))</f>
        <v>102.36</v>
      </c>
      <c r="S15" s="28">
        <f ca="1">_xll.xlBondYieldSensCustom(D15,E15,F15,G15,H15,I15,J15,B15,R15,$AM$2,$AN$2,$AO$2,$AP$2,$AQ$2,"y")</f>
        <v>7.7256806278602971E-3</v>
      </c>
      <c r="T15" s="23">
        <f t="shared" si="0"/>
        <v>102.32249999999999</v>
      </c>
      <c r="U15" s="83">
        <f ca="1">_xll.xlBondYieldSensCustom(D15,E15,F15,G15,H15,I15,J15,B15,T15,$AM$2,$AN$2,$AO$2,$AP$2,$AQ$2,"y")</f>
        <v>8.3199242045245772E-3</v>
      </c>
      <c r="V15" s="23"/>
      <c r="W15" s="23">
        <f t="shared" si="1"/>
        <v>102.32249999999999</v>
      </c>
      <c r="X15" s="22"/>
      <c r="Y15" s="22">
        <f t="shared" ca="1" si="2"/>
        <v>8.3199242045245772E-3</v>
      </c>
      <c r="Z15" s="23">
        <f ca="1">_xll.xlBondPriceCustom(D15,E15,F15,G15,H15,I15,J15,B15,Y15,$AM$2,$AN$2,$AO$2,$AP$2,$AQ$2)</f>
        <v>102.32249999229198</v>
      </c>
      <c r="AA15" s="20">
        <f t="array" aca="1" ref="AA15:AG15" ca="1">_xll.xlBondYieldSens(D15,E15,F15,G15,H15,I15,J15,B15,W15,$AA$5&amp;$AB$5&amp;$AC$5&amp;$AD$5&amp;$AE$5&amp;$AF$5&amp;$AG$5)</f>
        <v>1.9000000000000001</v>
      </c>
      <c r="AB15" s="20">
        <f ca="1"/>
        <v>0.6</v>
      </c>
      <c r="AC15" s="20">
        <f ca="1"/>
        <v>-0.59497266860430631</v>
      </c>
      <c r="AD15" s="20">
        <f ca="1"/>
        <v>9.6000000000000009E-3</v>
      </c>
      <c r="AE15" s="20">
        <f ca="1"/>
        <v>9.4397993702967937E-3</v>
      </c>
      <c r="AF15" s="20">
        <f ca="1"/>
        <v>0.62009538303158251</v>
      </c>
      <c r="AG15" s="24">
        <f ca="1"/>
        <v>8.4497020534505599E-3</v>
      </c>
      <c r="AH15" s="22">
        <f ca="1">_xll.xlBondYieldSensCustom(D15,E15,F15,G15,H15,I15,J15,B15,W15,$AM$2,$AN$2,$AO$2,$AP$2,$AQ$2,"y")</f>
        <v>8.3199242045245772E-3</v>
      </c>
      <c r="AI15" s="22">
        <f ca="1">IF(TRUE,_xll.xlShmInterpRateFwd("EONIA",_xll.xlDateSettle("target",$B$2,2),0,4,$F15),"")</f>
        <v>1.5740127169126253E-3</v>
      </c>
      <c r="AJ15" s="85">
        <f t="shared" ca="1" si="3"/>
        <v>6.745911487611952E-3</v>
      </c>
      <c r="AO15" s="84"/>
    </row>
    <row r="16" spans="1:43" ht="15.75" x14ac:dyDescent="0.25">
      <c r="A16" s="2" t="s">
        <v>236</v>
      </c>
      <c r="B16" s="19">
        <f ca="1">MAX(_xll.xlBondValueDate(D16,$B$2),I16)</f>
        <v>41631</v>
      </c>
      <c r="C16" s="20" t="str">
        <v>ES0L01408225</v>
      </c>
      <c r="D16" s="86" t="str">
        <f t="array" ref="D16:N16">_xll.BondInfo(C16,$D$5:$N$5)</f>
        <v>SPGB</v>
      </c>
      <c r="E16" s="20">
        <v>0</v>
      </c>
      <c r="F16" s="87">
        <v>41873</v>
      </c>
      <c r="G16" s="19">
        <v>41509</v>
      </c>
      <c r="H16" s="19">
        <v>41873</v>
      </c>
      <c r="I16" s="19">
        <v>41509</v>
      </c>
      <c r="J16" s="20">
        <v>98.748999999999995</v>
      </c>
      <c r="K16" s="20" t="str">
        <v>ESL0140822=</v>
      </c>
      <c r="L16" s="20" t="str">
        <v>N</v>
      </c>
      <c r="M16" s="20" t="str">
        <v>EJ7970282</v>
      </c>
      <c r="N16" s="20" t="str">
        <v>SGLT</v>
      </c>
      <c r="O16" s="21">
        <f>_xll.BondOutstanding(C16)</f>
        <v>5825211000</v>
      </c>
      <c r="P16" s="25">
        <f ca="1">_xll.xlBondYieldSensCustom(D16,E16,F16,G16,H16,I16,J16,B16,Q16,$AM$2,$AN$2,$AO$2,$AP$2,$AQ$2,"y")</f>
        <v>9.9587879231742369E-3</v>
      </c>
      <c r="Q16" s="26">
        <f>_xll.RtGet("IDN",$K16,IF(OR($D16="BTP,$E11=""CTZ"),Q$5,Q$4))</f>
        <v>99.334999999999994</v>
      </c>
      <c r="R16" s="27">
        <f>_xll.RtGet("IDN",$K16,IF(OR($D16="BTP,$E11=""CTZ"),R$5,R$4))</f>
        <v>99.504999999999995</v>
      </c>
      <c r="S16" s="28">
        <f ca="1">_xll.xlBondYieldSensCustom(D16,E16,F16,G16,H16,I16,J16,B16,R16,$AM$2,$AN$2,$AO$2,$AP$2,$AQ$2,"y")</f>
        <v>7.4002676886955948E-3</v>
      </c>
      <c r="T16" s="23">
        <f t="shared" si="0"/>
        <v>99.419999999999987</v>
      </c>
      <c r="U16" s="83">
        <f ca="1">_xll.xlBondYieldSensCustom(D16,E16,F16,G16,H16,I16,J16,B16,T16,$AM$2,$AN$2,$AO$2,$AP$2,$AQ$2,"y")</f>
        <v>8.6784340912835038E-3</v>
      </c>
      <c r="V16" s="23"/>
      <c r="W16" s="23">
        <f t="shared" si="1"/>
        <v>99.419999999999987</v>
      </c>
      <c r="X16" s="22"/>
      <c r="Y16" s="22">
        <f t="shared" ca="1" si="2"/>
        <v>8.6784340912835038E-3</v>
      </c>
      <c r="Z16" s="23">
        <f ca="1">_xll.xlBondPriceCustom(D16,E16,F16,G16,H16,I16,J16,B16,Y16,$AM$2,$AN$2,$AO$2,$AP$2,$AQ$2)</f>
        <v>99.419999999999973</v>
      </c>
      <c r="AA16" s="20">
        <f t="array" aca="1" ref="AA16:AG16" ca="1">_xll.xlBondYieldSens(D16,E16,F16,G16,H16,I16,J16,B16,W16,$AA$5&amp;$AB$5&amp;$AC$5&amp;$AD$5&amp;$AE$5&amp;$AF$5&amp;$AG$5)</f>
        <v>0</v>
      </c>
      <c r="AB16" s="20">
        <f ca="1"/>
        <v>0.67222222222222228</v>
      </c>
      <c r="AC16" s="20">
        <f ca="1"/>
        <v>-0.666430431869524</v>
      </c>
      <c r="AD16" s="20">
        <f ca="1"/>
        <v>1.1241049382716051E-2</v>
      </c>
      <c r="AE16" s="20">
        <f ca="1"/>
        <v>1.1048180634467924E-2</v>
      </c>
      <c r="AF16" s="20">
        <f ca="1"/>
        <v>0.66256514019684687</v>
      </c>
      <c r="AG16" s="24">
        <f ca="1"/>
        <v>8.6907651467135853E-3</v>
      </c>
      <c r="AH16" s="22">
        <f ca="1">_xll.xlBondYieldSensCustom(D16,E16,F16,G16,H16,I16,J16,B16,W16,$AM$2,$AN$2,$AO$2,$AP$2,$AQ$2,"y")</f>
        <v>8.6784340912835038E-3</v>
      </c>
      <c r="AI16" s="22">
        <f ca="1">IF(TRUE,_xll.xlShmInterpRateFwd("EONIA",_xll.xlDateSettle("target",$B$2,2),0,4,$F16),"")</f>
        <v>1.5587909468832426E-3</v>
      </c>
      <c r="AJ16" s="85">
        <f t="shared" ca="1" si="3"/>
        <v>7.119643144400261E-3</v>
      </c>
      <c r="AO16" s="84"/>
    </row>
    <row r="17" spans="1:41" ht="15.75" x14ac:dyDescent="0.25">
      <c r="A17" s="2" t="s">
        <v>237</v>
      </c>
      <c r="B17" s="19">
        <f ca="1">MAX(_xll.xlBondValueDate(D17,$B$2),I17)</f>
        <v>41631</v>
      </c>
      <c r="C17" s="20" t="str">
        <v>ES0L01409199</v>
      </c>
      <c r="D17" s="86" t="str">
        <f t="array" ref="D17:N17">_xll.BondInfo(C17,$D$5:$N$5)</f>
        <v>SPGB</v>
      </c>
      <c r="E17" s="20">
        <v>0</v>
      </c>
      <c r="F17" s="87">
        <v>41901</v>
      </c>
      <c r="G17" s="19">
        <v>41537</v>
      </c>
      <c r="H17" s="19">
        <v>41901</v>
      </c>
      <c r="I17" s="19">
        <v>41537</v>
      </c>
      <c r="J17" s="20">
        <v>98.637</v>
      </c>
      <c r="K17" s="20" t="str">
        <v>ESL0140919=</v>
      </c>
      <c r="L17" s="20" t="str">
        <v>N</v>
      </c>
      <c r="M17" s="20" t="str">
        <v>EJ8380846</v>
      </c>
      <c r="N17" s="20" t="str">
        <v>SGLT</v>
      </c>
      <c r="O17" s="21">
        <f>_xll.BondOutstanding(C17)</f>
        <v>5491610000</v>
      </c>
      <c r="P17" s="25">
        <f ca="1">_xll.xlBondYieldSensCustom(D17,E17,F17,G17,H17,I17,J17,B17,Q17,$AM$2,$AN$2,$AO$2,$AP$2,$AQ$2,"y")</f>
        <v>9.9672906298066497E-3</v>
      </c>
      <c r="Q17" s="26">
        <f>_xll.RtGet("IDN",$K17,IF(OR($D17="BTP,$E11=""CTZ"),Q$5,Q$4))</f>
        <v>99.257999999999996</v>
      </c>
      <c r="R17" s="27">
        <f>_xll.RtGet("IDN",$K17,IF(OR($D17="BTP,$E11=""CTZ"),R$5,R$4))</f>
        <v>99.426000000000002</v>
      </c>
      <c r="S17" s="28">
        <f ca="1">_xll.xlBondYieldSensCustom(D17,E17,F17,G17,H17,I17,J17,B17,R17,$AM$2,$AN$2,$AO$2,$AP$2,$AQ$2,"y")</f>
        <v>7.6975170813945821E-3</v>
      </c>
      <c r="T17" s="23">
        <f t="shared" si="0"/>
        <v>99.341999999999999</v>
      </c>
      <c r="U17" s="83">
        <f ca="1">_xll.xlBondYieldSensCustom(D17,E17,F17,G17,H17,I17,J17,B17,T17,$AM$2,$AN$2,$AO$2,$AP$2,$AQ$2,"y")</f>
        <v>8.8314442363947396E-3</v>
      </c>
      <c r="V17" s="23"/>
      <c r="W17" s="23">
        <f t="shared" si="1"/>
        <v>99.341999999999999</v>
      </c>
      <c r="X17" s="22"/>
      <c r="Y17" s="22">
        <f t="shared" ca="1" si="2"/>
        <v>8.8314442363947396E-3</v>
      </c>
      <c r="Z17" s="23">
        <f ca="1">_xll.xlBondPriceCustom(D17,E17,F17,G17,H17,I17,J17,B17,Y17,$AM$2,$AN$2,$AO$2,$AP$2,$AQ$2)</f>
        <v>99.34200000000105</v>
      </c>
      <c r="AA17" s="20">
        <f t="array" aca="1" ref="AA17:AG17" ca="1">_xll.xlBondYieldSens(D17,E17,F17,G17,H17,I17,J17,B17,W17,$AA$5&amp;$AB$5&amp;$AC$5&amp;$AD$5&amp;$AE$5&amp;$AF$5&amp;$AG$5)</f>
        <v>0</v>
      </c>
      <c r="AB17" s="20">
        <f ca="1"/>
        <v>0.74999999999999989</v>
      </c>
      <c r="AC17" s="20">
        <f ca="1"/>
        <v>-0.74342722665645411</v>
      </c>
      <c r="AD17" s="20">
        <f ca="1"/>
        <v>1.3125E-2</v>
      </c>
      <c r="AE17" s="20">
        <f ca="1"/>
        <v>1.2895960964462496E-2</v>
      </c>
      <c r="AF17" s="20">
        <f ca="1"/>
        <v>0.73853548131666003</v>
      </c>
      <c r="AG17" s="24">
        <f ca="1"/>
        <v>8.8411792267090537E-3</v>
      </c>
      <c r="AH17" s="22">
        <f ca="1">_xll.xlBondYieldSensCustom(D17,E17,F17,G17,H17,I17,J17,B17,W17,$AM$2,$AN$2,$AO$2,$AP$2,$AQ$2,"y")</f>
        <v>8.8314442363947396E-3</v>
      </c>
      <c r="AI17" s="22">
        <f ca="1">IF(TRUE,_xll.xlShmInterpRateFwd("EONIA",_xll.xlDateSettle("target",$B$2,2),0,4,$F17),"")</f>
        <v>1.5418222008382343E-3</v>
      </c>
      <c r="AJ17" s="85">
        <f t="shared" ca="1" si="3"/>
        <v>7.2896220355565056E-3</v>
      </c>
      <c r="AO17" s="84"/>
    </row>
    <row r="18" spans="1:41" ht="15.75" x14ac:dyDescent="0.25">
      <c r="A18" s="2" t="s">
        <v>45</v>
      </c>
      <c r="B18" s="19">
        <f ca="1">MAX(_xll.xlBondValueDate(D18,$B$2),I18)</f>
        <v>41631</v>
      </c>
      <c r="C18" s="20" t="str">
        <v>ES0L01410171</v>
      </c>
      <c r="D18" s="86" t="str">
        <f t="array" ref="D18:N18">_xll.BondInfo(C18,$D$5:$N$5)</f>
        <v>SPGB</v>
      </c>
      <c r="E18" s="20">
        <v>0</v>
      </c>
      <c r="F18" s="87">
        <v>41929</v>
      </c>
      <c r="G18" s="19">
        <v>41565</v>
      </c>
      <c r="H18" s="19">
        <v>41929</v>
      </c>
      <c r="I18" s="19">
        <v>41565</v>
      </c>
      <c r="J18" s="20">
        <v>99.037999999999997</v>
      </c>
      <c r="K18" s="20" t="str">
        <v>ESL0141017=</v>
      </c>
      <c r="L18" s="20" t="str">
        <v>N</v>
      </c>
      <c r="M18" s="20" t="str">
        <v>EJ8808499</v>
      </c>
      <c r="N18" s="20" t="str">
        <v>SGLT</v>
      </c>
      <c r="O18" s="21">
        <f>_xll.BondOutstanding(C18)</f>
        <v>4499490000</v>
      </c>
      <c r="P18" s="25">
        <f ca="1">_xll.xlBondYieldSensCustom(D18,E18,F18,G18,H18,I18,J18,B18,Q18,$AM$2,$AN$2,$AO$2,$AP$2,$AQ$2,"y")</f>
        <v>9.9510991376657205E-3</v>
      </c>
      <c r="Q18" s="26">
        <f>_xll.RtGet("IDN",$K18,IF(OR($D18="BTP,$E11=""CTZ"),Q$5,Q$4))</f>
        <v>99.183000000000007</v>
      </c>
      <c r="R18" s="27">
        <f>_xll.RtGet("IDN",$K18,IF(OR($D18="BTP,$E11=""CTZ"),R$5,R$4))</f>
        <v>99.36</v>
      </c>
      <c r="S18" s="28">
        <f ca="1">_xll.xlBondYieldSensCustom(D18,E18,F18,G18,H18,I18,J18,B18,R18,$AM$2,$AN$2,$AO$2,$AP$2,$AQ$2,"y")</f>
        <v>7.7813442272152865E-3</v>
      </c>
      <c r="T18" s="23">
        <f t="shared" si="0"/>
        <v>99.271500000000003</v>
      </c>
      <c r="U18" s="83">
        <f ca="1">_xll.xlBondYieldSensCustom(D18,E18,F18,G18,H18,I18,J18,B18,T18,$AM$2,$AN$2,$AO$2,$AP$2,$AQ$2,"y")</f>
        <v>8.8652545201257666E-3</v>
      </c>
      <c r="V18" s="23"/>
      <c r="W18" s="23">
        <f t="shared" si="1"/>
        <v>99.271500000000003</v>
      </c>
      <c r="X18" s="22"/>
      <c r="Y18" s="22">
        <f t="shared" ca="1" si="2"/>
        <v>8.8652545201257666E-3</v>
      </c>
      <c r="Z18" s="23">
        <f ca="1">_xll.xlBondPriceCustom(D18,E18,F18,G18,H18,I18,J18,B18,Y18,$AM$2,$AN$2,$AO$2,$AP$2,$AQ$2)</f>
        <v>99.271499999999435</v>
      </c>
      <c r="AA18" s="20">
        <f t="array" aca="1" ref="AA18:AG18" ca="1">_xll.xlBondYieldSens(D18,E18,F18,G18,H18,I18,J18,B18,W18,$AA$5&amp;$AB$5&amp;$AC$5&amp;$AD$5&amp;$AE$5&amp;$AF$5&amp;$AG$5)</f>
        <v>0</v>
      </c>
      <c r="AB18" s="20">
        <f ca="1"/>
        <v>0.82777777777777772</v>
      </c>
      <c r="AC18" s="20">
        <f ca="1"/>
        <v>-0.8204983092653686</v>
      </c>
      <c r="AD18" s="20">
        <f ca="1"/>
        <v>1.5129938271604937E-2</v>
      </c>
      <c r="AE18" s="20">
        <f ca="1"/>
        <v>1.4865003318249068E-2</v>
      </c>
      <c r="AF18" s="20">
        <f ca="1"/>
        <v>0.81452098597267764</v>
      </c>
      <c r="AG18" s="24">
        <f ca="1"/>
        <v>8.8720091604572743E-3</v>
      </c>
      <c r="AH18" s="22">
        <f ca="1">_xll.xlBondYieldSensCustom(D18,E18,F18,G18,H18,I18,J18,B18,W18,$AM$2,$AN$2,$AO$2,$AP$2,$AQ$2,"y")</f>
        <v>8.8652545201257666E-3</v>
      </c>
      <c r="AI18" s="22">
        <f ca="1">IF(TRUE,_xll.xlShmInterpRateFwd("EONIA",_xll.xlDateSettle("target",$B$2,2),0,4,$F18),"")</f>
        <v>1.5310742424040908E-3</v>
      </c>
      <c r="AJ18" s="85">
        <f t="shared" ca="1" si="3"/>
        <v>7.3341802777216756E-3</v>
      </c>
      <c r="AO18" s="84"/>
    </row>
    <row r="19" spans="1:41" ht="15.75" x14ac:dyDescent="0.25">
      <c r="A19" s="2" t="s">
        <v>45</v>
      </c>
      <c r="B19" s="19">
        <f ca="1">MAX(_xll.xlBondValueDate(D19,$B$2),I19)</f>
        <v>41631</v>
      </c>
      <c r="C19" s="20" t="str">
        <v>ES00000121P3</v>
      </c>
      <c r="D19" s="86" t="str">
        <f t="array" ref="D19:N19">_xll.BondInfo(C19,$D$5:$N$5)</f>
        <v>SPGB</v>
      </c>
      <c r="E19" s="20">
        <v>3.3</v>
      </c>
      <c r="F19" s="87">
        <v>41943</v>
      </c>
      <c r="G19" s="19">
        <v>40001</v>
      </c>
      <c r="H19" s="19">
        <v>40117</v>
      </c>
      <c r="I19" s="19">
        <v>40001</v>
      </c>
      <c r="J19" s="20">
        <v>100.94</v>
      </c>
      <c r="K19" s="20" t="str">
        <v>ES0000121P=GESN</v>
      </c>
      <c r="L19" s="20" t="str">
        <v>N</v>
      </c>
      <c r="M19" s="20" t="str">
        <v>EH8859454</v>
      </c>
      <c r="N19" s="20" t="str">
        <v>SPGB</v>
      </c>
      <c r="O19" s="21">
        <f>_xll.BondOutstanding(C19)</f>
        <v>21800492000</v>
      </c>
      <c r="P19" s="25">
        <f ca="1">_xll.xlBondYieldSensCustom(D19,E19,F19,G19,H19,I19,J19,B19,Q19,$AM$2,$AN$2,$AO$2,$AP$2,$AQ$2,"y")</f>
        <v>9.8096516721140406E-3</v>
      </c>
      <c r="Q19" s="26">
        <f>_xll.RtGet("IDN",$K19,IF(OR($D19="BTP,$E11=""CTZ"),Q$5,Q$4))</f>
        <v>101.95</v>
      </c>
      <c r="R19" s="27">
        <f>_xll.RtGet("IDN",$K19,IF(OR($D19="BTP,$E11=""CTZ"),R$5,R$4))</f>
        <v>102.01</v>
      </c>
      <c r="S19" s="28">
        <f ca="1">_xll.xlBondYieldSensCustom(D19,E19,F19,G19,H19,I19,J19,B19,R19,$AM$2,$AN$2,$AO$2,$AP$2,$AQ$2,"y")</f>
        <v>9.1284153088505918E-3</v>
      </c>
      <c r="T19" s="23">
        <f t="shared" si="0"/>
        <v>101.98</v>
      </c>
      <c r="U19" s="83">
        <f ca="1">_xll.xlBondYieldSensCustom(D19,E19,F19,G19,H19,I19,J19,B19,T19,$AM$2,$AN$2,$AO$2,$AP$2,$AQ$2,"y")</f>
        <v>9.4689337567857926E-3</v>
      </c>
      <c r="V19" s="23"/>
      <c r="W19" s="23">
        <f t="shared" si="1"/>
        <v>101.98</v>
      </c>
      <c r="X19" s="22"/>
      <c r="Y19" s="22">
        <f t="shared" ca="1" si="2"/>
        <v>9.4689337567857926E-3</v>
      </c>
      <c r="Z19" s="23">
        <f ca="1">_xll.xlBondPriceCustom(D19,E19,F19,G19,H19,I19,J19,B19,Y19,$AM$2,$AN$2,$AO$2,$AP$2,$AQ$2)</f>
        <v>101.97999997068511</v>
      </c>
      <c r="AA19" s="20">
        <f t="array" aca="1" ref="AA19:AG19" ca="1">_xll.xlBondYieldSens(D19,E19,F19,G19,H19,I19,J19,B19,W19,$AA$5&amp;$AB$5&amp;$AC$5&amp;$AD$5&amp;$AE$5&amp;$AF$5&amp;$AG$5)</f>
        <v>0.47917808219178076</v>
      </c>
      <c r="AB19" s="20">
        <f ca="1"/>
        <v>0.85479452054794514</v>
      </c>
      <c r="AC19" s="20">
        <f ca="1"/>
        <v>-0.84666054868467566</v>
      </c>
      <c r="AD19" s="20">
        <f ca="1"/>
        <v>1.5854681929067367E-2</v>
      </c>
      <c r="AE19" s="20">
        <f ca="1"/>
        <v>1.5554380619911779E-2</v>
      </c>
      <c r="AF19" s="20">
        <f ca="1"/>
        <v>0.86748144672057492</v>
      </c>
      <c r="AG19" s="24">
        <f ca="1"/>
        <v>9.6071229402952887E-3</v>
      </c>
      <c r="AH19" s="22">
        <f ca="1">_xll.xlBondYieldSensCustom(D19,E19,F19,G19,H19,I19,J19,B19,W19,$AM$2,$AN$2,$AO$2,$AP$2,$AQ$2,"y")</f>
        <v>9.4689337567857926E-3</v>
      </c>
      <c r="AI19" s="22">
        <f ca="1">IF(TRUE,_xll.xlShmInterpRateFwd("EONIA",_xll.xlDateSettle("target",$B$2,2),0,4,$F19),"")</f>
        <v>1.5264582991916609E-3</v>
      </c>
      <c r="AJ19" s="85">
        <f t="shared" ca="1" si="3"/>
        <v>7.9424754575941319E-3</v>
      </c>
      <c r="AO19" s="84"/>
    </row>
    <row r="20" spans="1:41" ht="15.75" x14ac:dyDescent="0.25">
      <c r="A20" s="2" t="s">
        <v>46</v>
      </c>
      <c r="B20" s="19">
        <f ca="1">MAX(_xll.xlBondValueDate(D20,$B$2),I20)</f>
        <v>41631</v>
      </c>
      <c r="C20" s="20" t="str">
        <v>ES0L01411211</v>
      </c>
      <c r="D20" s="86" t="str">
        <f t="array" ref="D20:N20">_xll.BondInfo(C20,$D$5:$N$5)</f>
        <v>SPGB</v>
      </c>
      <c r="E20" s="20">
        <v>0</v>
      </c>
      <c r="F20" s="87">
        <v>41964</v>
      </c>
      <c r="G20" s="19">
        <v>41600</v>
      </c>
      <c r="H20" s="19">
        <v>41964</v>
      </c>
      <c r="I20" s="19">
        <v>41600</v>
      </c>
      <c r="J20" s="20">
        <v>99.32</v>
      </c>
      <c r="K20" s="20" t="str">
        <v>ESL0141121=</v>
      </c>
      <c r="L20" s="20" t="str">
        <v>N</v>
      </c>
      <c r="M20" s="20" t="str">
        <v>EJ9419478</v>
      </c>
      <c r="N20" s="20" t="str">
        <v>SGLT</v>
      </c>
      <c r="O20" s="21">
        <f>_xll.BondOutstanding(C20)</f>
        <v>3709050000</v>
      </c>
      <c r="P20" s="25">
        <f ca="1">_xll.xlBondYieldSensCustom(D20,E20,F20,G20,H20,I20,J20,B20,Q20,$AM$2,$AN$2,$AO$2,$AP$2,$AQ$2,"y")</f>
        <v>1.0126405475242541E-2</v>
      </c>
      <c r="Q20" s="26">
        <f>_xll.RtGet("IDN",$K20,IF(OR($D20="BTP,$E11=""CTZ"),Q$5,Q$4))</f>
        <v>99.072000000000003</v>
      </c>
      <c r="R20" s="27">
        <f>_xll.RtGet("IDN",$K20,IF(OR($D20="BTP,$E11=""CTZ"),R$5,R$4))</f>
        <v>99.278999999999996</v>
      </c>
      <c r="S20" s="28">
        <f ca="1">_xll.xlBondYieldSensCustom(D20,E20,F20,G20,H20,I20,J20,B20,R20,$AM$2,$AN$2,$AO$2,$AP$2,$AQ$2,"y")</f>
        <v>7.8512017592789942E-3</v>
      </c>
      <c r="T20" s="23">
        <f t="shared" si="0"/>
        <v>99.1755</v>
      </c>
      <c r="U20" s="83">
        <f ca="1">_xll.xlBondYieldSensCustom(D20,E20,F20,G20,H20,I20,J20,B20,T20,$AM$2,$AN$2,$AO$2,$AP$2,$AQ$2,"y")</f>
        <v>8.9876164108207042E-3</v>
      </c>
      <c r="V20" s="23"/>
      <c r="W20" s="23">
        <f t="shared" si="1"/>
        <v>99.1755</v>
      </c>
      <c r="X20" s="22"/>
      <c r="Y20" s="22">
        <f t="shared" ca="1" si="2"/>
        <v>8.9876164108207042E-3</v>
      </c>
      <c r="Z20" s="23">
        <f ca="1">_xll.xlBondPriceCustom(D20,E20,F20,G20,H20,I20,J20,B20,Y20,$AM$2,$AN$2,$AO$2,$AP$2,$AQ$2)</f>
        <v>99.1755</v>
      </c>
      <c r="AA20" s="20">
        <f t="array" aca="1" ref="AA20:AG20" ca="1">_xll.xlBondYieldSens(D20,E20,F20,G20,H20,I20,J20,B20,W20,$AA$5&amp;$AB$5&amp;$AC$5&amp;$AD$5&amp;$AE$5&amp;$AF$5&amp;$AG$5)</f>
        <v>0</v>
      </c>
      <c r="AB20" s="20">
        <f ca="1"/>
        <v>0.92500000000000004</v>
      </c>
      <c r="AC20" s="20">
        <f ca="1"/>
        <v>-0.91675776293514166</v>
      </c>
      <c r="AD20" s="20">
        <f ca="1"/>
        <v>1.7806249999999999E-2</v>
      </c>
      <c r="AE20" s="20">
        <f ca="1"/>
        <v>1.7490337644443809E-2</v>
      </c>
      <c r="AF20" s="20">
        <f ca="1"/>
        <v>0.90919910355964362</v>
      </c>
      <c r="AG20" s="24">
        <f ca="1"/>
        <v>8.9906378745612421E-3</v>
      </c>
      <c r="AH20" s="22">
        <f ca="1">_xll.xlBondYieldSensCustom(D20,E20,F20,G20,H20,I20,J20,B20,W20,$AM$2,$AN$2,$AO$2,$AP$2,$AQ$2,"y")</f>
        <v>8.9876164108207042E-3</v>
      </c>
      <c r="AI20" s="22">
        <f ca="1">IF(TRUE,_xll.xlShmInterpRateFwd("EONIA",_xll.xlDateSettle("target",$B$2,2),0,4,$F20),"")</f>
        <v>1.5196882451726916E-3</v>
      </c>
      <c r="AJ20" s="85">
        <f t="shared" ca="1" si="3"/>
        <v>7.4679281656480131E-3</v>
      </c>
      <c r="AO20" s="84"/>
    </row>
    <row r="21" spans="1:41" ht="15.75" x14ac:dyDescent="0.25">
      <c r="A21" s="2" t="s">
        <v>50</v>
      </c>
      <c r="B21" s="19">
        <f ca="1">MAX(_xll.xlBondValueDate(D21,$B$2),I21)</f>
        <v>41631</v>
      </c>
      <c r="C21" s="20" t="str">
        <v>ES0L01412128</v>
      </c>
      <c r="D21" s="86" t="str">
        <f t="array" ref="D21:N21">_xll.BondInfo(C21,$D$5:$N$5)</f>
        <v>SPGB</v>
      </c>
      <c r="E21" s="20">
        <v>0</v>
      </c>
      <c r="F21" s="87">
        <v>41985</v>
      </c>
      <c r="G21" s="19">
        <v>41621</v>
      </c>
      <c r="H21" s="19">
        <v>41985</v>
      </c>
      <c r="I21" s="19">
        <v>41621</v>
      </c>
      <c r="J21" s="20">
        <v>99.114999999999995</v>
      </c>
      <c r="K21" s="20" t="str">
        <v>ESL0141212=</v>
      </c>
      <c r="L21" s="20" t="str">
        <v>Y</v>
      </c>
      <c r="M21" s="20" t="str">
        <v>EJ9814405</v>
      </c>
      <c r="N21" s="20" t="str">
        <v>SGLT</v>
      </c>
      <c r="O21" s="21">
        <f>_xll.BondOutstanding(C21)</f>
        <v>2849200000</v>
      </c>
      <c r="P21" s="25">
        <f ca="1">_xll.xlBondYieldSensCustom(D21,E21,F21,G21,H21,I21,J21,B21,Q21,$AM$2,$AN$2,$AO$2,$AP$2,$AQ$2,"y")</f>
        <v>9.3910125102243773E-3</v>
      </c>
      <c r="Q21" s="26">
        <f>_xll.RtGet("IDN",$K21,IF(OR($D21="BTP,$E11=""CTZ"),Q$5,Q$4))</f>
        <v>99.084999999999994</v>
      </c>
      <c r="R21" s="27">
        <f>_xll.RtGet("IDN",$K21,IF(OR($D21="BTP,$E11=""CTZ"),R$5,R$4))</f>
        <v>99.103999999999999</v>
      </c>
      <c r="S21" s="28">
        <f ca="1">_xll.xlBondYieldSensCustom(D21,E21,F21,G21,H21,I21,J21,B21,R21,$AM$2,$AN$2,$AO$2,$AP$2,$AQ$2,"y")</f>
        <v>9.1942448405439824E-3</v>
      </c>
      <c r="T21" s="23">
        <f t="shared" si="0"/>
        <v>99.094499999999996</v>
      </c>
      <c r="U21" s="83">
        <f ca="1">_xll.xlBondYieldSensCustom(D21,E21,F21,G21,H21,I21,J21,B21,T21,$AM$2,$AN$2,$AO$2,$AP$2,$AQ$2,"y")</f>
        <v>9.2926192435283037E-3</v>
      </c>
      <c r="V21" s="23"/>
      <c r="W21" s="23">
        <f t="shared" si="1"/>
        <v>99.094499999999996</v>
      </c>
      <c r="X21" s="22"/>
      <c r="Y21" s="22">
        <f t="shared" ca="1" si="2"/>
        <v>9.2926192435283037E-3</v>
      </c>
      <c r="Z21" s="23">
        <f ca="1">_xll.xlBondPriceCustom(D21,E21,F21,G21,H21,I21,J21,B21,Y21,$AM$2,$AN$2,$AO$2,$AP$2,$AQ$2)</f>
        <v>99.094499999999329</v>
      </c>
      <c r="AA21" s="20">
        <f t="array" aca="1" ref="AA21:AG21" ca="1">_xll.xlBondYieldSens(D21,E21,F21,G21,H21,I21,J21,B21,W21,$AA$5&amp;$AB$5&amp;$AC$5&amp;$AD$5&amp;$AE$5&amp;$AF$5&amp;$AG$5)</f>
        <v>0</v>
      </c>
      <c r="AB21" s="20">
        <f ca="1"/>
        <v>0.98333333333333328</v>
      </c>
      <c r="AC21" s="20">
        <f ca="1"/>
        <v>-0.97427972283236874</v>
      </c>
      <c r="AD21" s="20">
        <f ca="1"/>
        <v>1.9502777777777779E-2</v>
      </c>
      <c r="AE21" s="20">
        <f ca="1"/>
        <v>1.9145304478026398E-2</v>
      </c>
      <c r="AF21" s="20">
        <f ca="1"/>
        <v>0.96545694298768581</v>
      </c>
      <c r="AG21" s="24">
        <f ca="1"/>
        <v>9.293336704953685E-3</v>
      </c>
      <c r="AH21" s="22">
        <f ca="1">_xll.xlBondYieldSensCustom(D21,E21,F21,G21,H21,I21,J21,B21,W21,$AM$2,$AN$2,$AO$2,$AP$2,$AQ$2,"y")</f>
        <v>9.2926192435283037E-3</v>
      </c>
      <c r="AI21" s="22">
        <f ca="1">IF(TRUE,_xll.xlShmInterpRateFwd("EONIA",_xll.xlDateSettle("target",$B$2,2),0,4,$F21),"")</f>
        <v>1.5131299935251328E-3</v>
      </c>
      <c r="AJ21" s="85">
        <f t="shared" ca="1" si="3"/>
        <v>7.7794892500031706E-3</v>
      </c>
      <c r="AO21" s="84"/>
    </row>
    <row r="22" spans="1:41" ht="15.75" x14ac:dyDescent="0.25">
      <c r="A22" s="2" t="s">
        <v>48</v>
      </c>
      <c r="B22" s="19">
        <f ca="1">MAX(_xll.xlBondValueDate(D22,$B$2),I22)</f>
        <v>41631</v>
      </c>
      <c r="C22" s="20" t="str">
        <v>ES0000012916</v>
      </c>
      <c r="D22" s="86" t="str">
        <f t="array" ref="D22:N22">_xll.BondInfo(C22,$D$5:$N$5)</f>
        <v>SPGB</v>
      </c>
      <c r="E22" s="20">
        <v>4.4000000000000004</v>
      </c>
      <c r="F22" s="87">
        <v>42035</v>
      </c>
      <c r="G22" s="19">
        <v>38166</v>
      </c>
      <c r="H22" s="19">
        <v>38383</v>
      </c>
      <c r="I22" s="19">
        <v>38166</v>
      </c>
      <c r="J22" s="20">
        <v>99.683000000000007</v>
      </c>
      <c r="K22" s="20" t="str">
        <v>ES00001291=GESN</v>
      </c>
      <c r="L22" s="20" t="str">
        <v>N</v>
      </c>
      <c r="M22" s="20" t="str">
        <v>ED5175986</v>
      </c>
      <c r="N22" s="20" t="str">
        <v>SPGB</v>
      </c>
      <c r="O22" s="21">
        <f>_xll.BondOutstanding(C22)</f>
        <v>20975800000</v>
      </c>
      <c r="P22" s="25">
        <f ca="1">_xll.xlBondYieldSensCustom(D22,E22,F22,G22,H22,I22,J22,B22,Q22,$AM$2,$AN$2,$AO$2,$AP$2,$AQ$2,"y")</f>
        <v>1.0182609001200028E-2</v>
      </c>
      <c r="Q22" s="26">
        <f>_xll.RtGet("IDN",$K22,IF(OR($D22="BTP,$E11=""CTZ"),Q$5,Q$4))</f>
        <v>103.68</v>
      </c>
      <c r="R22" s="27">
        <f>_xll.RtGet("IDN",$K22,IF(OR($D22="BTP,$E11=""CTZ"),R$5,R$4))</f>
        <v>103.76</v>
      </c>
      <c r="S22" s="28">
        <f ca="1">_xll.xlBondYieldSensCustom(D22,E22,F22,G22,H22,I22,J22,B22,R22,$AM$2,$AN$2,$AO$2,$AP$2,$AQ$2,"y")</f>
        <v>9.4908434163287064E-3</v>
      </c>
      <c r="T22" s="23">
        <f t="shared" si="0"/>
        <v>103.72</v>
      </c>
      <c r="U22" s="83">
        <f ca="1">_xll.xlBondYieldSensCustom(D22,E22,F22,G22,H22,I22,J22,B22,T22,$AM$2,$AN$2,$AO$2,$AP$2,$AQ$2,"y")</f>
        <v>9.8365932573313414E-3</v>
      </c>
      <c r="V22" s="23"/>
      <c r="W22" s="23">
        <f t="shared" si="1"/>
        <v>103.72</v>
      </c>
      <c r="X22" s="22"/>
      <c r="Y22" s="22">
        <f t="shared" ca="1" si="2"/>
        <v>9.8365932573313414E-3</v>
      </c>
      <c r="Z22" s="23">
        <f ca="1">_xll.xlBondPriceCustom(D22,E22,F22,G22,H22,I22,J22,B22,Y22,$AM$2,$AN$2,$AO$2,$AP$2,$AQ$2)</f>
        <v>103.71999978870039</v>
      </c>
      <c r="AA22" s="20">
        <f t="array" aca="1" ref="AA22:AG22" ca="1">_xll.xlBondYieldSens(D22,E22,F22,G22,H22,I22,J22,B22,W22,$AA$5&amp;$AB$5&amp;$AC$5&amp;$AD$5&amp;$AE$5&amp;$AF$5&amp;$AG$5)</f>
        <v>3.9298630136986303</v>
      </c>
      <c r="AB22" s="20">
        <f ca="1"/>
        <v>1.0712750830368871</v>
      </c>
      <c r="AC22" s="20">
        <f ca="1"/>
        <v>-1.0607021619343351</v>
      </c>
      <c r="AD22" s="20">
        <f ca="1"/>
        <v>2.2584986173755355E-2</v>
      </c>
      <c r="AE22" s="20">
        <f ca="1"/>
        <v>2.2141382250817396E-2</v>
      </c>
      <c r="AF22" s="20">
        <f ca="1"/>
        <v>1.1418444365389746</v>
      </c>
      <c r="AG22" s="24">
        <f ca="1"/>
        <v>9.9678509968496171E-3</v>
      </c>
      <c r="AH22" s="22">
        <f ca="1">_xll.xlBondYieldSensCustom(D22,E22,F22,G22,H22,I22,J22,B22,W22,$AM$2,$AN$2,$AO$2,$AP$2,$AQ$2,"y")</f>
        <v>9.8365932573313414E-3</v>
      </c>
      <c r="AI22" s="22">
        <f ca="1">IF(TRUE,_xll.xlShmInterpRateFwd("EONIA",_xll.xlDateSettle("target",$B$2,2),0,4,$F22),"")</f>
        <v>1.5102320288967247E-3</v>
      </c>
      <c r="AJ22" s="85">
        <f t="shared" ca="1" si="3"/>
        <v>8.3263612284346158E-3</v>
      </c>
      <c r="AO22" s="84"/>
    </row>
    <row r="23" spans="1:41" ht="15.75" x14ac:dyDescent="0.25">
      <c r="A23" s="2" t="s">
        <v>58</v>
      </c>
      <c r="B23" s="19">
        <f ca="1">MAX(_xll.xlBondValueDate(D23,$B$2),I23)</f>
        <v>41631</v>
      </c>
      <c r="C23" s="20" t="str">
        <v>ES00000123T1</v>
      </c>
      <c r="D23" s="86" t="str">
        <f t="array" ref="D23:N23">_xll.BondInfo(C23,$D$5:$N$5)</f>
        <v>SPGB</v>
      </c>
      <c r="E23" s="20">
        <v>2.75</v>
      </c>
      <c r="F23" s="87">
        <v>42094</v>
      </c>
      <c r="G23" s="19">
        <v>41289</v>
      </c>
      <c r="H23" s="19">
        <v>41364</v>
      </c>
      <c r="I23" s="19">
        <v>41289</v>
      </c>
      <c r="J23" s="20">
        <v>100.58499999999999</v>
      </c>
      <c r="K23" s="20" t="str">
        <v>ES0000123T=GESN</v>
      </c>
      <c r="L23" s="20" t="str">
        <v>N</v>
      </c>
      <c r="M23" s="20" t="str">
        <v>EJ5005701</v>
      </c>
      <c r="N23" s="20" t="str">
        <v>SPGB</v>
      </c>
      <c r="O23" s="21">
        <f>_xll.BondOutstanding(C23)</f>
        <v>10540281000</v>
      </c>
      <c r="P23" s="25">
        <f ca="1">_xll.xlBondYieldSensCustom(D23,E23,F23,G23,H23,I23,J23,B23,Q23,$AM$2,$AN$2,$AO$2,$AP$2,$AQ$2,"y")</f>
        <v>1.1013905962207769E-2</v>
      </c>
      <c r="Q23" s="26">
        <f>_xll.RtGet("IDN",$K23,IF(OR($D23="BTP,$E11=""CTZ"),Q$5,Q$4))</f>
        <v>102.045</v>
      </c>
      <c r="R23" s="27">
        <f>_xll.RtGet("IDN",$K23,IF(OR($D23="BTP,$E11=""CTZ"),R$5,R$4))</f>
        <v>102.11499999999999</v>
      </c>
      <c r="S23" s="28">
        <f ca="1">_xll.xlBondYieldSensCustom(D23,E23,F23,G23,H23,I23,J23,B23,R23,$AM$2,$AN$2,$AO$2,$AP$2,$AQ$2,"y")</f>
        <v>1.0472590766924427E-2</v>
      </c>
      <c r="T23" s="23">
        <f t="shared" si="0"/>
        <v>102.08</v>
      </c>
      <c r="U23" s="83">
        <f ca="1">_xll.xlBondYieldSensCustom(D23,E23,F23,G23,H23,I23,J23,B23,T23,$AM$2,$AN$2,$AO$2,$AP$2,$AQ$2,"y")</f>
        <v>1.0743155853178182E-2</v>
      </c>
      <c r="V23" s="23"/>
      <c r="W23" s="23">
        <f t="shared" si="1"/>
        <v>102.08</v>
      </c>
      <c r="X23" s="22"/>
      <c r="Y23" s="22">
        <f t="shared" ca="1" si="2"/>
        <v>1.0743155853178182E-2</v>
      </c>
      <c r="Z23" s="23">
        <f ca="1">_xll.xlBondPriceCustom(D23,E23,F23,G23,H23,I23,J23,B23,Y23,$AM$2,$AN$2,$AO$2,$AP$2,$AQ$2)</f>
        <v>102.07999981601877</v>
      </c>
      <c r="AA23" s="20">
        <f t="array" aca="1" ref="AA23:AG23" ca="1">_xll.xlBondYieldSens(D23,E23,F23,G23,H23,I23,J23,B23,W23,$AA$5&amp;$AB$5&amp;$AC$5&amp;$AD$5&amp;$AE$5&amp;$AF$5&amp;$AG$5)</f>
        <v>2.0116438356164386</v>
      </c>
      <c r="AB23" s="20">
        <f ca="1"/>
        <v>1.2421507484405208</v>
      </c>
      <c r="AC23" s="20">
        <f ca="1"/>
        <v>-1.2287854173584132</v>
      </c>
      <c r="AD23" s="20">
        <f ca="1"/>
        <v>2.8107377103802705E-2</v>
      </c>
      <c r="AE23" s="20">
        <f ca="1"/>
        <v>2.7505769998165005E-2</v>
      </c>
      <c r="AF23" s="20">
        <f ca="1"/>
        <v>1.2790629556356237</v>
      </c>
      <c r="AG23" s="24">
        <f ca="1"/>
        <v>1.0876863296439426E-2</v>
      </c>
      <c r="AH23" s="22">
        <f ca="1">_xll.xlBondYieldSensCustom(D23,E23,F23,G23,H23,I23,J23,B23,W23,$AM$2,$AN$2,$AO$2,$AP$2,$AQ$2,"y")</f>
        <v>1.0743155853178182E-2</v>
      </c>
      <c r="AI23" s="22">
        <f ca="1">IF(TRUE,_xll.xlShmInterpRateFwd("EONIA",_xll.xlDateSettle("target",$B$2,2),0,4,$F23),"")</f>
        <v>1.5175863259897227E-3</v>
      </c>
      <c r="AJ23" s="85">
        <f t="shared" ca="1" si="3"/>
        <v>9.225569527188459E-3</v>
      </c>
      <c r="AO23" s="84"/>
    </row>
    <row r="24" spans="1:41" ht="15.75" x14ac:dyDescent="0.25">
      <c r="A24" s="2" t="s">
        <v>51</v>
      </c>
      <c r="B24" s="19">
        <f ca="1">MAX(_xll.xlBondValueDate(D24,$B$2),I24)</f>
        <v>41631</v>
      </c>
      <c r="C24" s="20" t="str">
        <v>ES00000122F2</v>
      </c>
      <c r="D24" s="86" t="str">
        <f t="array" ref="D24:N24">_xll.BondInfo(C24,$D$5:$N$5)</f>
        <v>SPGB</v>
      </c>
      <c r="E24" s="20">
        <v>3</v>
      </c>
      <c r="F24" s="87">
        <v>42124</v>
      </c>
      <c r="G24" s="19">
        <v>40246</v>
      </c>
      <c r="H24" s="19">
        <v>40298</v>
      </c>
      <c r="I24" s="19">
        <v>40246</v>
      </c>
      <c r="J24" s="20">
        <v>100.87</v>
      </c>
      <c r="K24" s="20" t="str">
        <v>ES0000122F=GESN</v>
      </c>
      <c r="L24" s="20" t="str">
        <v>N</v>
      </c>
      <c r="M24" s="20" t="str">
        <v>EI1696687</v>
      </c>
      <c r="N24" s="20" t="str">
        <v>SPGB</v>
      </c>
      <c r="O24" s="21">
        <f>_xll.BondOutstanding(C24)</f>
        <v>20971294940</v>
      </c>
      <c r="P24" s="25">
        <f ca="1">_xll.xlBondYieldSensCustom(D24,E24,F24,G24,H24,I24,J24,B24,Q24,$AM$2,$AN$2,$AO$2,$AP$2,$AQ$2,"y")</f>
        <v>1.1230673964667336E-2</v>
      </c>
      <c r="Q24" s="26">
        <f>_xll.RtGet("IDN",$K24,IF(OR($D24="BTP,$E11=""CTZ"),Q$5,Q$4))</f>
        <v>102.48</v>
      </c>
      <c r="R24" s="27">
        <f>_xll.RtGet("IDN",$K24,IF(OR($D24="BTP,$E11=""CTZ"),R$5,R$4))</f>
        <v>102.545</v>
      </c>
      <c r="S24" s="28">
        <f ca="1">_xll.xlBondYieldSensCustom(D24,E24,F24,G24,H24,I24,J24,B24,R24,$AM$2,$AN$2,$AO$2,$AP$2,$AQ$2,"y")</f>
        <v>1.075951412320985E-2</v>
      </c>
      <c r="T24" s="23">
        <f t="shared" si="0"/>
        <v>102.5125</v>
      </c>
      <c r="U24" s="83">
        <f ca="1">_xll.xlBondYieldSensCustom(D24,E24,F24,G24,H24,I24,J24,B24,T24,$AM$2,$AN$2,$AO$2,$AP$2,$AQ$2,"y")</f>
        <v>1.0995019592119348E-2</v>
      </c>
      <c r="V24" s="23"/>
      <c r="W24" s="23">
        <f t="shared" si="1"/>
        <v>102.5125</v>
      </c>
      <c r="X24" s="22"/>
      <c r="Y24" s="22">
        <f t="shared" ca="1" si="2"/>
        <v>1.0995019592119348E-2</v>
      </c>
      <c r="Z24" s="23">
        <f ca="1">_xll.xlBondPriceCustom(D24,E24,F24,G24,H24,I24,J24,B24,Y24,$AM$2,$AN$2,$AO$2,$AP$2,$AQ$2)</f>
        <v>102.51249967367289</v>
      </c>
      <c r="AA24" s="20">
        <f t="array" aca="1" ref="AA24:AG24" ca="1">_xll.xlBondYieldSens(D24,E24,F24,G24,H24,I24,J24,B24,W24,$AA$5&amp;$AB$5&amp;$AC$5&amp;$AD$5&amp;$AE$5&amp;$AF$5&amp;$AG$5)</f>
        <v>1.9479452054794519</v>
      </c>
      <c r="AB24" s="20">
        <f ca="1"/>
        <v>1.3220771511964673</v>
      </c>
      <c r="AC24" s="20">
        <f ca="1"/>
        <v>-1.3075288745046685</v>
      </c>
      <c r="AD24" s="20">
        <f ca="1"/>
        <v>3.0977545201283287E-2</v>
      </c>
      <c r="AE24" s="20">
        <f ca="1"/>
        <v>3.0299535920481246E-2</v>
      </c>
      <c r="AF24" s="20">
        <f ca="1"/>
        <v>1.36585050133462</v>
      </c>
      <c r="AG24" s="24">
        <f ca="1"/>
        <v>1.1126543066271921E-2</v>
      </c>
      <c r="AH24" s="22">
        <f ca="1">_xll.xlBondYieldSensCustom(D24,E24,F24,G24,H24,I24,J24,B24,W24,$AM$2,$AN$2,$AO$2,$AP$2,$AQ$2,"y")</f>
        <v>1.0995019592119348E-2</v>
      </c>
      <c r="AI24" s="22">
        <f ca="1">IF(TRUE,_xll.xlShmInterpRateFwd("EONIA",_xll.xlDateSettle("target",$B$2,2),0,4,$F24),"")</f>
        <v>1.5372833958446908E-3</v>
      </c>
      <c r="AJ24" s="85">
        <f t="shared" ca="1" si="3"/>
        <v>9.4577361962746576E-3</v>
      </c>
      <c r="AO24" s="84"/>
    </row>
    <row r="25" spans="1:41" ht="15.75" x14ac:dyDescent="0.25">
      <c r="A25" s="2" t="s">
        <v>49</v>
      </c>
      <c r="B25" s="19">
        <f ca="1">MAX(_xll.xlBondValueDate(D25,$B$2),I25)</f>
        <v>41631</v>
      </c>
      <c r="C25" s="20" t="str">
        <v>ES00000123L8</v>
      </c>
      <c r="D25" s="86" t="str">
        <f t="array" ref="D25:N25">_xll.BondInfo(C25,$D$5:$N$5)</f>
        <v>SPGB</v>
      </c>
      <c r="E25" s="20">
        <v>4</v>
      </c>
      <c r="F25" s="87">
        <v>42215</v>
      </c>
      <c r="G25" s="19">
        <v>40925</v>
      </c>
      <c r="H25" s="19">
        <v>41120</v>
      </c>
      <c r="I25" s="19">
        <v>40925</v>
      </c>
      <c r="J25" s="20">
        <v>102.033</v>
      </c>
      <c r="K25" s="20" t="str">
        <v>ES0000123L=GESN</v>
      </c>
      <c r="L25" s="20" t="str">
        <v>N</v>
      </c>
      <c r="M25" s="20" t="str">
        <v>EI9445012</v>
      </c>
      <c r="N25" s="20" t="str">
        <v>SPGB</v>
      </c>
      <c r="O25" s="21">
        <f>_xll.BondOutstanding(C25)</f>
        <v>20180300000</v>
      </c>
      <c r="P25" s="25">
        <f ca="1">_xll.xlBondYieldSensCustom(D25,E25,F25,G25,H25,I25,J25,B25,Q25,$AM$2,$AN$2,$AO$2,$AP$2,$AQ$2,"y")</f>
        <v>1.2517265861588946E-2</v>
      </c>
      <c r="Q25" s="26">
        <f>_xll.RtGet("IDN",$K25,IF(OR($D25="BTP,$E11=""CTZ"),Q$5,Q$4))</f>
        <v>104.3</v>
      </c>
      <c r="R25" s="27">
        <f>_xll.RtGet("IDN",$K25,IF(OR($D25="BTP,$E11=""CTZ"),R$5,R$4))</f>
        <v>104.355</v>
      </c>
      <c r="S25" s="28">
        <f ca="1">_xll.xlBondYieldSensCustom(D25,E25,F25,G25,H25,I25,J25,B25,R25,$AM$2,$AN$2,$AO$2,$AP$2,$AQ$2,"y")</f>
        <v>1.2183012013368175E-2</v>
      </c>
      <c r="T25" s="23">
        <f t="shared" si="0"/>
        <v>104.3275</v>
      </c>
      <c r="U25" s="83">
        <f ca="1">_xll.xlBondYieldSensCustom(D25,E25,F25,G25,H25,I25,J25,B25,T25,$AM$2,$AN$2,$AO$2,$AP$2,$AQ$2,"y")</f>
        <v>1.2350094913766457E-2</v>
      </c>
      <c r="V25" s="23"/>
      <c r="W25" s="23">
        <f t="shared" si="1"/>
        <v>104.3275</v>
      </c>
      <c r="X25" s="22"/>
      <c r="Y25" s="22">
        <f t="shared" ca="1" si="2"/>
        <v>1.2350094913766457E-2</v>
      </c>
      <c r="Z25" s="23">
        <f ca="1">_xll.xlBondPriceCustom(D25,E25,F25,G25,H25,I25,J25,B25,Y25,$AM$2,$AN$2,$AO$2,$AP$2,$AQ$2)</f>
        <v>104.32749811755474</v>
      </c>
      <c r="AA25" s="20">
        <f t="array" aca="1" ref="AA25:AG25" ca="1">_xll.xlBondYieldSens(D25,E25,F25,G25,H25,I25,J25,B25,W25,$AA$5&amp;$AB$5&amp;$AC$5&amp;$AD$5&amp;$AE$5&amp;$AF$5&amp;$AG$5)</f>
        <v>1.6</v>
      </c>
      <c r="AB25" s="20">
        <f ca="1"/>
        <v>1.5625182035920107</v>
      </c>
      <c r="AC25" s="20">
        <f ca="1"/>
        <v>-1.5432642370945118</v>
      </c>
      <c r="AD25" s="20">
        <f ca="1"/>
        <v>4.0400582514944341E-2</v>
      </c>
      <c r="AE25" s="20">
        <f ca="1"/>
        <v>3.9411053124839231E-2</v>
      </c>
      <c r="AF25" s="20">
        <f ca="1"/>
        <v>1.6347412610521417</v>
      </c>
      <c r="AG25" s="24">
        <f ca="1"/>
        <v>1.2476123772489717E-2</v>
      </c>
      <c r="AH25" s="22">
        <f ca="1">_xll.xlBondYieldSensCustom(D25,E25,F25,G25,H25,I25,J25,B25,W25,$AM$2,$AN$2,$AO$2,$AP$2,$AQ$2,"y")</f>
        <v>1.2350094913766457E-2</v>
      </c>
      <c r="AI25" s="22">
        <f ca="1">IF(TRUE,_xll.xlShmInterpRateFwd("EONIA",_xll.xlDateSettle("target",$B$2,2),0,4,$F25),"")</f>
        <v>1.6239356135792525E-3</v>
      </c>
      <c r="AJ25" s="85">
        <f t="shared" ca="1" si="3"/>
        <v>1.0726159300187204E-2</v>
      </c>
      <c r="AO25" s="84"/>
    </row>
    <row r="26" spans="1:41" ht="15.75" x14ac:dyDescent="0.25">
      <c r="A26" s="2" t="s">
        <v>47</v>
      </c>
      <c r="B26" s="19">
        <f ca="1">MAX(_xll.xlBondValueDate(D26,$B$2),I26)</f>
        <v>41631</v>
      </c>
      <c r="C26" s="20" t="str">
        <v>ES00000123P9</v>
      </c>
      <c r="D26" s="86" t="str">
        <f t="array" ref="D26:N26">_xll.BondInfo(C26,$D$5:$N$5)</f>
        <v>SPGB</v>
      </c>
      <c r="E26" s="20">
        <v>3.75</v>
      </c>
      <c r="F26" s="87">
        <v>42308</v>
      </c>
      <c r="G26" s="19">
        <v>41177</v>
      </c>
      <c r="H26" s="19">
        <v>41213</v>
      </c>
      <c r="I26" s="19">
        <v>41177</v>
      </c>
      <c r="J26" s="20">
        <v>99.713999999999999</v>
      </c>
      <c r="K26" s="20" t="str">
        <v>ES0000123P=GESN</v>
      </c>
      <c r="L26" s="20" t="str">
        <v>Y</v>
      </c>
      <c r="M26" s="20" t="str">
        <v>EJ3660119</v>
      </c>
      <c r="N26" s="20" t="str">
        <v>SPGB</v>
      </c>
      <c r="O26" s="21">
        <f>_xll.BondOutstanding(C26)</f>
        <v>15484622000</v>
      </c>
      <c r="P26" s="25">
        <f ca="1">_xll.xlBondYieldSensCustom(D26,E26,F26,G26,H26,I26,J26,B26,Q26,$AM$2,$AN$2,$AO$2,$AP$2,$AQ$2,"y")</f>
        <v>1.4007555708999482E-2</v>
      </c>
      <c r="Q26" s="26">
        <f>_xll.RtGet("IDN",$K26,IF(OR($D26="BTP,$E11=""CTZ"),Q$5,Q$4))</f>
        <v>104.24</v>
      </c>
      <c r="R26" s="27">
        <f>_xll.RtGet("IDN",$K26,IF(OR($D26="BTP,$E11=""CTZ"),R$5,R$4))</f>
        <v>104.33</v>
      </c>
      <c r="S26" s="28">
        <f ca="1">_xll.xlBondYieldSensCustom(D26,E26,F26,G26,H26,I26,J26,B26,R26,$AM$2,$AN$2,$AO$2,$AP$2,$AQ$2,"y")</f>
        <v>1.3531557612221211E-2</v>
      </c>
      <c r="T26" s="23">
        <f t="shared" si="0"/>
        <v>104.285</v>
      </c>
      <c r="U26" s="83">
        <f ca="1">_xll.xlBondYieldSensCustom(D26,E26,F26,G26,H26,I26,J26,B26,T26,$AM$2,$AN$2,$AO$2,$AP$2,$AQ$2,"y")</f>
        <v>1.3769453463356354E-2</v>
      </c>
      <c r="V26" s="23"/>
      <c r="W26" s="23">
        <f t="shared" si="1"/>
        <v>104.285</v>
      </c>
      <c r="X26" s="22"/>
      <c r="Y26" s="22">
        <f t="shared" ca="1" si="2"/>
        <v>1.3769453463356354E-2</v>
      </c>
      <c r="Z26" s="23">
        <f ca="1">_xll.xlBondPriceCustom(D26,E26,F26,G26,H26,I26,J26,B26,Y26,$AM$2,$AN$2,$AO$2,$AP$2,$AQ$2)</f>
        <v>104.28500011656085</v>
      </c>
      <c r="AA26" s="20">
        <f t="array" aca="1" ref="AA26:AG26" ca="1">_xll.xlBondYieldSens(D26,E26,F26,G26,H26,I26,J26,B26,W26,$AA$5&amp;$AB$5&amp;$AC$5&amp;$AD$5&amp;$AE$5&amp;$AF$5&amp;$AG$5)</f>
        <v>0.54452054794520544</v>
      </c>
      <c r="AB26" s="20">
        <f ca="1"/>
        <v>1.8247269052702968</v>
      </c>
      <c r="AC26" s="20">
        <f ca="1"/>
        <v>-1.7997472689645349</v>
      </c>
      <c r="AD26" s="20">
        <f ca="1"/>
        <v>5.188833435875255E-2</v>
      </c>
      <c r="AE26" s="20">
        <f ca="1"/>
        <v>5.0477405556942141E-2</v>
      </c>
      <c r="AF26" s="20">
        <f ca="1"/>
        <v>1.8866664911044495</v>
      </c>
      <c r="AG26" s="24">
        <f ca="1"/>
        <v>1.3879511578848605E-2</v>
      </c>
      <c r="AH26" s="22">
        <f ca="1">_xll.xlBondYieldSensCustom(D26,E26,F26,G26,H26,I26,J26,B26,W26,$AM$2,$AN$2,$AO$2,$AP$2,$AQ$2,"y")</f>
        <v>1.3769453463356354E-2</v>
      </c>
      <c r="AI26" s="22">
        <f ca="1">IF(TRUE,_xll.xlShmInterpRateFwd("EONIA",_xll.xlDateSettle("target",$B$2,2),0,4,$F26),"")</f>
        <v>1.7729426804171879E-3</v>
      </c>
      <c r="AJ26" s="85">
        <f t="shared" ca="1" si="3"/>
        <v>1.1996510782939167E-2</v>
      </c>
      <c r="AO26" s="84"/>
    </row>
    <row r="27" spans="1:41" ht="15.75" x14ac:dyDescent="0.25">
      <c r="A27" s="2" t="s">
        <v>234</v>
      </c>
      <c r="B27" s="19">
        <f ca="1">MAX(_xll.xlBondValueDate(D27,$B$2),I27)</f>
        <v>41631</v>
      </c>
      <c r="C27" s="20" t="str">
        <v>ES00000120G4</v>
      </c>
      <c r="D27" s="86" t="str">
        <f t="array" ref="D27:N27">_xll.BondInfo(C27,$D$5:$N$5)</f>
        <v>SPGB</v>
      </c>
      <c r="E27" s="20">
        <v>3.15</v>
      </c>
      <c r="F27" s="87">
        <v>42400</v>
      </c>
      <c r="G27" s="19">
        <v>38615</v>
      </c>
      <c r="H27" s="19">
        <v>38748</v>
      </c>
      <c r="I27" s="19">
        <v>38615</v>
      </c>
      <c r="J27" s="20">
        <v>99.83</v>
      </c>
      <c r="K27" s="20" t="str">
        <v>ES0000120G=GESN</v>
      </c>
      <c r="L27" s="20" t="str">
        <v>N</v>
      </c>
      <c r="M27" s="20" t="str">
        <v>EF0843138</v>
      </c>
      <c r="N27" s="20" t="str">
        <v>SPGB</v>
      </c>
      <c r="O27" s="21">
        <f>_xll.BondOutstanding(C27)</f>
        <v>20638500000</v>
      </c>
      <c r="P27" s="25">
        <f ca="1">_xll.xlBondYieldSensCustom(D27,E27,F27,G27,H27,I27,J27,B27,Q27,$AM$2,$AN$2,$AO$2,$AP$2,$AQ$2,"y")</f>
        <v>1.5448119881588597E-2</v>
      </c>
      <c r="Q27" s="26">
        <f>_xll.RtGet("IDN",$K27,IF(OR($D27="BTP,$E11=""CTZ"),Q$5,Q$4))</f>
        <v>103.25</v>
      </c>
      <c r="R27" s="27">
        <f>_xll.RtGet("IDN",$K27,IF(OR($D27="BTP,$E11=""CTZ"),R$5,R$4))</f>
        <v>103.32</v>
      </c>
      <c r="S27" s="28">
        <f ca="1">_xll.xlBondYieldSensCustom(D27,E27,F27,G27,H27,I27,J27,B27,R27,$AM$2,$AN$2,$AO$2,$AP$2,$AQ$2,"y")</f>
        <v>1.5121235365568728E-2</v>
      </c>
      <c r="T27" s="23">
        <f t="shared" si="0"/>
        <v>103.285</v>
      </c>
      <c r="U27" s="83">
        <f ca="1">_xll.xlBondYieldSensCustom(D27,E27,F27,G27,H27,I27,J27,B27,T27,$AM$2,$AN$2,$AO$2,$AP$2,$AQ$2,"y")</f>
        <v>1.5284636585109986E-2</v>
      </c>
      <c r="V27" s="23"/>
      <c r="W27" s="23">
        <f t="shared" si="1"/>
        <v>103.285</v>
      </c>
      <c r="X27" s="22"/>
      <c r="Y27" s="22">
        <f t="shared" ca="1" si="2"/>
        <v>1.5284636585109986E-2</v>
      </c>
      <c r="Z27" s="23">
        <f ca="1">_xll.xlBondPriceCustom(D27,E27,F27,G27,H27,I27,J27,B27,Y27,$AM$2,$AN$2,$AO$2,$AP$2,$AQ$2)</f>
        <v>103.28499999999987</v>
      </c>
      <c r="AA27" s="20">
        <f t="array" aca="1" ref="AA27:AG27" ca="1">_xll.xlBondYieldSens(D27,E27,F27,G27,H27,I27,J27,B27,W27,$AA$5&amp;$AB$5&amp;$AC$5&amp;$AD$5&amp;$AE$5&amp;$AF$5&amp;$AG$5)</f>
        <v>2.8134246575342465</v>
      </c>
      <c r="AB27" s="20">
        <f ca="1"/>
        <v>2.0211206363842247</v>
      </c>
      <c r="AC27" s="20">
        <f ca="1"/>
        <v>-1.9902742426883921</v>
      </c>
      <c r="AD27" s="20">
        <f ca="1"/>
        <v>6.2461364414444123E-2</v>
      </c>
      <c r="AE27" s="20">
        <f ca="1"/>
        <v>6.0569339691636664E-2</v>
      </c>
      <c r="AF27" s="20">
        <f ca="1"/>
        <v>2.1116496712778599</v>
      </c>
      <c r="AG27" s="24">
        <f ca="1"/>
        <v>1.549855989707067E-2</v>
      </c>
      <c r="AH27" s="22">
        <f ca="1">_xll.xlBondYieldSensCustom(D27,E27,F27,G27,H27,I27,J27,B27,W27,$AM$2,$AN$2,$AO$2,$AP$2,$AQ$2,"y")</f>
        <v>1.5284636585109986E-2</v>
      </c>
      <c r="AI27" s="22">
        <f ca="1">IF(TRUE,_xll.xlShmInterpRateFwd("EONIA",_xll.xlDateSettle("target",$B$2,2),0,4,$F27),"")</f>
        <v>2.0304891803820126E-3</v>
      </c>
      <c r="AJ27" s="85">
        <f t="shared" ca="1" si="3"/>
        <v>1.3254147404727972E-2</v>
      </c>
      <c r="AO27" s="84"/>
    </row>
    <row r="28" spans="1:41" ht="15.75" x14ac:dyDescent="0.25">
      <c r="A28" s="2"/>
      <c r="B28" s="19" t="e">
        <f>MAX(_xll.xlBondValueDate(D28,$B$2),I28)</f>
        <v>#NUM!</v>
      </c>
      <c r="C28" s="20" t="e">
        <v>#N/A</v>
      </c>
      <c r="D28" s="86" t="e">
        <f t="array" ref="D28:N28">_xll.BondInfo(C28,$D$5:$N$5)</f>
        <v>#VALUE!</v>
      </c>
      <c r="E28" s="20" t="e">
        <v>#VALUE!</v>
      </c>
      <c r="F28" s="87" t="e">
        <v>#VALUE!</v>
      </c>
      <c r="G28" s="19" t="e">
        <v>#VALUE!</v>
      </c>
      <c r="H28" s="19" t="e">
        <v>#VALUE!</v>
      </c>
      <c r="I28" s="19" t="e">
        <v>#VALUE!</v>
      </c>
      <c r="J28" s="20" t="e">
        <v>#VALUE!</v>
      </c>
      <c r="K28" s="20" t="e">
        <v>#VALUE!</v>
      </c>
      <c r="L28" s="20" t="e">
        <v>#VALUE!</v>
      </c>
      <c r="M28" s="20" t="e">
        <v>#VALUE!</v>
      </c>
      <c r="N28" s="20" t="e">
        <v>#VALUE!</v>
      </c>
      <c r="O28" s="21" t="e">
        <f>_xll.BondOutstanding(C28)</f>
        <v>#VALUE!</v>
      </c>
      <c r="P28" s="25" t="e">
        <f>_xll.xlBondYieldSensCustom(D28,E28,F28,G28,H28,I28,J28,B28,Q28,$AM$2,$AN$2,$AO$2,$AP$2,$AQ$2,"y")</f>
        <v>#NUM!</v>
      </c>
      <c r="Q28" s="26" t="e">
        <f>_xll.RtGet("IDN",$K28,IF(OR($D28="BTP,$E11=""CTZ"),Q$5,Q$4))</f>
        <v>#VALUE!</v>
      </c>
      <c r="R28" s="27" t="e">
        <f>_xll.RtGet("IDN",$K28,IF(OR($D28="BTP,$E11=""CTZ"),R$5,R$4))</f>
        <v>#VALUE!</v>
      </c>
      <c r="S28" s="28" t="e">
        <f>_xll.xlBondYieldSensCustom(D28,E28,F28,G28,H28,I28,J28,B28,R28,$AM$2,$AN$2,$AO$2,$AP$2,$AQ$2,"y")</f>
        <v>#NUM!</v>
      </c>
      <c r="T28" s="23" t="e">
        <f t="shared" si="0"/>
        <v>#VALUE!</v>
      </c>
      <c r="U28" s="83" t="e">
        <f>_xll.xlBondYieldSensCustom(D28,E28,F28,G28,H28,I28,J28,B28,T28,$AM$2,$AN$2,$AO$2,$AP$2,$AQ$2,"y")</f>
        <v>#NUM!</v>
      </c>
      <c r="V28" s="23"/>
      <c r="W28" s="23" t="e">
        <f t="shared" si="1"/>
        <v>#VALUE!</v>
      </c>
      <c r="X28" s="22"/>
      <c r="Y28" s="22" t="e">
        <f t="shared" si="2"/>
        <v>#NUM!</v>
      </c>
      <c r="Z28" s="23" t="e">
        <f>_xll.xlBondPriceCustom(D28,E28,F28,G28,H28,I28,J28,B28,Y28,$AM$2,$AN$2,$AO$2,$AP$2,$AQ$2)</f>
        <v>#NUM!</v>
      </c>
      <c r="AA28" s="20" t="e">
        <f t="array" ref="AA28:AG28">_xll.xlBondYieldSens(D28,E28,F28,G28,H28,I28,J28,B28,W28,$AA$5&amp;$AB$5&amp;$AC$5&amp;$AD$5&amp;$AE$5&amp;$AF$5&amp;$AG$5)</f>
        <v>#NUM!</v>
      </c>
      <c r="AB28" s="20" t="e">
        <v>#NUM!</v>
      </c>
      <c r="AC28" s="20" t="e">
        <v>#NUM!</v>
      </c>
      <c r="AD28" s="20" t="e">
        <v>#NUM!</v>
      </c>
      <c r="AE28" s="20" t="e">
        <v>#NUM!</v>
      </c>
      <c r="AF28" s="20" t="e">
        <v>#NUM!</v>
      </c>
      <c r="AG28" s="24" t="e">
        <v>#NUM!</v>
      </c>
      <c r="AH28" s="22" t="e">
        <f>_xll.xlBondYieldSensCustom(D28,E28,F28,G28,H28,I28,J28,B28,W28,$AM$2,$AN$2,$AO$2,$AP$2,$AQ$2,"y")</f>
        <v>#NUM!</v>
      </c>
      <c r="AI28" s="22" t="e">
        <f ca="1">IF(TRUE,_xll.xlShmInterpRateFwd("EONIA",_xll.xlDateSettle("target",$B$2,2),0,4,$F28),"")</f>
        <v>#NUM!</v>
      </c>
      <c r="AJ28" s="85" t="e">
        <f t="shared" ca="1" si="3"/>
        <v>#NUM!</v>
      </c>
      <c r="AO28" s="84"/>
    </row>
    <row r="29" spans="1:41" ht="15.75" x14ac:dyDescent="0.25">
      <c r="A29" s="2"/>
      <c r="B29" s="19" t="e">
        <f>MAX(_xll.xlBondValueDate(D29,$B$2),I29)</f>
        <v>#NUM!</v>
      </c>
      <c r="C29" s="20" t="e">
        <v>#N/A</v>
      </c>
      <c r="D29" s="86" t="e">
        <f t="array" ref="D29:N29">_xll.BondInfo(C29,$D$5:$N$5)</f>
        <v>#VALUE!</v>
      </c>
      <c r="E29" s="20" t="e">
        <v>#VALUE!</v>
      </c>
      <c r="F29" s="87" t="e">
        <v>#VALUE!</v>
      </c>
      <c r="G29" s="19" t="e">
        <v>#VALUE!</v>
      </c>
      <c r="H29" s="19" t="e">
        <v>#VALUE!</v>
      </c>
      <c r="I29" s="19" t="e">
        <v>#VALUE!</v>
      </c>
      <c r="J29" s="20" t="e">
        <v>#VALUE!</v>
      </c>
      <c r="K29" s="20" t="e">
        <v>#VALUE!</v>
      </c>
      <c r="L29" s="20" t="e">
        <v>#VALUE!</v>
      </c>
      <c r="M29" s="20" t="e">
        <v>#VALUE!</v>
      </c>
      <c r="N29" s="20" t="e">
        <v>#VALUE!</v>
      </c>
      <c r="O29" s="21" t="e">
        <f>_xll.BondOutstanding(C29)</f>
        <v>#VALUE!</v>
      </c>
      <c r="P29" s="25" t="e">
        <f>_xll.xlBondYieldSensCustom(D29,E29,F29,G29,H29,I29,J29,B29,Q29,$AM$2,$AN$2,$AO$2,$AP$2,$AQ$2,"y")</f>
        <v>#NUM!</v>
      </c>
      <c r="Q29" s="26" t="e">
        <f>_xll.RtGet("IDN",$K29,IF(OR($D29="BTP,$E11=""CTZ"),Q$5,Q$4))</f>
        <v>#VALUE!</v>
      </c>
      <c r="R29" s="27" t="e">
        <f>_xll.RtGet("IDN",$K29,IF(OR($D29="BTP,$E11=""CTZ"),R$5,R$4))</f>
        <v>#VALUE!</v>
      </c>
      <c r="S29" s="28" t="e">
        <f>_xll.xlBondYieldSensCustom(D29,E29,F29,G29,H29,I29,J29,B29,R29,$AM$2,$AN$2,$AO$2,$AP$2,$AQ$2,"y")</f>
        <v>#NUM!</v>
      </c>
      <c r="T29" s="23" t="e">
        <f t="shared" si="0"/>
        <v>#VALUE!</v>
      </c>
      <c r="U29" s="83" t="e">
        <f>_xll.xlBondYieldSensCustom(D29,E29,F29,G29,H29,I29,J29,B29,T29,$AM$2,$AN$2,$AO$2,$AP$2,$AQ$2,"y")</f>
        <v>#NUM!</v>
      </c>
      <c r="V29" s="23"/>
      <c r="W29" s="23" t="e">
        <f t="shared" si="1"/>
        <v>#VALUE!</v>
      </c>
      <c r="X29" s="22"/>
      <c r="Y29" s="22" t="e">
        <f t="shared" si="2"/>
        <v>#NUM!</v>
      </c>
      <c r="Z29" s="23" t="e">
        <f>_xll.xlBondPriceCustom(D29,E29,F29,G29,H29,I29,J29,B29,Y29,$AM$2,$AN$2,$AO$2,$AP$2,$AQ$2)</f>
        <v>#NUM!</v>
      </c>
      <c r="AA29" s="20" t="e">
        <f t="array" ref="AA29:AG29">_xll.xlBondYieldSens(D29,E29,F29,G29,H29,I29,J29,B29,W29,$AA$5&amp;$AB$5&amp;$AC$5&amp;$AD$5&amp;$AE$5&amp;$AF$5&amp;$AG$5)</f>
        <v>#NUM!</v>
      </c>
      <c r="AB29" s="20" t="e">
        <v>#NUM!</v>
      </c>
      <c r="AC29" s="20" t="e">
        <v>#NUM!</v>
      </c>
      <c r="AD29" s="20" t="e">
        <v>#NUM!</v>
      </c>
      <c r="AE29" s="20" t="e">
        <v>#NUM!</v>
      </c>
      <c r="AF29" s="20" t="e">
        <v>#NUM!</v>
      </c>
      <c r="AG29" s="24" t="e">
        <v>#NUM!</v>
      </c>
      <c r="AH29" s="22" t="e">
        <f>_xll.xlBondYieldSensCustom(D29,E29,F29,G29,H29,I29,J29,B29,W29,$AM$2,$AN$2,$AO$2,$AP$2,$AQ$2,"y")</f>
        <v>#NUM!</v>
      </c>
      <c r="AI29" s="22" t="e">
        <f ca="1">IF(TRUE,_xll.xlShmInterpRateFwd("EONIA",_xll.xlDateSettle("target",$B$2,2),0,4,$F29),"")</f>
        <v>#NUM!</v>
      </c>
      <c r="AJ29" s="85" t="e">
        <f t="shared" ca="1" si="3"/>
        <v>#NUM!</v>
      </c>
      <c r="AO29" s="84"/>
    </row>
    <row r="30" spans="1:41" ht="15.75" x14ac:dyDescent="0.25">
      <c r="A30" s="2"/>
      <c r="B30" s="19" t="e">
        <f>MAX(_xll.xlBondValueDate(D30,$B$2),I30)</f>
        <v>#NUM!</v>
      </c>
      <c r="C30" s="20" t="e">
        <v>#N/A</v>
      </c>
      <c r="D30" s="86" t="e">
        <f t="array" ref="D30:N30">_xll.BondInfo(C30,$D$5:$N$5)</f>
        <v>#VALUE!</v>
      </c>
      <c r="E30" s="20" t="e">
        <v>#VALUE!</v>
      </c>
      <c r="F30" s="87" t="e">
        <v>#VALUE!</v>
      </c>
      <c r="G30" s="19" t="e">
        <v>#VALUE!</v>
      </c>
      <c r="H30" s="19" t="e">
        <v>#VALUE!</v>
      </c>
      <c r="I30" s="19" t="e">
        <v>#VALUE!</v>
      </c>
      <c r="J30" s="20" t="e">
        <v>#VALUE!</v>
      </c>
      <c r="K30" s="20" t="e">
        <v>#VALUE!</v>
      </c>
      <c r="L30" s="20" t="e">
        <v>#VALUE!</v>
      </c>
      <c r="M30" s="20" t="e">
        <v>#VALUE!</v>
      </c>
      <c r="N30" s="20" t="e">
        <v>#VALUE!</v>
      </c>
      <c r="O30" s="21" t="e">
        <f>_xll.BondOutstanding(C30)</f>
        <v>#VALUE!</v>
      </c>
      <c r="P30" s="25" t="e">
        <f>_xll.xlBondYieldSensCustom(D30,E30,F30,G30,H30,I30,J30,B30,Q30,$AM$2,$AN$2,$AO$2,$AP$2,$AQ$2,"y")</f>
        <v>#NUM!</v>
      </c>
      <c r="Q30" s="26" t="e">
        <f>_xll.RtGet("IDN",$K30,IF(OR($D30="BTP,$E11=""CTZ"),Q$5,Q$4))</f>
        <v>#VALUE!</v>
      </c>
      <c r="R30" s="27" t="e">
        <f>_xll.RtGet("IDN",$K30,IF(OR($D30="BTP,$E11=""CTZ"),R$5,R$4))</f>
        <v>#VALUE!</v>
      </c>
      <c r="S30" s="28" t="e">
        <f>_xll.xlBondYieldSensCustom(D30,E30,F30,G30,H30,I30,J30,B30,R30,$AM$2,$AN$2,$AO$2,$AP$2,$AQ$2,"y")</f>
        <v>#NUM!</v>
      </c>
      <c r="T30" s="23" t="e">
        <f t="shared" si="0"/>
        <v>#VALUE!</v>
      </c>
      <c r="U30" s="83" t="e">
        <f>_xll.xlBondYieldSensCustom(D30,E30,F30,G30,H30,I30,J30,B30,T30,$AM$2,$AN$2,$AO$2,$AP$2,$AQ$2,"y")</f>
        <v>#NUM!</v>
      </c>
      <c r="V30" s="23"/>
      <c r="W30" s="23" t="e">
        <f t="shared" si="1"/>
        <v>#VALUE!</v>
      </c>
      <c r="X30" s="22"/>
      <c r="Y30" s="22" t="e">
        <f t="shared" si="2"/>
        <v>#NUM!</v>
      </c>
      <c r="Z30" s="23" t="e">
        <f>_xll.xlBondPriceCustom(D30,E30,F30,G30,H30,I30,J30,B30,Y30,$AM$2,$AN$2,$AO$2,$AP$2,$AQ$2)</f>
        <v>#NUM!</v>
      </c>
      <c r="AA30" s="20" t="e">
        <f t="array" ref="AA30:AG30">_xll.xlBondYieldSens(D30,E30,F30,G30,H30,I30,J30,B30,W30,$AA$5&amp;$AB$5&amp;$AC$5&amp;$AD$5&amp;$AE$5&amp;$AF$5&amp;$AG$5)</f>
        <v>#NUM!</v>
      </c>
      <c r="AB30" s="20" t="e">
        <v>#NUM!</v>
      </c>
      <c r="AC30" s="20" t="e">
        <v>#NUM!</v>
      </c>
      <c r="AD30" s="20" t="e">
        <v>#NUM!</v>
      </c>
      <c r="AE30" s="20" t="e">
        <v>#NUM!</v>
      </c>
      <c r="AF30" s="20" t="e">
        <v>#NUM!</v>
      </c>
      <c r="AG30" s="24" t="e">
        <v>#NUM!</v>
      </c>
      <c r="AH30" s="22" t="e">
        <f>_xll.xlBondYieldSensCustom(D30,E30,F30,G30,H30,I30,J30,B30,W30,$AM$2,$AN$2,$AO$2,$AP$2,$AQ$2,"y")</f>
        <v>#NUM!</v>
      </c>
      <c r="AI30" s="22" t="e">
        <f ca="1">IF(TRUE,_xll.xlShmInterpRateFwd("EONIA",_xll.xlDateSettle("target",$B$2,2),0,4,$F30),"")</f>
        <v>#NUM!</v>
      </c>
      <c r="AJ30" s="85" t="e">
        <f t="shared" ca="1" si="3"/>
        <v>#NUM!</v>
      </c>
      <c r="AO30" s="84"/>
    </row>
    <row r="31" spans="1:41" ht="15.75" x14ac:dyDescent="0.25">
      <c r="A31" s="2"/>
      <c r="B31" s="19" t="e">
        <f>MAX(_xll.xlBondValueDate(D31,$B$2),I31)</f>
        <v>#NUM!</v>
      </c>
      <c r="C31" s="20" t="e">
        <v>#N/A</v>
      </c>
      <c r="D31" s="86" t="e">
        <f t="array" ref="D31:N31">_xll.BondInfo(C31,$D$5:$N$5)</f>
        <v>#VALUE!</v>
      </c>
      <c r="E31" s="20" t="e">
        <v>#VALUE!</v>
      </c>
      <c r="F31" s="87" t="e">
        <v>#VALUE!</v>
      </c>
      <c r="G31" s="19" t="e">
        <v>#VALUE!</v>
      </c>
      <c r="H31" s="19" t="e">
        <v>#VALUE!</v>
      </c>
      <c r="I31" s="19" t="e">
        <v>#VALUE!</v>
      </c>
      <c r="J31" s="20" t="e">
        <v>#VALUE!</v>
      </c>
      <c r="K31" s="20" t="e">
        <v>#VALUE!</v>
      </c>
      <c r="L31" s="20" t="e">
        <v>#VALUE!</v>
      </c>
      <c r="M31" s="20" t="e">
        <v>#VALUE!</v>
      </c>
      <c r="N31" s="20" t="e">
        <v>#VALUE!</v>
      </c>
      <c r="O31" s="21" t="e">
        <f>_xll.BondOutstanding(C31)</f>
        <v>#VALUE!</v>
      </c>
      <c r="P31" s="25" t="e">
        <f>_xll.xlBondYieldSensCustom(D31,E31,F31,G31,H31,I31,J31,B31,Q31,$AM$2,$AN$2,$AO$2,$AP$2,$AQ$2,"y")</f>
        <v>#NUM!</v>
      </c>
      <c r="Q31" s="26" t="e">
        <f>_xll.RtGet("IDN",$K31,IF(OR($D31="BTP,$E11=""CTZ"),Q$5,Q$4))</f>
        <v>#VALUE!</v>
      </c>
      <c r="R31" s="27" t="e">
        <f>_xll.RtGet("IDN",$K31,IF(OR($D31="BTP,$E11=""CTZ"),R$5,R$4))</f>
        <v>#VALUE!</v>
      </c>
      <c r="S31" s="28" t="e">
        <f>_xll.xlBondYieldSensCustom(D31,E31,F31,G31,H31,I31,J31,B31,R31,$AM$2,$AN$2,$AO$2,$AP$2,$AQ$2,"y")</f>
        <v>#NUM!</v>
      </c>
      <c r="T31" s="23" t="e">
        <f t="shared" si="0"/>
        <v>#VALUE!</v>
      </c>
      <c r="U31" s="83" t="e">
        <f>_xll.xlBondYieldSensCustom(D31,E31,F31,G31,H31,I31,J31,B31,T31,$AM$2,$AN$2,$AO$2,$AP$2,$AQ$2,"y")</f>
        <v>#NUM!</v>
      </c>
      <c r="V31" s="23"/>
      <c r="W31" s="23" t="e">
        <f t="shared" si="1"/>
        <v>#VALUE!</v>
      </c>
      <c r="X31" s="22"/>
      <c r="Y31" s="22" t="e">
        <f t="shared" si="2"/>
        <v>#NUM!</v>
      </c>
      <c r="Z31" s="23" t="e">
        <f>_xll.xlBondPriceCustom(D31,E31,F31,G31,H31,I31,J31,B31,Y31,$AM$2,$AN$2,$AO$2,$AP$2,$AQ$2)</f>
        <v>#NUM!</v>
      </c>
      <c r="AA31" s="20" t="e">
        <f t="array" ref="AA31:AG31">_xll.xlBondYieldSens(D31,E31,F31,G31,H31,I31,J31,B31,W31,$AA$5&amp;$AB$5&amp;$AC$5&amp;$AD$5&amp;$AE$5&amp;$AF$5&amp;$AG$5)</f>
        <v>#NUM!</v>
      </c>
      <c r="AB31" s="20" t="e">
        <v>#NUM!</v>
      </c>
      <c r="AC31" s="20" t="e">
        <v>#NUM!</v>
      </c>
      <c r="AD31" s="20" t="e">
        <v>#NUM!</v>
      </c>
      <c r="AE31" s="20" t="e">
        <v>#NUM!</v>
      </c>
      <c r="AF31" s="20" t="e">
        <v>#NUM!</v>
      </c>
      <c r="AG31" s="24" t="e">
        <v>#NUM!</v>
      </c>
      <c r="AH31" s="22" t="e">
        <f>_xll.xlBondYieldSensCustom(D31,E31,F31,G31,H31,I31,J31,B31,W31,$AM$2,$AN$2,$AO$2,$AP$2,$AQ$2,"y")</f>
        <v>#NUM!</v>
      </c>
      <c r="AI31" s="22" t="e">
        <f ca="1">IF(TRUE,_xll.xlShmInterpRateFwd("EONIA",_xll.xlDateSettle("target",$B$2,2),0,4,$F31),"")</f>
        <v>#NUM!</v>
      </c>
      <c r="AJ31" s="85" t="e">
        <f t="shared" ca="1" si="3"/>
        <v>#NUM!</v>
      </c>
      <c r="AO31" s="84"/>
    </row>
    <row r="32" spans="1:41" ht="15.75" x14ac:dyDescent="0.25">
      <c r="A32" s="2"/>
      <c r="B32" s="19" t="e">
        <f>MAX(_xll.xlBondValueDate(D32,$B$2),I32)</f>
        <v>#NUM!</v>
      </c>
      <c r="C32" s="20" t="e">
        <v>#N/A</v>
      </c>
      <c r="D32" s="86" t="e">
        <f t="array" ref="D32:N32">_xll.BondInfo(C32,$D$5:$N$5)</f>
        <v>#VALUE!</v>
      </c>
      <c r="E32" s="20" t="e">
        <v>#VALUE!</v>
      </c>
      <c r="F32" s="87" t="e">
        <v>#VALUE!</v>
      </c>
      <c r="G32" s="19" t="e">
        <v>#VALUE!</v>
      </c>
      <c r="H32" s="19" t="e">
        <v>#VALUE!</v>
      </c>
      <c r="I32" s="19" t="e">
        <v>#VALUE!</v>
      </c>
      <c r="J32" s="20" t="e">
        <v>#VALUE!</v>
      </c>
      <c r="K32" s="20" t="e">
        <v>#VALUE!</v>
      </c>
      <c r="L32" s="20" t="e">
        <v>#VALUE!</v>
      </c>
      <c r="M32" s="20" t="e">
        <v>#VALUE!</v>
      </c>
      <c r="N32" s="20" t="e">
        <v>#VALUE!</v>
      </c>
      <c r="O32" s="21" t="e">
        <f>_xll.BondOutstanding(C32)</f>
        <v>#VALUE!</v>
      </c>
      <c r="P32" s="25" t="e">
        <f>_xll.xlBondYieldSensCustom(D32,E32,F32,G32,H32,I32,J32,B32,Q32,$AM$2,$AN$2,$AO$2,$AP$2,$AQ$2,"y")</f>
        <v>#NUM!</v>
      </c>
      <c r="Q32" s="26" t="e">
        <f>_xll.RtGet("IDN",$K32,IF(OR($D32="BTP,$E11=""CTZ"),Q$5,Q$4))</f>
        <v>#VALUE!</v>
      </c>
      <c r="R32" s="27" t="e">
        <f>_xll.RtGet("IDN",$K32,IF(OR($D32="BTP,$E11=""CTZ"),R$5,R$4))</f>
        <v>#VALUE!</v>
      </c>
      <c r="S32" s="28" t="e">
        <f>_xll.xlBondYieldSensCustom(D32,E32,F32,G32,H32,I32,J32,B32,R32,$AM$2,$AN$2,$AO$2,$AP$2,$AQ$2,"y")</f>
        <v>#NUM!</v>
      </c>
      <c r="T32" s="23" t="e">
        <f t="shared" si="0"/>
        <v>#VALUE!</v>
      </c>
      <c r="U32" s="83" t="e">
        <f>_xll.xlBondYieldSensCustom(D32,E32,F32,G32,H32,I32,J32,B32,T32,$AM$2,$AN$2,$AO$2,$AP$2,$AQ$2,"y")</f>
        <v>#NUM!</v>
      </c>
      <c r="V32" s="23"/>
      <c r="W32" s="23" t="e">
        <f t="shared" si="1"/>
        <v>#VALUE!</v>
      </c>
      <c r="X32" s="22"/>
      <c r="Y32" s="22" t="e">
        <f t="shared" si="2"/>
        <v>#NUM!</v>
      </c>
      <c r="Z32" s="23" t="e">
        <f>_xll.xlBondPriceCustom(D32,E32,F32,G32,H32,I32,J32,B32,Y32,$AM$2,$AN$2,$AO$2,$AP$2,$AQ$2)</f>
        <v>#NUM!</v>
      </c>
      <c r="AA32" s="20" t="e">
        <f t="array" ref="AA32:AG32">_xll.xlBondYieldSens(D32,E32,F32,G32,H32,I32,J32,B32,W32,$AA$5&amp;$AB$5&amp;$AC$5&amp;$AD$5&amp;$AE$5&amp;$AF$5&amp;$AG$5)</f>
        <v>#NUM!</v>
      </c>
      <c r="AB32" s="20" t="e">
        <v>#NUM!</v>
      </c>
      <c r="AC32" s="20" t="e">
        <v>#NUM!</v>
      </c>
      <c r="AD32" s="20" t="e">
        <v>#NUM!</v>
      </c>
      <c r="AE32" s="20" t="e">
        <v>#NUM!</v>
      </c>
      <c r="AF32" s="20" t="e">
        <v>#NUM!</v>
      </c>
      <c r="AG32" s="24" t="e">
        <v>#NUM!</v>
      </c>
      <c r="AH32" s="22" t="e">
        <f>_xll.xlBondYieldSensCustom(D32,E32,F32,G32,H32,I32,J32,B32,W32,$AM$2,$AN$2,$AO$2,$AP$2,$AQ$2,"y")</f>
        <v>#NUM!</v>
      </c>
      <c r="AI32" s="22" t="e">
        <f ca="1">IF(TRUE,_xll.xlShmInterpRateFwd("EONIA",_xll.xlDateSettle("target",$B$2,2),0,4,$F32),"")</f>
        <v>#NUM!</v>
      </c>
      <c r="AJ32" s="85" t="e">
        <f t="shared" ca="1" si="3"/>
        <v>#NUM!</v>
      </c>
      <c r="AO32" s="84"/>
    </row>
    <row r="33" spans="1:41" ht="15.75" x14ac:dyDescent="0.25">
      <c r="A33" s="2"/>
      <c r="B33" s="19" t="e">
        <f>MAX(_xll.xlBondValueDate(D33,$B$2),I33)</f>
        <v>#NUM!</v>
      </c>
      <c r="C33" s="20" t="e">
        <v>#N/A</v>
      </c>
      <c r="D33" s="86" t="e">
        <f t="array" ref="D33:N33">_xll.BondInfo(C33,$D$5:$N$5)</f>
        <v>#VALUE!</v>
      </c>
      <c r="E33" s="20" t="e">
        <v>#VALUE!</v>
      </c>
      <c r="F33" s="87" t="e">
        <v>#VALUE!</v>
      </c>
      <c r="G33" s="19" t="e">
        <v>#VALUE!</v>
      </c>
      <c r="H33" s="19" t="e">
        <v>#VALUE!</v>
      </c>
      <c r="I33" s="19" t="e">
        <v>#VALUE!</v>
      </c>
      <c r="J33" s="20" t="e">
        <v>#VALUE!</v>
      </c>
      <c r="K33" s="20" t="e">
        <v>#VALUE!</v>
      </c>
      <c r="L33" s="20" t="e">
        <v>#VALUE!</v>
      </c>
      <c r="M33" s="20" t="e">
        <v>#VALUE!</v>
      </c>
      <c r="N33" s="20" t="e">
        <v>#VALUE!</v>
      </c>
      <c r="O33" s="21" t="e">
        <f>_xll.BondOutstanding(C33)</f>
        <v>#VALUE!</v>
      </c>
      <c r="P33" s="25" t="e">
        <f>_xll.xlBondYieldSensCustom(D33,E33,F33,G33,H33,I33,J33,B33,Q33,$AM$2,$AN$2,$AO$2,$AP$2,$AQ$2,"y")</f>
        <v>#NUM!</v>
      </c>
      <c r="Q33" s="26" t="e">
        <f>_xll.RtGet("IDN",$K33,IF(OR($D33="BTP,$E11=""CTZ"),Q$5,Q$4))</f>
        <v>#VALUE!</v>
      </c>
      <c r="R33" s="27" t="e">
        <f>_xll.RtGet("IDN",$K33,IF(OR($D33="BTP,$E11=""CTZ"),R$5,R$4))</f>
        <v>#VALUE!</v>
      </c>
      <c r="S33" s="28" t="e">
        <f>_xll.xlBondYieldSensCustom(D33,E33,F33,G33,H33,I33,J33,B33,R33,$AM$2,$AN$2,$AO$2,$AP$2,$AQ$2,"y")</f>
        <v>#NUM!</v>
      </c>
      <c r="T33" s="23" t="e">
        <f t="shared" si="0"/>
        <v>#VALUE!</v>
      </c>
      <c r="U33" s="83" t="e">
        <f>_xll.xlBondYieldSensCustom(D33,E33,F33,G33,H33,I33,J33,B33,T33,$AM$2,$AN$2,$AO$2,$AP$2,$AQ$2,"y")</f>
        <v>#NUM!</v>
      </c>
      <c r="V33" s="23"/>
      <c r="W33" s="23" t="e">
        <f t="shared" si="1"/>
        <v>#VALUE!</v>
      </c>
      <c r="X33" s="22"/>
      <c r="Y33" s="22" t="e">
        <f t="shared" si="2"/>
        <v>#NUM!</v>
      </c>
      <c r="Z33" s="23" t="e">
        <f>_xll.xlBondPriceCustom(D33,E33,F33,G33,H33,I33,J33,B33,Y33,$AM$2,$AN$2,$AO$2,$AP$2,$AQ$2)</f>
        <v>#NUM!</v>
      </c>
      <c r="AA33" s="20" t="e">
        <f t="array" ref="AA33:AG33">_xll.xlBondYieldSens(D33,E33,F33,G33,H33,I33,J33,B33,W33,$AA$5&amp;$AB$5&amp;$AC$5&amp;$AD$5&amp;$AE$5&amp;$AF$5&amp;$AG$5)</f>
        <v>#NUM!</v>
      </c>
      <c r="AB33" s="20" t="e">
        <v>#NUM!</v>
      </c>
      <c r="AC33" s="20" t="e">
        <v>#NUM!</v>
      </c>
      <c r="AD33" s="20" t="e">
        <v>#NUM!</v>
      </c>
      <c r="AE33" s="20" t="e">
        <v>#NUM!</v>
      </c>
      <c r="AF33" s="20" t="e">
        <v>#NUM!</v>
      </c>
      <c r="AG33" s="24" t="e">
        <v>#NUM!</v>
      </c>
      <c r="AH33" s="22" t="e">
        <f>_xll.xlBondYieldSensCustom(D33,E33,F33,G33,H33,I33,J33,B33,W33,$AM$2,$AN$2,$AO$2,$AP$2,$AQ$2,"y")</f>
        <v>#NUM!</v>
      </c>
      <c r="AI33" s="22" t="e">
        <f ca="1">IF(TRUE,_xll.xlShmInterpRateFwd("EONIA",_xll.xlDateSettle("target",$B$2,2),0,4,$F33),"")</f>
        <v>#NUM!</v>
      </c>
      <c r="AJ33" s="85" t="e">
        <f t="shared" ca="1" si="3"/>
        <v>#NUM!</v>
      </c>
      <c r="AO33" s="84"/>
    </row>
    <row r="34" spans="1:41" ht="15.75" x14ac:dyDescent="0.25">
      <c r="A34" s="2"/>
      <c r="B34" s="19" t="e">
        <f>MAX(_xll.xlBondValueDate(D34,$B$2),I34)</f>
        <v>#NUM!</v>
      </c>
      <c r="C34" s="20" t="e">
        <v>#N/A</v>
      </c>
      <c r="D34" s="86" t="e">
        <f t="array" ref="D34:N34">_xll.BondInfo(C34,$D$5:$N$5)</f>
        <v>#VALUE!</v>
      </c>
      <c r="E34" s="20" t="e">
        <v>#VALUE!</v>
      </c>
      <c r="F34" s="87" t="e">
        <v>#VALUE!</v>
      </c>
      <c r="G34" s="19" t="e">
        <v>#VALUE!</v>
      </c>
      <c r="H34" s="19" t="e">
        <v>#VALUE!</v>
      </c>
      <c r="I34" s="19" t="e">
        <v>#VALUE!</v>
      </c>
      <c r="J34" s="20" t="e">
        <v>#VALUE!</v>
      </c>
      <c r="K34" s="20" t="e">
        <v>#VALUE!</v>
      </c>
      <c r="L34" s="20" t="e">
        <v>#VALUE!</v>
      </c>
      <c r="M34" s="20" t="e">
        <v>#VALUE!</v>
      </c>
      <c r="N34" s="20" t="e">
        <v>#VALUE!</v>
      </c>
      <c r="O34" s="21" t="e">
        <f>_xll.BondOutstanding(C34)</f>
        <v>#VALUE!</v>
      </c>
      <c r="P34" s="25" t="e">
        <f>_xll.xlBondYieldSensCustom(D34,E34,F34,G34,H34,I34,J34,B34,Q34,$AM$2,$AN$2,$AO$2,$AP$2,$AQ$2,"y")</f>
        <v>#NUM!</v>
      </c>
      <c r="Q34" s="26" t="e">
        <f>_xll.RtGet("IDN",$K34,IF(OR($D34="BTP,$E11=""CTZ"),Q$5,Q$4))</f>
        <v>#VALUE!</v>
      </c>
      <c r="R34" s="27" t="e">
        <f>_xll.RtGet("IDN",$K34,IF(OR($D34="BTP,$E11=""CTZ"),R$5,R$4))</f>
        <v>#VALUE!</v>
      </c>
      <c r="S34" s="28" t="e">
        <f>_xll.xlBondYieldSensCustom(D34,E34,F34,G34,H34,I34,J34,B34,R34,$AM$2,$AN$2,$AO$2,$AP$2,$AQ$2,"y")</f>
        <v>#NUM!</v>
      </c>
      <c r="T34" s="23" t="e">
        <f t="shared" si="0"/>
        <v>#VALUE!</v>
      </c>
      <c r="U34" s="83" t="e">
        <f>_xll.xlBondYieldSensCustom(D34,E34,F34,G34,H34,I34,J34,B34,T34,$AM$2,$AN$2,$AO$2,$AP$2,$AQ$2,"y")</f>
        <v>#NUM!</v>
      </c>
      <c r="V34" s="23"/>
      <c r="W34" s="23" t="e">
        <f t="shared" si="1"/>
        <v>#VALUE!</v>
      </c>
      <c r="X34" s="22"/>
      <c r="Y34" s="22" t="e">
        <f t="shared" si="2"/>
        <v>#NUM!</v>
      </c>
      <c r="Z34" s="23" t="e">
        <f>_xll.xlBondPriceCustom(D34,E34,F34,G34,H34,I34,J34,B34,Y34,$AM$2,$AN$2,$AO$2,$AP$2,$AQ$2)</f>
        <v>#NUM!</v>
      </c>
      <c r="AA34" s="20" t="e">
        <f t="array" ref="AA34:AG34">_xll.xlBondYieldSens(D34,E34,F34,G34,H34,I34,J34,B34,W34,$AA$5&amp;$AB$5&amp;$AC$5&amp;$AD$5&amp;$AE$5&amp;$AF$5&amp;$AG$5)</f>
        <v>#NUM!</v>
      </c>
      <c r="AB34" s="20" t="e">
        <v>#NUM!</v>
      </c>
      <c r="AC34" s="20" t="e">
        <v>#NUM!</v>
      </c>
      <c r="AD34" s="20" t="e">
        <v>#NUM!</v>
      </c>
      <c r="AE34" s="20" t="e">
        <v>#NUM!</v>
      </c>
      <c r="AF34" s="20" t="e">
        <v>#NUM!</v>
      </c>
      <c r="AG34" s="24" t="e">
        <v>#NUM!</v>
      </c>
      <c r="AH34" s="22" t="e">
        <f>_xll.xlBondYieldSensCustom(D34,E34,F34,G34,H34,I34,J34,B34,W34,$AM$2,$AN$2,$AO$2,$AP$2,$AQ$2,"y")</f>
        <v>#NUM!</v>
      </c>
      <c r="AI34" s="22" t="e">
        <f ca="1">IF(TRUE,_xll.xlShmInterpRateFwd("EONIA",_xll.xlDateSettle("target",$B$2,2),0,4,$F34),"")</f>
        <v>#NUM!</v>
      </c>
      <c r="AJ34" s="85" t="e">
        <f t="shared" ca="1" si="3"/>
        <v>#NUM!</v>
      </c>
      <c r="AO34" s="84"/>
    </row>
    <row r="35" spans="1:41" ht="15.75" x14ac:dyDescent="0.25">
      <c r="A35" s="2"/>
      <c r="B35" s="19" t="e">
        <f>MAX(_xll.xlBondValueDate(D35,$B$2),I35)</f>
        <v>#NUM!</v>
      </c>
      <c r="C35" s="20" t="e">
        <v>#N/A</v>
      </c>
      <c r="D35" s="86" t="e">
        <f t="array" ref="D35:N35">_xll.BondInfo(C35,$D$5:$N$5)</f>
        <v>#VALUE!</v>
      </c>
      <c r="E35" s="20" t="e">
        <v>#VALUE!</v>
      </c>
      <c r="F35" s="87" t="e">
        <v>#VALUE!</v>
      </c>
      <c r="G35" s="19" t="e">
        <v>#VALUE!</v>
      </c>
      <c r="H35" s="19" t="e">
        <v>#VALUE!</v>
      </c>
      <c r="I35" s="19" t="e">
        <v>#VALUE!</v>
      </c>
      <c r="J35" s="20" t="e">
        <v>#VALUE!</v>
      </c>
      <c r="K35" s="20" t="e">
        <v>#VALUE!</v>
      </c>
      <c r="L35" s="20" t="e">
        <v>#VALUE!</v>
      </c>
      <c r="M35" s="20" t="e">
        <v>#VALUE!</v>
      </c>
      <c r="N35" s="20" t="e">
        <v>#VALUE!</v>
      </c>
      <c r="O35" s="21" t="e">
        <f>_xll.BondOutstanding(C35)</f>
        <v>#VALUE!</v>
      </c>
      <c r="P35" s="25" t="e">
        <f>_xll.xlBondYieldSensCustom(D35,E35,F35,G35,H35,I35,J35,B35,Q35,$AM$2,$AN$2,$AO$2,$AP$2,$AQ$2,"y")</f>
        <v>#NUM!</v>
      </c>
      <c r="Q35" s="26" t="e">
        <f>_xll.RtGet("IDN",$K35,IF(OR($D35="BTP,$E11=""CTZ"),Q$5,Q$4))</f>
        <v>#VALUE!</v>
      </c>
      <c r="R35" s="27" t="e">
        <f>_xll.RtGet("IDN",$K35,IF(OR($D35="BTP,$E11=""CTZ"),R$5,R$4))</f>
        <v>#VALUE!</v>
      </c>
      <c r="S35" s="28" t="e">
        <f>_xll.xlBondYieldSensCustom(D35,E35,F35,G35,H35,I35,J35,B35,R35,$AM$2,$AN$2,$AO$2,$AP$2,$AQ$2,"y")</f>
        <v>#NUM!</v>
      </c>
      <c r="T35" s="23" t="e">
        <f t="shared" si="0"/>
        <v>#VALUE!</v>
      </c>
      <c r="U35" s="83" t="e">
        <f>_xll.xlBondYieldSensCustom(D35,E35,F35,G35,H35,I35,J35,B35,T35,$AM$2,$AN$2,$AO$2,$AP$2,$AQ$2,"y")</f>
        <v>#NUM!</v>
      </c>
      <c r="V35" s="23"/>
      <c r="W35" s="23" t="e">
        <f t="shared" si="1"/>
        <v>#VALUE!</v>
      </c>
      <c r="X35" s="22"/>
      <c r="Y35" s="22" t="e">
        <f t="shared" si="2"/>
        <v>#NUM!</v>
      </c>
      <c r="Z35" s="23" t="e">
        <f>_xll.xlBondPriceCustom(D35,E35,F35,G35,H35,I35,J35,B35,Y35,$AM$2,$AN$2,$AO$2,$AP$2,$AQ$2)</f>
        <v>#NUM!</v>
      </c>
      <c r="AA35" s="20" t="e">
        <f t="array" ref="AA35:AG35">_xll.xlBondYieldSens(D35,E35,F35,G35,H35,I35,J35,B35,W35,$AA$5&amp;$AB$5&amp;$AC$5&amp;$AD$5&amp;$AE$5&amp;$AF$5&amp;$AG$5)</f>
        <v>#NUM!</v>
      </c>
      <c r="AB35" s="20" t="e">
        <v>#NUM!</v>
      </c>
      <c r="AC35" s="20" t="e">
        <v>#NUM!</v>
      </c>
      <c r="AD35" s="20" t="e">
        <v>#NUM!</v>
      </c>
      <c r="AE35" s="20" t="e">
        <v>#NUM!</v>
      </c>
      <c r="AF35" s="20" t="e">
        <v>#NUM!</v>
      </c>
      <c r="AG35" s="24" t="e">
        <v>#NUM!</v>
      </c>
      <c r="AH35" s="22" t="e">
        <f>_xll.xlBondYieldSensCustom(D35,E35,F35,G35,H35,I35,J35,B35,W35,$AM$2,$AN$2,$AO$2,$AP$2,$AQ$2,"y")</f>
        <v>#NUM!</v>
      </c>
      <c r="AI35" s="22" t="e">
        <f ca="1">IF(TRUE,_xll.xlShmInterpRateFwd("EONIA",_xll.xlDateSettle("target",$B$2,2),0,4,$F35),"")</f>
        <v>#NUM!</v>
      </c>
      <c r="AJ35" s="85" t="e">
        <f t="shared" ca="1" si="3"/>
        <v>#NUM!</v>
      </c>
      <c r="AO35" s="84"/>
    </row>
    <row r="36" spans="1:41" ht="15.75" x14ac:dyDescent="0.25">
      <c r="A36" s="2"/>
      <c r="B36" s="19" t="e">
        <f>MAX(_xll.xlBondValueDate(D36,$B$2),I36)</f>
        <v>#NUM!</v>
      </c>
      <c r="C36" s="20" t="e">
        <v>#N/A</v>
      </c>
      <c r="D36" s="86" t="e">
        <f t="array" ref="D36:N36">_xll.BondInfo(C36,$D$5:$N$5)</f>
        <v>#VALUE!</v>
      </c>
      <c r="E36" s="20" t="e">
        <v>#VALUE!</v>
      </c>
      <c r="F36" s="87" t="e">
        <v>#VALUE!</v>
      </c>
      <c r="G36" s="19" t="e">
        <v>#VALUE!</v>
      </c>
      <c r="H36" s="19" t="e">
        <v>#VALUE!</v>
      </c>
      <c r="I36" s="19" t="e">
        <v>#VALUE!</v>
      </c>
      <c r="J36" s="20" t="e">
        <v>#VALUE!</v>
      </c>
      <c r="K36" s="20" t="e">
        <v>#VALUE!</v>
      </c>
      <c r="L36" s="20" t="e">
        <v>#VALUE!</v>
      </c>
      <c r="M36" s="20" t="e">
        <v>#VALUE!</v>
      </c>
      <c r="N36" s="20" t="e">
        <v>#VALUE!</v>
      </c>
      <c r="O36" s="21" t="e">
        <f>_xll.BondOutstanding(C36)</f>
        <v>#VALUE!</v>
      </c>
      <c r="P36" s="25" t="e">
        <f>_xll.xlBondYieldSensCustom(D36,E36,F36,G36,H36,I36,J36,B36,Q36,$AM$2,$AN$2,$AO$2,$AP$2,$AQ$2,"y")</f>
        <v>#NUM!</v>
      </c>
      <c r="Q36" s="26" t="e">
        <f>_xll.RtGet("IDN",$K36,IF(OR($D36="BTP,$E11=""CTZ"),Q$5,Q$4))</f>
        <v>#VALUE!</v>
      </c>
      <c r="R36" s="27" t="e">
        <f>_xll.RtGet("IDN",$K36,IF(OR($D36="BTP,$E11=""CTZ"),R$5,R$4))</f>
        <v>#VALUE!</v>
      </c>
      <c r="S36" s="28" t="e">
        <f>_xll.xlBondYieldSensCustom(D36,E36,F36,G36,H36,I36,J36,B36,R36,$AM$2,$AN$2,$AO$2,$AP$2,$AQ$2,"y")</f>
        <v>#NUM!</v>
      </c>
      <c r="T36" s="23" t="e">
        <f t="shared" si="0"/>
        <v>#VALUE!</v>
      </c>
      <c r="U36" s="83" t="e">
        <f>_xll.xlBondYieldSensCustom(D36,E36,F36,G36,H36,I36,J36,B36,T36,$AM$2,$AN$2,$AO$2,$AP$2,$AQ$2,"y")</f>
        <v>#NUM!</v>
      </c>
      <c r="V36" s="23"/>
      <c r="W36" s="23" t="e">
        <f t="shared" si="1"/>
        <v>#VALUE!</v>
      </c>
      <c r="X36" s="22"/>
      <c r="Y36" s="22" t="e">
        <f t="shared" si="2"/>
        <v>#NUM!</v>
      </c>
      <c r="Z36" s="23" t="e">
        <f>_xll.xlBondPriceCustom(D36,E36,F36,G36,H36,I36,J36,B36,Y36,$AM$2,$AN$2,$AO$2,$AP$2,$AQ$2)</f>
        <v>#NUM!</v>
      </c>
      <c r="AA36" s="20" t="e">
        <f t="array" ref="AA36:AG36">_xll.xlBondYieldSens(D36,E36,F36,G36,H36,I36,J36,B36,W36,$AA$5&amp;$AB$5&amp;$AC$5&amp;$AD$5&amp;$AE$5&amp;$AF$5&amp;$AG$5)</f>
        <v>#NUM!</v>
      </c>
      <c r="AB36" s="20" t="e">
        <v>#NUM!</v>
      </c>
      <c r="AC36" s="20" t="e">
        <v>#NUM!</v>
      </c>
      <c r="AD36" s="20" t="e">
        <v>#NUM!</v>
      </c>
      <c r="AE36" s="20" t="e">
        <v>#NUM!</v>
      </c>
      <c r="AF36" s="20" t="e">
        <v>#NUM!</v>
      </c>
      <c r="AG36" s="24" t="e">
        <v>#NUM!</v>
      </c>
      <c r="AH36" s="22" t="e">
        <f>_xll.xlBondYieldSensCustom(D36,E36,F36,G36,H36,I36,J36,B36,W36,$AM$2,$AN$2,$AO$2,$AP$2,$AQ$2,"y")</f>
        <v>#NUM!</v>
      </c>
      <c r="AI36" s="22" t="e">
        <f ca="1">IF(TRUE,_xll.xlShmInterpRateFwd("EONIA",_xll.xlDateSettle("target",$B$2,2),0,4,$F36),"")</f>
        <v>#NUM!</v>
      </c>
      <c r="AJ36" s="85" t="e">
        <f t="shared" ca="1" si="3"/>
        <v>#NUM!</v>
      </c>
      <c r="AO36" s="84"/>
    </row>
    <row r="37" spans="1:41" ht="15.75" x14ac:dyDescent="0.25">
      <c r="A37" s="2"/>
      <c r="B37" s="19" t="e">
        <f>MAX(_xll.xlBondValueDate(D37,$B$2),I37)</f>
        <v>#NUM!</v>
      </c>
      <c r="C37" s="20" t="e">
        <v>#N/A</v>
      </c>
      <c r="D37" s="86" t="e">
        <f t="array" ref="D37:N37">_xll.BondInfo(C37,$D$5:$N$5)</f>
        <v>#VALUE!</v>
      </c>
      <c r="E37" s="20" t="e">
        <v>#VALUE!</v>
      </c>
      <c r="F37" s="87" t="e">
        <v>#VALUE!</v>
      </c>
      <c r="G37" s="19" t="e">
        <v>#VALUE!</v>
      </c>
      <c r="H37" s="19" t="e">
        <v>#VALUE!</v>
      </c>
      <c r="I37" s="19" t="e">
        <v>#VALUE!</v>
      </c>
      <c r="J37" s="20" t="e">
        <v>#VALUE!</v>
      </c>
      <c r="K37" s="20" t="e">
        <v>#VALUE!</v>
      </c>
      <c r="L37" s="20" t="e">
        <v>#VALUE!</v>
      </c>
      <c r="M37" s="20" t="e">
        <v>#VALUE!</v>
      </c>
      <c r="N37" s="20" t="e">
        <v>#VALUE!</v>
      </c>
      <c r="O37" s="21" t="e">
        <f>_xll.BondOutstanding(C37)</f>
        <v>#VALUE!</v>
      </c>
      <c r="P37" s="25" t="e">
        <f>_xll.xlBondYieldSensCustom(D37,E37,F37,G37,H37,I37,J37,B37,Q37,$AM$2,$AN$2,$AO$2,$AP$2,$AQ$2,"y")</f>
        <v>#NUM!</v>
      </c>
      <c r="Q37" s="26" t="e">
        <f>_xll.RtGet("IDN",$K37,IF(OR($D37="BTP,$E11=""CTZ"),Q$5,Q$4))</f>
        <v>#VALUE!</v>
      </c>
      <c r="R37" s="27" t="e">
        <f>_xll.RtGet("IDN",$K37,IF(OR($D37="BTP,$E11=""CTZ"),R$5,R$4))</f>
        <v>#VALUE!</v>
      </c>
      <c r="S37" s="28" t="e">
        <f>_xll.xlBondYieldSensCustom(D37,E37,F37,G37,H37,I37,J37,B37,R37,$AM$2,$AN$2,$AO$2,$AP$2,$AQ$2,"y")</f>
        <v>#NUM!</v>
      </c>
      <c r="T37" s="23" t="e">
        <f t="shared" si="0"/>
        <v>#VALUE!</v>
      </c>
      <c r="U37" s="83" t="e">
        <f>_xll.xlBondYieldSensCustom(D37,E37,F37,G37,H37,I37,J37,B37,T37,$AM$2,$AN$2,$AO$2,$AP$2,$AQ$2,"y")</f>
        <v>#NUM!</v>
      </c>
      <c r="V37" s="23"/>
      <c r="W37" s="23" t="e">
        <f t="shared" si="1"/>
        <v>#VALUE!</v>
      </c>
      <c r="X37" s="22"/>
      <c r="Y37" s="22" t="e">
        <f t="shared" si="2"/>
        <v>#NUM!</v>
      </c>
      <c r="Z37" s="23" t="e">
        <f>_xll.xlBondPriceCustom(D37,E37,F37,G37,H37,I37,J37,B37,Y37,$AM$2,$AN$2,$AO$2,$AP$2,$AQ$2)</f>
        <v>#NUM!</v>
      </c>
      <c r="AA37" s="20" t="e">
        <f t="array" ref="AA37:AG37">_xll.xlBondYieldSens(D37,E37,F37,G37,H37,I37,J37,B37,W37,$AA$5&amp;$AB$5&amp;$AC$5&amp;$AD$5&amp;$AE$5&amp;$AF$5&amp;$AG$5)</f>
        <v>#NUM!</v>
      </c>
      <c r="AB37" s="20" t="e">
        <v>#NUM!</v>
      </c>
      <c r="AC37" s="20" t="e">
        <v>#NUM!</v>
      </c>
      <c r="AD37" s="20" t="e">
        <v>#NUM!</v>
      </c>
      <c r="AE37" s="20" t="e">
        <v>#NUM!</v>
      </c>
      <c r="AF37" s="20" t="e">
        <v>#NUM!</v>
      </c>
      <c r="AG37" s="24" t="e">
        <v>#NUM!</v>
      </c>
      <c r="AH37" s="22" t="e">
        <f>_xll.xlBondYieldSensCustom(D37,E37,F37,G37,H37,I37,J37,B37,W37,$AM$2,$AN$2,$AO$2,$AP$2,$AQ$2,"y")</f>
        <v>#NUM!</v>
      </c>
      <c r="AI37" s="22" t="e">
        <f ca="1">IF(TRUE,_xll.xlShmInterpRateFwd("EONIA",_xll.xlDateSettle("target",$B$2,2),0,4,$F37),"")</f>
        <v>#NUM!</v>
      </c>
      <c r="AJ37" s="85" t="e">
        <f t="shared" ca="1" si="3"/>
        <v>#NUM!</v>
      </c>
      <c r="AO37" s="84"/>
    </row>
    <row r="38" spans="1:41" ht="15.75" x14ac:dyDescent="0.25">
      <c r="A38" s="2"/>
      <c r="B38" s="19" t="e">
        <f>MAX(_xll.xlBondValueDate(D38,$B$2),I38)</f>
        <v>#NUM!</v>
      </c>
      <c r="C38" s="20" t="e">
        <v>#N/A</v>
      </c>
      <c r="D38" s="86" t="e">
        <f t="array" ref="D38:N38">_xll.BondInfo(C38,$D$5:$N$5)</f>
        <v>#VALUE!</v>
      </c>
      <c r="E38" s="20" t="e">
        <v>#VALUE!</v>
      </c>
      <c r="F38" s="87" t="e">
        <v>#VALUE!</v>
      </c>
      <c r="G38" s="19" t="e">
        <v>#VALUE!</v>
      </c>
      <c r="H38" s="19" t="e">
        <v>#VALUE!</v>
      </c>
      <c r="I38" s="19" t="e">
        <v>#VALUE!</v>
      </c>
      <c r="J38" s="20" t="e">
        <v>#VALUE!</v>
      </c>
      <c r="K38" s="20" t="e">
        <v>#VALUE!</v>
      </c>
      <c r="L38" s="20" t="e">
        <v>#VALUE!</v>
      </c>
      <c r="M38" s="20" t="e">
        <v>#VALUE!</v>
      </c>
      <c r="N38" s="20" t="e">
        <v>#VALUE!</v>
      </c>
      <c r="O38" s="21" t="e">
        <f>_xll.BondOutstanding(C38)</f>
        <v>#VALUE!</v>
      </c>
      <c r="P38" s="25" t="e">
        <f>_xll.xlBondYieldSensCustom(D38,E38,F38,G38,H38,I38,J38,B38,Q38,$AM$2,$AN$2,$AO$2,$AP$2,$AQ$2,"y")</f>
        <v>#NUM!</v>
      </c>
      <c r="Q38" s="26" t="e">
        <f>_xll.RtGet("IDN",$K38,IF(OR($D38="BTP,$E11=""CTZ"),Q$5,Q$4))</f>
        <v>#VALUE!</v>
      </c>
      <c r="R38" s="27" t="e">
        <f>_xll.RtGet("IDN",$K38,IF(OR($D38="BTP,$E11=""CTZ"),R$5,R$4))</f>
        <v>#VALUE!</v>
      </c>
      <c r="S38" s="28" t="e">
        <f>_xll.xlBondYieldSensCustom(D38,E38,F38,G38,H38,I38,J38,B38,R38,$AM$2,$AN$2,$AO$2,$AP$2,$AQ$2,"y")</f>
        <v>#NUM!</v>
      </c>
      <c r="T38" s="23" t="e">
        <f t="shared" ref="T38:T69" si="4">AVERAGE(Q38:R38)</f>
        <v>#VALUE!</v>
      </c>
      <c r="U38" s="83" t="e">
        <f>_xll.xlBondYieldSensCustom(D38,E38,F38,G38,H38,I38,J38,B38,T38,$AM$2,$AN$2,$AO$2,$AP$2,$AQ$2,"y")</f>
        <v>#NUM!</v>
      </c>
      <c r="V38" s="23"/>
      <c r="W38" s="23" t="e">
        <f t="shared" ref="W38:W69" si="5">IF(ISNUMBER(V38),V38,T38)</f>
        <v>#VALUE!</v>
      </c>
      <c r="X38" s="22"/>
      <c r="Y38" s="22" t="e">
        <f t="shared" ref="Y38:Y69" si="6">IF(ISNUMBER(X38),X38,AH38)</f>
        <v>#NUM!</v>
      </c>
      <c r="Z38" s="23" t="e">
        <f>_xll.xlBondPriceCustom(D38,E38,F38,G38,H38,I38,J38,B38,Y38,$AM$2,$AN$2,$AO$2,$AP$2,$AQ$2)</f>
        <v>#NUM!</v>
      </c>
      <c r="AA38" s="20" t="e">
        <f t="array" ref="AA38:AG38">_xll.xlBondYieldSens(D38,E38,F38,G38,H38,I38,J38,B38,W38,$AA$5&amp;$AB$5&amp;$AC$5&amp;$AD$5&amp;$AE$5&amp;$AF$5&amp;$AG$5)</f>
        <v>#NUM!</v>
      </c>
      <c r="AB38" s="20" t="e">
        <v>#NUM!</v>
      </c>
      <c r="AC38" s="20" t="e">
        <v>#NUM!</v>
      </c>
      <c r="AD38" s="20" t="e">
        <v>#NUM!</v>
      </c>
      <c r="AE38" s="20" t="e">
        <v>#NUM!</v>
      </c>
      <c r="AF38" s="20" t="e">
        <v>#NUM!</v>
      </c>
      <c r="AG38" s="24" t="e">
        <v>#NUM!</v>
      </c>
      <c r="AH38" s="22" t="e">
        <f>_xll.xlBondYieldSensCustom(D38,E38,F38,G38,H38,I38,J38,B38,W38,$AM$2,$AN$2,$AO$2,$AP$2,$AQ$2,"y")</f>
        <v>#NUM!</v>
      </c>
      <c r="AI38" s="22" t="e">
        <f ca="1">IF(TRUE,_xll.xlShmInterpRateFwd("EONIA",_xll.xlDateSettle("target",$B$2,2),0,4,$F38),"")</f>
        <v>#NUM!</v>
      </c>
      <c r="AJ38" s="85" t="e">
        <f t="shared" ref="AJ38:AJ69" ca="1" si="7">$Y38-$AI38</f>
        <v>#NUM!</v>
      </c>
      <c r="AO38" s="84"/>
    </row>
    <row r="39" spans="1:41" ht="15.75" x14ac:dyDescent="0.25">
      <c r="A39" s="2"/>
      <c r="B39" s="19" t="e">
        <f>MAX(_xll.xlBondValueDate(D39,$B$2),I39)</f>
        <v>#NUM!</v>
      </c>
      <c r="C39" s="20" t="e">
        <v>#N/A</v>
      </c>
      <c r="D39" s="86" t="e">
        <f t="array" ref="D39:N39">_xll.BondInfo(C39,$D$5:$N$5)</f>
        <v>#VALUE!</v>
      </c>
      <c r="E39" s="20" t="e">
        <v>#VALUE!</v>
      </c>
      <c r="F39" s="87" t="e">
        <v>#VALUE!</v>
      </c>
      <c r="G39" s="19" t="e">
        <v>#VALUE!</v>
      </c>
      <c r="H39" s="19" t="e">
        <v>#VALUE!</v>
      </c>
      <c r="I39" s="19" t="e">
        <v>#VALUE!</v>
      </c>
      <c r="J39" s="20" t="e">
        <v>#VALUE!</v>
      </c>
      <c r="K39" s="20" t="e">
        <v>#VALUE!</v>
      </c>
      <c r="L39" s="20" t="e">
        <v>#VALUE!</v>
      </c>
      <c r="M39" s="20" t="e">
        <v>#VALUE!</v>
      </c>
      <c r="N39" s="20" t="e">
        <v>#VALUE!</v>
      </c>
      <c r="O39" s="21" t="e">
        <f>_xll.BondOutstanding(C39)</f>
        <v>#VALUE!</v>
      </c>
      <c r="P39" s="25" t="e">
        <f>_xll.xlBondYieldSensCustom(D39,E39,F39,G39,H39,I39,J39,B39,Q39,$AM$2,$AN$2,$AO$2,$AP$2,$AQ$2,"y")</f>
        <v>#NUM!</v>
      </c>
      <c r="Q39" s="26" t="e">
        <f>_xll.RtGet("IDN",$K39,IF(OR($D39="BTP,$E11=""CTZ"),Q$5,Q$4))</f>
        <v>#VALUE!</v>
      </c>
      <c r="R39" s="27" t="e">
        <f>_xll.RtGet("IDN",$K39,IF(OR($D39="BTP,$E11=""CTZ"),R$5,R$4))</f>
        <v>#VALUE!</v>
      </c>
      <c r="S39" s="28" t="e">
        <f>_xll.xlBondYieldSensCustom(D39,E39,F39,G39,H39,I39,J39,B39,R39,$AM$2,$AN$2,$AO$2,$AP$2,$AQ$2,"y")</f>
        <v>#NUM!</v>
      </c>
      <c r="T39" s="23" t="e">
        <f t="shared" si="4"/>
        <v>#VALUE!</v>
      </c>
      <c r="U39" s="83" t="e">
        <f>_xll.xlBondYieldSensCustom(D39,E39,F39,G39,H39,I39,J39,B39,T39,$AM$2,$AN$2,$AO$2,$AP$2,$AQ$2,"y")</f>
        <v>#NUM!</v>
      </c>
      <c r="V39" s="23"/>
      <c r="W39" s="23" t="e">
        <f t="shared" si="5"/>
        <v>#VALUE!</v>
      </c>
      <c r="X39" s="22"/>
      <c r="Y39" s="22" t="e">
        <f t="shared" si="6"/>
        <v>#NUM!</v>
      </c>
      <c r="Z39" s="23" t="e">
        <f>_xll.xlBondPriceCustom(D39,E39,F39,G39,H39,I39,J39,B39,Y39,$AM$2,$AN$2,$AO$2,$AP$2,$AQ$2)</f>
        <v>#NUM!</v>
      </c>
      <c r="AA39" s="20" t="e">
        <f t="array" ref="AA39:AG39">_xll.xlBondYieldSens(D39,E39,F39,G39,H39,I39,J39,B39,W39,$AA$5&amp;$AB$5&amp;$AC$5&amp;$AD$5&amp;$AE$5&amp;$AF$5&amp;$AG$5)</f>
        <v>#NUM!</v>
      </c>
      <c r="AB39" s="20" t="e">
        <v>#NUM!</v>
      </c>
      <c r="AC39" s="20" t="e">
        <v>#NUM!</v>
      </c>
      <c r="AD39" s="20" t="e">
        <v>#NUM!</v>
      </c>
      <c r="AE39" s="20" t="e">
        <v>#NUM!</v>
      </c>
      <c r="AF39" s="20" t="e">
        <v>#NUM!</v>
      </c>
      <c r="AG39" s="24" t="e">
        <v>#NUM!</v>
      </c>
      <c r="AH39" s="22" t="e">
        <f>_xll.xlBondYieldSensCustom(D39,E39,F39,G39,H39,I39,J39,B39,W39,$AM$2,$AN$2,$AO$2,$AP$2,$AQ$2,"y")</f>
        <v>#NUM!</v>
      </c>
      <c r="AI39" s="22" t="e">
        <f ca="1">IF(TRUE,_xll.xlShmInterpRateFwd("EONIA",_xll.xlDateSettle("target",$B$2,2),0,4,$F39),"")</f>
        <v>#NUM!</v>
      </c>
      <c r="AJ39" s="85" t="e">
        <f t="shared" ca="1" si="7"/>
        <v>#NUM!</v>
      </c>
      <c r="AO39" s="84"/>
    </row>
    <row r="40" spans="1:41" ht="15.75" x14ac:dyDescent="0.25">
      <c r="A40" s="2"/>
      <c r="B40" s="19" t="e">
        <f>MAX(_xll.xlBondValueDate(D40,$B$2),I40)</f>
        <v>#NUM!</v>
      </c>
      <c r="C40" s="20" t="e">
        <v>#N/A</v>
      </c>
      <c r="D40" s="86" t="e">
        <f t="array" ref="D40:N40">_xll.BondInfo(C40,$D$5:$N$5)</f>
        <v>#VALUE!</v>
      </c>
      <c r="E40" s="20" t="e">
        <v>#VALUE!</v>
      </c>
      <c r="F40" s="87" t="e">
        <v>#VALUE!</v>
      </c>
      <c r="G40" s="19" t="e">
        <v>#VALUE!</v>
      </c>
      <c r="H40" s="19" t="e">
        <v>#VALUE!</v>
      </c>
      <c r="I40" s="19" t="e">
        <v>#VALUE!</v>
      </c>
      <c r="J40" s="20" t="e">
        <v>#VALUE!</v>
      </c>
      <c r="K40" s="20" t="e">
        <v>#VALUE!</v>
      </c>
      <c r="L40" s="20" t="e">
        <v>#VALUE!</v>
      </c>
      <c r="M40" s="20" t="e">
        <v>#VALUE!</v>
      </c>
      <c r="N40" s="20" t="e">
        <v>#VALUE!</v>
      </c>
      <c r="O40" s="21" t="e">
        <f>_xll.BondOutstanding(C40)</f>
        <v>#VALUE!</v>
      </c>
      <c r="P40" s="25" t="e">
        <f>_xll.xlBondYieldSensCustom(D40,E40,F40,G40,H40,I40,J40,B40,Q40,$AM$2,$AN$2,$AO$2,$AP$2,$AQ$2,"y")</f>
        <v>#NUM!</v>
      </c>
      <c r="Q40" s="26" t="e">
        <f>_xll.RtGet("IDN",$K40,IF(OR($D40="BTP,$E11=""CTZ"),Q$5,Q$4))</f>
        <v>#VALUE!</v>
      </c>
      <c r="R40" s="27" t="e">
        <f>_xll.RtGet("IDN",$K40,IF(OR($D40="BTP,$E11=""CTZ"),R$5,R$4))</f>
        <v>#VALUE!</v>
      </c>
      <c r="S40" s="28" t="e">
        <f>_xll.xlBondYieldSensCustom(D40,E40,F40,G40,H40,I40,J40,B40,R40,$AM$2,$AN$2,$AO$2,$AP$2,$AQ$2,"y")</f>
        <v>#NUM!</v>
      </c>
      <c r="T40" s="23" t="e">
        <f t="shared" si="4"/>
        <v>#VALUE!</v>
      </c>
      <c r="U40" s="83" t="e">
        <f>_xll.xlBondYieldSensCustom(D40,E40,F40,G40,H40,I40,J40,B40,T40,$AM$2,$AN$2,$AO$2,$AP$2,$AQ$2,"y")</f>
        <v>#NUM!</v>
      </c>
      <c r="V40" s="23"/>
      <c r="W40" s="23" t="e">
        <f t="shared" si="5"/>
        <v>#VALUE!</v>
      </c>
      <c r="X40" s="22"/>
      <c r="Y40" s="22" t="e">
        <f t="shared" si="6"/>
        <v>#NUM!</v>
      </c>
      <c r="Z40" s="23" t="e">
        <f>_xll.xlBondPriceCustom(D40,E40,F40,G40,H40,I40,J40,B40,Y40,$AM$2,$AN$2,$AO$2,$AP$2,$AQ$2)</f>
        <v>#NUM!</v>
      </c>
      <c r="AA40" s="20" t="e">
        <f t="array" ref="AA40:AG40">_xll.xlBondYieldSens(D40,E40,F40,G40,H40,I40,J40,B40,W40,$AA$5&amp;$AB$5&amp;$AC$5&amp;$AD$5&amp;$AE$5&amp;$AF$5&amp;$AG$5)</f>
        <v>#NUM!</v>
      </c>
      <c r="AB40" s="20" t="e">
        <v>#NUM!</v>
      </c>
      <c r="AC40" s="20" t="e">
        <v>#NUM!</v>
      </c>
      <c r="AD40" s="20" t="e">
        <v>#NUM!</v>
      </c>
      <c r="AE40" s="20" t="e">
        <v>#NUM!</v>
      </c>
      <c r="AF40" s="20" t="e">
        <v>#NUM!</v>
      </c>
      <c r="AG40" s="24" t="e">
        <v>#NUM!</v>
      </c>
      <c r="AH40" s="22" t="e">
        <f>_xll.xlBondYieldSensCustom(D40,E40,F40,G40,H40,I40,J40,B40,W40,$AM$2,$AN$2,$AO$2,$AP$2,$AQ$2,"y")</f>
        <v>#NUM!</v>
      </c>
      <c r="AI40" s="22" t="e">
        <f ca="1">IF(TRUE,_xll.xlShmInterpRateFwd("EONIA",_xll.xlDateSettle("target",$B$2,2),0,4,$F40),"")</f>
        <v>#NUM!</v>
      </c>
      <c r="AJ40" s="85" t="e">
        <f t="shared" ca="1" si="7"/>
        <v>#NUM!</v>
      </c>
      <c r="AO40" s="84"/>
    </row>
    <row r="41" spans="1:41" ht="15.75" x14ac:dyDescent="0.25">
      <c r="A41" s="2"/>
      <c r="B41" s="19" t="e">
        <f>MAX(_xll.xlBondValueDate(D41,$B$2),I41)</f>
        <v>#NUM!</v>
      </c>
      <c r="C41" s="20" t="e">
        <v>#N/A</v>
      </c>
      <c r="D41" s="86" t="e">
        <f t="array" ref="D41:N41">_xll.BondInfo(C41,$D$5:$N$5)</f>
        <v>#VALUE!</v>
      </c>
      <c r="E41" s="20" t="e">
        <v>#VALUE!</v>
      </c>
      <c r="F41" s="87" t="e">
        <v>#VALUE!</v>
      </c>
      <c r="G41" s="19" t="e">
        <v>#VALUE!</v>
      </c>
      <c r="H41" s="19" t="e">
        <v>#VALUE!</v>
      </c>
      <c r="I41" s="19" t="e">
        <v>#VALUE!</v>
      </c>
      <c r="J41" s="20" t="e">
        <v>#VALUE!</v>
      </c>
      <c r="K41" s="20" t="e">
        <v>#VALUE!</v>
      </c>
      <c r="L41" s="20" t="e">
        <v>#VALUE!</v>
      </c>
      <c r="M41" s="20" t="e">
        <v>#VALUE!</v>
      </c>
      <c r="N41" s="20" t="e">
        <v>#VALUE!</v>
      </c>
      <c r="O41" s="21" t="e">
        <f>_xll.BondOutstanding(C41)</f>
        <v>#VALUE!</v>
      </c>
      <c r="P41" s="25" t="e">
        <f>_xll.xlBondYieldSensCustom(D41,E41,F41,G41,H41,I41,J41,B41,Q41,$AM$2,$AN$2,$AO$2,$AP$2,$AQ$2,"y")</f>
        <v>#NUM!</v>
      </c>
      <c r="Q41" s="26" t="e">
        <f>_xll.RtGet("IDN",$K41,IF(OR($D41="BTP,$E11=""CTZ"),Q$5,Q$4))</f>
        <v>#VALUE!</v>
      </c>
      <c r="R41" s="27" t="e">
        <f>_xll.RtGet("IDN",$K41,IF(OR($D41="BTP,$E11=""CTZ"),R$5,R$4))</f>
        <v>#VALUE!</v>
      </c>
      <c r="S41" s="28" t="e">
        <f>_xll.xlBondYieldSensCustom(D41,E41,F41,G41,H41,I41,J41,B41,R41,$AM$2,$AN$2,$AO$2,$AP$2,$AQ$2,"y")</f>
        <v>#NUM!</v>
      </c>
      <c r="T41" s="23" t="e">
        <f t="shared" si="4"/>
        <v>#VALUE!</v>
      </c>
      <c r="U41" s="83" t="e">
        <f>_xll.xlBondYieldSensCustom(D41,E41,F41,G41,H41,I41,J41,B41,T41,$AM$2,$AN$2,$AO$2,$AP$2,$AQ$2,"y")</f>
        <v>#NUM!</v>
      </c>
      <c r="V41" s="23"/>
      <c r="W41" s="23" t="e">
        <f t="shared" si="5"/>
        <v>#VALUE!</v>
      </c>
      <c r="X41" s="22"/>
      <c r="Y41" s="22" t="e">
        <f t="shared" si="6"/>
        <v>#NUM!</v>
      </c>
      <c r="Z41" s="23" t="e">
        <f>_xll.xlBondPriceCustom(D41,E41,F41,G41,H41,I41,J41,B41,Y41,$AM$2,$AN$2,$AO$2,$AP$2,$AQ$2)</f>
        <v>#NUM!</v>
      </c>
      <c r="AA41" s="20" t="e">
        <f t="array" ref="AA41:AG41">_xll.xlBondYieldSens(D41,E41,F41,G41,H41,I41,J41,B41,W41,$AA$5&amp;$AB$5&amp;$AC$5&amp;$AD$5&amp;$AE$5&amp;$AF$5&amp;$AG$5)</f>
        <v>#NUM!</v>
      </c>
      <c r="AB41" s="20" t="e">
        <v>#NUM!</v>
      </c>
      <c r="AC41" s="20" t="e">
        <v>#NUM!</v>
      </c>
      <c r="AD41" s="20" t="e">
        <v>#NUM!</v>
      </c>
      <c r="AE41" s="20" t="e">
        <v>#NUM!</v>
      </c>
      <c r="AF41" s="20" t="e">
        <v>#NUM!</v>
      </c>
      <c r="AG41" s="24" t="e">
        <v>#NUM!</v>
      </c>
      <c r="AH41" s="22" t="e">
        <f>_xll.xlBondYieldSensCustom(D41,E41,F41,G41,H41,I41,J41,B41,W41,$AM$2,$AN$2,$AO$2,$AP$2,$AQ$2,"y")</f>
        <v>#NUM!</v>
      </c>
      <c r="AI41" s="22" t="e">
        <f ca="1">IF(TRUE,_xll.xlShmInterpRateFwd("EONIA",_xll.xlDateSettle("target",$B$2,2),0,4,$F41),"")</f>
        <v>#NUM!</v>
      </c>
      <c r="AJ41" s="85" t="e">
        <f t="shared" ca="1" si="7"/>
        <v>#NUM!</v>
      </c>
      <c r="AO41" s="84"/>
    </row>
    <row r="42" spans="1:41" ht="15.75" x14ac:dyDescent="0.25">
      <c r="A42" s="2"/>
      <c r="B42" s="19" t="e">
        <f>MAX(_xll.xlBondValueDate(D42,$B$2),I42)</f>
        <v>#NUM!</v>
      </c>
      <c r="C42" s="20" t="e">
        <v>#N/A</v>
      </c>
      <c r="D42" s="86" t="e">
        <f t="array" ref="D42:N42">_xll.BondInfo(C42,$D$5:$N$5)</f>
        <v>#VALUE!</v>
      </c>
      <c r="E42" s="20" t="e">
        <v>#VALUE!</v>
      </c>
      <c r="F42" s="87" t="e">
        <v>#VALUE!</v>
      </c>
      <c r="G42" s="19" t="e">
        <v>#VALUE!</v>
      </c>
      <c r="H42" s="19" t="e">
        <v>#VALUE!</v>
      </c>
      <c r="I42" s="19" t="e">
        <v>#VALUE!</v>
      </c>
      <c r="J42" s="20" t="e">
        <v>#VALUE!</v>
      </c>
      <c r="K42" s="20" t="e">
        <v>#VALUE!</v>
      </c>
      <c r="L42" s="20" t="e">
        <v>#VALUE!</v>
      </c>
      <c r="M42" s="20" t="e">
        <v>#VALUE!</v>
      </c>
      <c r="N42" s="20" t="e">
        <v>#VALUE!</v>
      </c>
      <c r="O42" s="21" t="e">
        <f>_xll.BondOutstanding(C42)</f>
        <v>#VALUE!</v>
      </c>
      <c r="P42" s="25" t="e">
        <f>_xll.xlBondYieldSensCustom(D42,E42,F42,G42,H42,I42,J42,B42,Q42,$AM$2,$AN$2,$AO$2,$AP$2,$AQ$2,"y")</f>
        <v>#NUM!</v>
      </c>
      <c r="Q42" s="26" t="e">
        <f>_xll.RtGet("IDN",$K42,IF(OR($D42="BTP,$E11=""CTZ"),Q$5,Q$4))</f>
        <v>#VALUE!</v>
      </c>
      <c r="R42" s="27" t="e">
        <f>_xll.RtGet("IDN",$K42,IF(OR($D42="BTP,$E11=""CTZ"),R$5,R$4))</f>
        <v>#VALUE!</v>
      </c>
      <c r="S42" s="28" t="e">
        <f>_xll.xlBondYieldSensCustom(D42,E42,F42,G42,H42,I42,J42,B42,R42,$AM$2,$AN$2,$AO$2,$AP$2,$AQ$2,"y")</f>
        <v>#NUM!</v>
      </c>
      <c r="T42" s="23" t="e">
        <f t="shared" si="4"/>
        <v>#VALUE!</v>
      </c>
      <c r="U42" s="83" t="e">
        <f>_xll.xlBondYieldSensCustom(D42,E42,F42,G42,H42,I42,J42,B42,T42,$AM$2,$AN$2,$AO$2,$AP$2,$AQ$2,"y")</f>
        <v>#NUM!</v>
      </c>
      <c r="V42" s="23"/>
      <c r="W42" s="23" t="e">
        <f t="shared" si="5"/>
        <v>#VALUE!</v>
      </c>
      <c r="X42" s="22"/>
      <c r="Y42" s="22" t="e">
        <f t="shared" si="6"/>
        <v>#NUM!</v>
      </c>
      <c r="Z42" s="23" t="e">
        <f>_xll.xlBondPriceCustom(D42,E42,F42,G42,H42,I42,J42,B42,Y42,$AM$2,$AN$2,$AO$2,$AP$2,$AQ$2)</f>
        <v>#NUM!</v>
      </c>
      <c r="AA42" s="20" t="e">
        <f t="array" ref="AA42:AG42">_xll.xlBondYieldSens(D42,E42,F42,G42,H42,I42,J42,B42,W42,$AA$5&amp;$AB$5&amp;$AC$5&amp;$AD$5&amp;$AE$5&amp;$AF$5&amp;$AG$5)</f>
        <v>#NUM!</v>
      </c>
      <c r="AB42" s="20" t="e">
        <v>#NUM!</v>
      </c>
      <c r="AC42" s="20" t="e">
        <v>#NUM!</v>
      </c>
      <c r="AD42" s="20" t="e">
        <v>#NUM!</v>
      </c>
      <c r="AE42" s="20" t="e">
        <v>#NUM!</v>
      </c>
      <c r="AF42" s="20" t="e">
        <v>#NUM!</v>
      </c>
      <c r="AG42" s="24" t="e">
        <v>#NUM!</v>
      </c>
      <c r="AH42" s="22" t="e">
        <f>_xll.xlBondYieldSensCustom(D42,E42,F42,G42,H42,I42,J42,B42,W42,$AM$2,$AN$2,$AO$2,$AP$2,$AQ$2,"y")</f>
        <v>#NUM!</v>
      </c>
      <c r="AI42" s="22" t="e">
        <f ca="1">IF(TRUE,_xll.xlShmInterpRateFwd("EONIA",_xll.xlDateSettle("target",$B$2,2),0,4,$F42),"")</f>
        <v>#NUM!</v>
      </c>
      <c r="AJ42" s="85" t="e">
        <f t="shared" ca="1" si="7"/>
        <v>#NUM!</v>
      </c>
      <c r="AO42" s="84"/>
    </row>
    <row r="43" spans="1:41" ht="15.75" x14ac:dyDescent="0.25">
      <c r="A43" s="2"/>
      <c r="B43" s="19" t="e">
        <f>MAX(_xll.xlBondValueDate(D43,$B$2),I43)</f>
        <v>#NUM!</v>
      </c>
      <c r="C43" s="20" t="e">
        <v>#N/A</v>
      </c>
      <c r="D43" s="86" t="e">
        <f t="array" ref="D43:N43">_xll.BondInfo(C43,$D$5:$N$5)</f>
        <v>#VALUE!</v>
      </c>
      <c r="E43" s="20" t="e">
        <v>#VALUE!</v>
      </c>
      <c r="F43" s="87" t="e">
        <v>#VALUE!</v>
      </c>
      <c r="G43" s="19" t="e">
        <v>#VALUE!</v>
      </c>
      <c r="H43" s="19" t="e">
        <v>#VALUE!</v>
      </c>
      <c r="I43" s="19" t="e">
        <v>#VALUE!</v>
      </c>
      <c r="J43" s="20" t="e">
        <v>#VALUE!</v>
      </c>
      <c r="K43" s="20" t="e">
        <v>#VALUE!</v>
      </c>
      <c r="L43" s="20" t="e">
        <v>#VALUE!</v>
      </c>
      <c r="M43" s="20" t="e">
        <v>#VALUE!</v>
      </c>
      <c r="N43" s="20" t="e">
        <v>#VALUE!</v>
      </c>
      <c r="O43" s="21" t="e">
        <f>_xll.BondOutstanding(C43)</f>
        <v>#VALUE!</v>
      </c>
      <c r="P43" s="25" t="e">
        <f>_xll.xlBondYieldSensCustom(D43,E43,F43,G43,H43,I43,J43,B43,Q43,$AM$2,$AN$2,$AO$2,$AP$2,$AQ$2,"y")</f>
        <v>#NUM!</v>
      </c>
      <c r="Q43" s="26" t="e">
        <f>_xll.RtGet("IDN",$K43,IF(OR($D43="BTP,$E11=""CTZ"),Q$5,Q$4))</f>
        <v>#VALUE!</v>
      </c>
      <c r="R43" s="27" t="e">
        <f>_xll.RtGet("IDN",$K43,IF(OR($D43="BTP,$E11=""CTZ"),R$5,R$4))</f>
        <v>#VALUE!</v>
      </c>
      <c r="S43" s="28" t="e">
        <f>_xll.xlBondYieldSensCustom(D43,E43,F43,G43,H43,I43,J43,B43,R43,$AM$2,$AN$2,$AO$2,$AP$2,$AQ$2,"y")</f>
        <v>#NUM!</v>
      </c>
      <c r="T43" s="23" t="e">
        <f t="shared" si="4"/>
        <v>#VALUE!</v>
      </c>
      <c r="U43" s="83" t="e">
        <f>_xll.xlBondYieldSensCustom(D43,E43,F43,G43,H43,I43,J43,B43,T43,$AM$2,$AN$2,$AO$2,$AP$2,$AQ$2,"y")</f>
        <v>#NUM!</v>
      </c>
      <c r="V43" s="23"/>
      <c r="W43" s="23" t="e">
        <f t="shared" si="5"/>
        <v>#VALUE!</v>
      </c>
      <c r="X43" s="22"/>
      <c r="Y43" s="22" t="e">
        <f t="shared" si="6"/>
        <v>#NUM!</v>
      </c>
      <c r="Z43" s="23" t="e">
        <f>_xll.xlBondPriceCustom(D43,E43,F43,G43,H43,I43,J43,B43,Y43,$AM$2,$AN$2,$AO$2,$AP$2,$AQ$2)</f>
        <v>#NUM!</v>
      </c>
      <c r="AA43" s="20" t="e">
        <f t="array" ref="AA43:AG43">_xll.xlBondYieldSens(D43,E43,F43,G43,H43,I43,J43,B43,W43,$AA$5&amp;$AB$5&amp;$AC$5&amp;$AD$5&amp;$AE$5&amp;$AF$5&amp;$AG$5)</f>
        <v>#NUM!</v>
      </c>
      <c r="AB43" s="20" t="e">
        <v>#NUM!</v>
      </c>
      <c r="AC43" s="20" t="e">
        <v>#NUM!</v>
      </c>
      <c r="AD43" s="20" t="e">
        <v>#NUM!</v>
      </c>
      <c r="AE43" s="20" t="e">
        <v>#NUM!</v>
      </c>
      <c r="AF43" s="20" t="e">
        <v>#NUM!</v>
      </c>
      <c r="AG43" s="24" t="e">
        <v>#NUM!</v>
      </c>
      <c r="AH43" s="22" t="e">
        <f>_xll.xlBondYieldSensCustom(D43,E43,F43,G43,H43,I43,J43,B43,W43,$AM$2,$AN$2,$AO$2,$AP$2,$AQ$2,"y")</f>
        <v>#NUM!</v>
      </c>
      <c r="AI43" s="22" t="e">
        <f ca="1">IF(TRUE,_xll.xlShmInterpRateFwd("EONIA",_xll.xlDateSettle("target",$B$2,2),0,4,$F43),"")</f>
        <v>#NUM!</v>
      </c>
      <c r="AJ43" s="85" t="e">
        <f t="shared" ca="1" si="7"/>
        <v>#NUM!</v>
      </c>
      <c r="AO43" s="84"/>
    </row>
    <row r="44" spans="1:41" ht="15.75" x14ac:dyDescent="0.25">
      <c r="A44" s="2"/>
      <c r="B44" s="19" t="e">
        <f>MAX(_xll.xlBondValueDate(D44,$B$2),I44)</f>
        <v>#NUM!</v>
      </c>
      <c r="C44" s="20" t="e">
        <v>#N/A</v>
      </c>
      <c r="D44" s="86" t="e">
        <f t="array" ref="D44:N44">_xll.BondInfo(C44,$D$5:$N$5)</f>
        <v>#VALUE!</v>
      </c>
      <c r="E44" s="20" t="e">
        <v>#VALUE!</v>
      </c>
      <c r="F44" s="87" t="e">
        <v>#VALUE!</v>
      </c>
      <c r="G44" s="19" t="e">
        <v>#VALUE!</v>
      </c>
      <c r="H44" s="19" t="e">
        <v>#VALUE!</v>
      </c>
      <c r="I44" s="19" t="e">
        <v>#VALUE!</v>
      </c>
      <c r="J44" s="20" t="e">
        <v>#VALUE!</v>
      </c>
      <c r="K44" s="20" t="e">
        <v>#VALUE!</v>
      </c>
      <c r="L44" s="20" t="e">
        <v>#VALUE!</v>
      </c>
      <c r="M44" s="20" t="e">
        <v>#VALUE!</v>
      </c>
      <c r="N44" s="20" t="e">
        <v>#VALUE!</v>
      </c>
      <c r="O44" s="21" t="e">
        <f>_xll.BondOutstanding(C44)</f>
        <v>#VALUE!</v>
      </c>
      <c r="P44" s="25" t="e">
        <f>_xll.xlBondYieldSensCustom(D44,E44,F44,G44,H44,I44,J44,B44,Q44,$AM$2,$AN$2,$AO$2,$AP$2,$AQ$2,"y")</f>
        <v>#NUM!</v>
      </c>
      <c r="Q44" s="26" t="e">
        <f>_xll.RtGet("IDN",$K44,IF(OR($D44="BTP,$E11=""CTZ"),Q$5,Q$4))</f>
        <v>#VALUE!</v>
      </c>
      <c r="R44" s="27" t="e">
        <f>_xll.RtGet("IDN",$K44,IF(OR($D44="BTP,$E11=""CTZ"),R$5,R$4))</f>
        <v>#VALUE!</v>
      </c>
      <c r="S44" s="28" t="e">
        <f>_xll.xlBondYieldSensCustom(D44,E44,F44,G44,H44,I44,J44,B44,R44,$AM$2,$AN$2,$AO$2,$AP$2,$AQ$2,"y")</f>
        <v>#NUM!</v>
      </c>
      <c r="T44" s="23" t="e">
        <f t="shared" si="4"/>
        <v>#VALUE!</v>
      </c>
      <c r="U44" s="83" t="e">
        <f>_xll.xlBondYieldSensCustom(D44,E44,F44,G44,H44,I44,J44,B44,T44,$AM$2,$AN$2,$AO$2,$AP$2,$AQ$2,"y")</f>
        <v>#NUM!</v>
      </c>
      <c r="V44" s="23"/>
      <c r="W44" s="23" t="e">
        <f t="shared" si="5"/>
        <v>#VALUE!</v>
      </c>
      <c r="X44" s="22"/>
      <c r="Y44" s="22" t="e">
        <f t="shared" si="6"/>
        <v>#NUM!</v>
      </c>
      <c r="Z44" s="23" t="e">
        <f>_xll.xlBondPriceCustom(D44,E44,F44,G44,H44,I44,J44,B44,Y44,$AM$2,$AN$2,$AO$2,$AP$2,$AQ$2)</f>
        <v>#NUM!</v>
      </c>
      <c r="AA44" s="20" t="e">
        <f t="array" ref="AA44:AG44">_xll.xlBondYieldSens(D44,E44,F44,G44,H44,I44,J44,B44,W44,$AA$5&amp;$AB$5&amp;$AC$5&amp;$AD$5&amp;$AE$5&amp;$AF$5&amp;$AG$5)</f>
        <v>#NUM!</v>
      </c>
      <c r="AB44" s="20" t="e">
        <v>#NUM!</v>
      </c>
      <c r="AC44" s="20" t="e">
        <v>#NUM!</v>
      </c>
      <c r="AD44" s="20" t="e">
        <v>#NUM!</v>
      </c>
      <c r="AE44" s="20" t="e">
        <v>#NUM!</v>
      </c>
      <c r="AF44" s="20" t="e">
        <v>#NUM!</v>
      </c>
      <c r="AG44" s="24" t="e">
        <v>#NUM!</v>
      </c>
      <c r="AH44" s="22" t="e">
        <f>_xll.xlBondYieldSensCustom(D44,E44,F44,G44,H44,I44,J44,B44,W44,$AM$2,$AN$2,$AO$2,$AP$2,$AQ$2,"y")</f>
        <v>#NUM!</v>
      </c>
      <c r="AI44" s="22" t="e">
        <f ca="1">IF(TRUE,_xll.xlShmInterpRateFwd("EONIA",_xll.xlDateSettle("target",$B$2,2),0,4,$F44),"")</f>
        <v>#NUM!</v>
      </c>
      <c r="AJ44" s="85" t="e">
        <f t="shared" ca="1" si="7"/>
        <v>#NUM!</v>
      </c>
      <c r="AO44" s="84"/>
    </row>
    <row r="45" spans="1:41" ht="15.75" x14ac:dyDescent="0.25">
      <c r="A45" s="2"/>
      <c r="B45" s="19" t="e">
        <f>MAX(_xll.xlBondValueDate(D45,$B$2),I45)</f>
        <v>#NUM!</v>
      </c>
      <c r="C45" s="20" t="e">
        <v>#N/A</v>
      </c>
      <c r="D45" s="86" t="e">
        <f t="array" ref="D45:N45">_xll.BondInfo(C45,$D$5:$N$5)</f>
        <v>#VALUE!</v>
      </c>
      <c r="E45" s="20" t="e">
        <v>#VALUE!</v>
      </c>
      <c r="F45" s="87" t="e">
        <v>#VALUE!</v>
      </c>
      <c r="G45" s="19" t="e">
        <v>#VALUE!</v>
      </c>
      <c r="H45" s="19" t="e">
        <v>#VALUE!</v>
      </c>
      <c r="I45" s="19" t="e">
        <v>#VALUE!</v>
      </c>
      <c r="J45" s="20" t="e">
        <v>#VALUE!</v>
      </c>
      <c r="K45" s="20" t="e">
        <v>#VALUE!</v>
      </c>
      <c r="L45" s="20" t="e">
        <v>#VALUE!</v>
      </c>
      <c r="M45" s="20" t="e">
        <v>#VALUE!</v>
      </c>
      <c r="N45" s="20" t="e">
        <v>#VALUE!</v>
      </c>
      <c r="O45" s="21" t="e">
        <f>_xll.BondOutstanding(C45)</f>
        <v>#VALUE!</v>
      </c>
      <c r="P45" s="25" t="e">
        <f>_xll.xlBondYieldSensCustom(D45,E45,F45,G45,H45,I45,J45,B45,Q45,$AM$2,$AN$2,$AO$2,$AP$2,$AQ$2,"y")</f>
        <v>#NUM!</v>
      </c>
      <c r="Q45" s="26" t="e">
        <f>_xll.RtGet("IDN",$K45,IF(OR($D45="BTP,$E11=""CTZ"),Q$5,Q$4))</f>
        <v>#VALUE!</v>
      </c>
      <c r="R45" s="27" t="e">
        <f>_xll.RtGet("IDN",$K45,IF(OR($D45="BTP,$E11=""CTZ"),R$5,R$4))</f>
        <v>#VALUE!</v>
      </c>
      <c r="S45" s="28" t="e">
        <f>_xll.xlBondYieldSensCustom(D45,E45,F45,G45,H45,I45,J45,B45,R45,$AM$2,$AN$2,$AO$2,$AP$2,$AQ$2,"y")</f>
        <v>#NUM!</v>
      </c>
      <c r="T45" s="23" t="e">
        <f t="shared" si="4"/>
        <v>#VALUE!</v>
      </c>
      <c r="U45" s="83" t="e">
        <f>_xll.xlBondYieldSensCustom(D45,E45,F45,G45,H45,I45,J45,B45,T45,$AM$2,$AN$2,$AO$2,$AP$2,$AQ$2,"y")</f>
        <v>#NUM!</v>
      </c>
      <c r="V45" s="23"/>
      <c r="W45" s="23" t="e">
        <f t="shared" si="5"/>
        <v>#VALUE!</v>
      </c>
      <c r="X45" s="22"/>
      <c r="Y45" s="22" t="e">
        <f t="shared" si="6"/>
        <v>#NUM!</v>
      </c>
      <c r="Z45" s="23" t="e">
        <f>_xll.xlBondPriceCustom(D45,E45,F45,G45,H45,I45,J45,B45,Y45,$AM$2,$AN$2,$AO$2,$AP$2,$AQ$2)</f>
        <v>#NUM!</v>
      </c>
      <c r="AA45" s="20" t="e">
        <f t="array" ref="AA45:AG45">_xll.xlBondYieldSens(D45,E45,F45,G45,H45,I45,J45,B45,W45,$AA$5&amp;$AB$5&amp;$AC$5&amp;$AD$5&amp;$AE$5&amp;$AF$5&amp;$AG$5)</f>
        <v>#NUM!</v>
      </c>
      <c r="AB45" s="20" t="e">
        <v>#NUM!</v>
      </c>
      <c r="AC45" s="20" t="e">
        <v>#NUM!</v>
      </c>
      <c r="AD45" s="20" t="e">
        <v>#NUM!</v>
      </c>
      <c r="AE45" s="20" t="e">
        <v>#NUM!</v>
      </c>
      <c r="AF45" s="20" t="e">
        <v>#NUM!</v>
      </c>
      <c r="AG45" s="24" t="e">
        <v>#NUM!</v>
      </c>
      <c r="AH45" s="22" t="e">
        <f>_xll.xlBondYieldSensCustom(D45,E45,F45,G45,H45,I45,J45,B45,W45,$AM$2,$AN$2,$AO$2,$AP$2,$AQ$2,"y")</f>
        <v>#NUM!</v>
      </c>
      <c r="AI45" s="22" t="e">
        <f ca="1">IF(TRUE,_xll.xlShmInterpRateFwd("EONIA",_xll.xlDateSettle("target",$B$2,2),0,4,$F45),"")</f>
        <v>#NUM!</v>
      </c>
      <c r="AJ45" s="85" t="e">
        <f t="shared" ca="1" si="7"/>
        <v>#NUM!</v>
      </c>
      <c r="AO45" s="84"/>
    </row>
    <row r="46" spans="1:41" ht="15.75" x14ac:dyDescent="0.25">
      <c r="A46" s="2"/>
      <c r="B46" s="19" t="e">
        <f>MAX(_xll.xlBondValueDate(D46,$B$2),I46)</f>
        <v>#NUM!</v>
      </c>
      <c r="C46" s="20" t="e">
        <v>#N/A</v>
      </c>
      <c r="D46" s="86" t="e">
        <f t="array" ref="D46:N46">_xll.BondInfo(C46,$D$5:$N$5)</f>
        <v>#VALUE!</v>
      </c>
      <c r="E46" s="20" t="e">
        <v>#VALUE!</v>
      </c>
      <c r="F46" s="87" t="e">
        <v>#VALUE!</v>
      </c>
      <c r="G46" s="19" t="e">
        <v>#VALUE!</v>
      </c>
      <c r="H46" s="19" t="e">
        <v>#VALUE!</v>
      </c>
      <c r="I46" s="19" t="e">
        <v>#VALUE!</v>
      </c>
      <c r="J46" s="20" t="e">
        <v>#VALUE!</v>
      </c>
      <c r="K46" s="20" t="e">
        <v>#VALUE!</v>
      </c>
      <c r="L46" s="20" t="e">
        <v>#VALUE!</v>
      </c>
      <c r="M46" s="20" t="e">
        <v>#VALUE!</v>
      </c>
      <c r="N46" s="20" t="e">
        <v>#VALUE!</v>
      </c>
      <c r="O46" s="21" t="e">
        <f>_xll.BondOutstanding(C46)</f>
        <v>#VALUE!</v>
      </c>
      <c r="P46" s="25" t="e">
        <f>_xll.xlBondYieldSensCustom(D46,E46,F46,G46,H46,I46,J46,B46,Q46,$AM$2,$AN$2,$AO$2,$AP$2,$AQ$2,"y")</f>
        <v>#NUM!</v>
      </c>
      <c r="Q46" s="26" t="e">
        <f>_xll.RtGet("IDN",$K46,IF(OR($D46="BTP,$E11=""CTZ"),Q$5,Q$4))</f>
        <v>#VALUE!</v>
      </c>
      <c r="R46" s="27" t="e">
        <f>_xll.RtGet("IDN",$K46,IF(OR($D46="BTP,$E11=""CTZ"),R$5,R$4))</f>
        <v>#VALUE!</v>
      </c>
      <c r="S46" s="28" t="e">
        <f>_xll.xlBondYieldSensCustom(D46,E46,F46,G46,H46,I46,J46,B46,R46,$AM$2,$AN$2,$AO$2,$AP$2,$AQ$2,"y")</f>
        <v>#NUM!</v>
      </c>
      <c r="T46" s="23" t="e">
        <f t="shared" si="4"/>
        <v>#VALUE!</v>
      </c>
      <c r="U46" s="83" t="e">
        <f>_xll.xlBondYieldSensCustom(D46,E46,F46,G46,H46,I46,J46,B46,T46,$AM$2,$AN$2,$AO$2,$AP$2,$AQ$2,"y")</f>
        <v>#NUM!</v>
      </c>
      <c r="V46" s="23"/>
      <c r="W46" s="23" t="e">
        <f t="shared" si="5"/>
        <v>#VALUE!</v>
      </c>
      <c r="X46" s="22"/>
      <c r="Y46" s="22" t="e">
        <f t="shared" si="6"/>
        <v>#NUM!</v>
      </c>
      <c r="Z46" s="23" t="e">
        <f>_xll.xlBondPriceCustom(D46,E46,F46,G46,H46,I46,J46,B46,Y46,$AM$2,$AN$2,$AO$2,$AP$2,$AQ$2)</f>
        <v>#NUM!</v>
      </c>
      <c r="AA46" s="20" t="e">
        <f t="array" ref="AA46:AG46">_xll.xlBondYieldSens(D46,E46,F46,G46,H46,I46,J46,B46,W46,$AA$5&amp;$AB$5&amp;$AC$5&amp;$AD$5&amp;$AE$5&amp;$AF$5&amp;$AG$5)</f>
        <v>#NUM!</v>
      </c>
      <c r="AB46" s="20" t="e">
        <v>#NUM!</v>
      </c>
      <c r="AC46" s="20" t="e">
        <v>#NUM!</v>
      </c>
      <c r="AD46" s="20" t="e">
        <v>#NUM!</v>
      </c>
      <c r="AE46" s="20" t="e">
        <v>#NUM!</v>
      </c>
      <c r="AF46" s="20" t="e">
        <v>#NUM!</v>
      </c>
      <c r="AG46" s="24" t="e">
        <v>#NUM!</v>
      </c>
      <c r="AH46" s="22" t="e">
        <f>_xll.xlBondYieldSensCustom(D46,E46,F46,G46,H46,I46,J46,B46,W46,$AM$2,$AN$2,$AO$2,$AP$2,$AQ$2,"y")</f>
        <v>#NUM!</v>
      </c>
      <c r="AI46" s="22" t="e">
        <f ca="1">IF(TRUE,_xll.xlShmInterpRateFwd("EONIA",_xll.xlDateSettle("target",$B$2,2),0,4,$F46),"")</f>
        <v>#NUM!</v>
      </c>
      <c r="AJ46" s="85" t="e">
        <f t="shared" ca="1" si="7"/>
        <v>#NUM!</v>
      </c>
      <c r="AO46" s="84"/>
    </row>
    <row r="47" spans="1:41" ht="15.75" x14ac:dyDescent="0.25">
      <c r="A47" s="2"/>
      <c r="B47" s="19" t="e">
        <f>MAX(_xll.xlBondValueDate(D47,$B$2),I47)</f>
        <v>#NUM!</v>
      </c>
      <c r="C47" s="20" t="e">
        <v>#N/A</v>
      </c>
      <c r="D47" s="86" t="e">
        <f t="array" ref="D47:N47">_xll.BondInfo(C47,$D$5:$N$5)</f>
        <v>#VALUE!</v>
      </c>
      <c r="E47" s="20" t="e">
        <v>#VALUE!</v>
      </c>
      <c r="F47" s="87" t="e">
        <v>#VALUE!</v>
      </c>
      <c r="G47" s="19" t="e">
        <v>#VALUE!</v>
      </c>
      <c r="H47" s="19" t="e">
        <v>#VALUE!</v>
      </c>
      <c r="I47" s="19" t="e">
        <v>#VALUE!</v>
      </c>
      <c r="J47" s="20" t="e">
        <v>#VALUE!</v>
      </c>
      <c r="K47" s="20" t="e">
        <v>#VALUE!</v>
      </c>
      <c r="L47" s="20" t="e">
        <v>#VALUE!</v>
      </c>
      <c r="M47" s="20" t="e">
        <v>#VALUE!</v>
      </c>
      <c r="N47" s="20" t="e">
        <v>#VALUE!</v>
      </c>
      <c r="O47" s="21" t="e">
        <f>_xll.BondOutstanding(C47)</f>
        <v>#VALUE!</v>
      </c>
      <c r="P47" s="25" t="e">
        <f>_xll.xlBondYieldSensCustom(D47,E47,F47,G47,H47,I47,J47,B47,Q47,$AM$2,$AN$2,$AO$2,$AP$2,$AQ$2,"y")</f>
        <v>#NUM!</v>
      </c>
      <c r="Q47" s="26" t="e">
        <f>_xll.RtGet("IDN",$K47,IF(OR($D47="BTP,$E11=""CTZ"),Q$5,Q$4))</f>
        <v>#VALUE!</v>
      </c>
      <c r="R47" s="27" t="e">
        <f>_xll.RtGet("IDN",$K47,IF(OR($D47="BTP,$E11=""CTZ"),R$5,R$4))</f>
        <v>#VALUE!</v>
      </c>
      <c r="S47" s="28" t="e">
        <f>_xll.xlBondYieldSensCustom(D47,E47,F47,G47,H47,I47,J47,B47,R47,$AM$2,$AN$2,$AO$2,$AP$2,$AQ$2,"y")</f>
        <v>#NUM!</v>
      </c>
      <c r="T47" s="23" t="e">
        <f t="shared" si="4"/>
        <v>#VALUE!</v>
      </c>
      <c r="U47" s="83" t="e">
        <f>_xll.xlBondYieldSensCustom(D47,E47,F47,G47,H47,I47,J47,B47,T47,$AM$2,$AN$2,$AO$2,$AP$2,$AQ$2,"y")</f>
        <v>#NUM!</v>
      </c>
      <c r="V47" s="23"/>
      <c r="W47" s="23" t="e">
        <f t="shared" si="5"/>
        <v>#VALUE!</v>
      </c>
      <c r="X47" s="22"/>
      <c r="Y47" s="22" t="e">
        <f t="shared" si="6"/>
        <v>#NUM!</v>
      </c>
      <c r="Z47" s="23" t="e">
        <f>_xll.xlBondPriceCustom(D47,E47,F47,G47,H47,I47,J47,B47,Y47,$AM$2,$AN$2,$AO$2,$AP$2,$AQ$2)</f>
        <v>#NUM!</v>
      </c>
      <c r="AA47" s="20" t="e">
        <f t="array" ref="AA47:AG47">_xll.xlBondYieldSens(D47,E47,F47,G47,H47,I47,J47,B47,W47,$AA$5&amp;$AB$5&amp;$AC$5&amp;$AD$5&amp;$AE$5&amp;$AF$5&amp;$AG$5)</f>
        <v>#NUM!</v>
      </c>
      <c r="AB47" s="20" t="e">
        <v>#NUM!</v>
      </c>
      <c r="AC47" s="20" t="e">
        <v>#NUM!</v>
      </c>
      <c r="AD47" s="20" t="e">
        <v>#NUM!</v>
      </c>
      <c r="AE47" s="20" t="e">
        <v>#NUM!</v>
      </c>
      <c r="AF47" s="20" t="e">
        <v>#NUM!</v>
      </c>
      <c r="AG47" s="24" t="e">
        <v>#NUM!</v>
      </c>
      <c r="AH47" s="22" t="e">
        <f>_xll.xlBondYieldSensCustom(D47,E47,F47,G47,H47,I47,J47,B47,W47,$AM$2,$AN$2,$AO$2,$AP$2,$AQ$2,"y")</f>
        <v>#NUM!</v>
      </c>
      <c r="AI47" s="22" t="e">
        <f ca="1">IF(TRUE,_xll.xlShmInterpRateFwd("EONIA",_xll.xlDateSettle("target",$B$2,2),0,4,$F47),"")</f>
        <v>#NUM!</v>
      </c>
      <c r="AJ47" s="85" t="e">
        <f t="shared" ca="1" si="7"/>
        <v>#NUM!</v>
      </c>
      <c r="AO47" s="84"/>
    </row>
    <row r="48" spans="1:41" ht="15.75" x14ac:dyDescent="0.25">
      <c r="A48" s="2"/>
      <c r="B48" s="19" t="e">
        <f>MAX(_xll.xlBondValueDate(D48,$B$2),I48)</f>
        <v>#NUM!</v>
      </c>
      <c r="C48" s="20" t="e">
        <v>#N/A</v>
      </c>
      <c r="D48" s="86" t="e">
        <f t="array" ref="D48:N48">_xll.BondInfo(C48,$D$5:$N$5)</f>
        <v>#VALUE!</v>
      </c>
      <c r="E48" s="20" t="e">
        <v>#VALUE!</v>
      </c>
      <c r="F48" s="87" t="e">
        <v>#VALUE!</v>
      </c>
      <c r="G48" s="19" t="e">
        <v>#VALUE!</v>
      </c>
      <c r="H48" s="19" t="e">
        <v>#VALUE!</v>
      </c>
      <c r="I48" s="19" t="e">
        <v>#VALUE!</v>
      </c>
      <c r="J48" s="20" t="e">
        <v>#VALUE!</v>
      </c>
      <c r="K48" s="20" t="e">
        <v>#VALUE!</v>
      </c>
      <c r="L48" s="20" t="e">
        <v>#VALUE!</v>
      </c>
      <c r="M48" s="20" t="e">
        <v>#VALUE!</v>
      </c>
      <c r="N48" s="20" t="e">
        <v>#VALUE!</v>
      </c>
      <c r="O48" s="21" t="e">
        <f>_xll.BondOutstanding(C48)</f>
        <v>#VALUE!</v>
      </c>
      <c r="P48" s="25" t="e">
        <f>_xll.xlBondYieldSensCustom(D48,E48,F48,G48,H48,I48,J48,B48,Q48,$AM$2,$AN$2,$AO$2,$AP$2,$AQ$2,"y")</f>
        <v>#NUM!</v>
      </c>
      <c r="Q48" s="26" t="e">
        <f>_xll.RtGet("IDN",$K48,IF(OR($D48="BTP,$E11=""CTZ"),Q$5,Q$4))</f>
        <v>#VALUE!</v>
      </c>
      <c r="R48" s="27" t="e">
        <f>_xll.RtGet("IDN",$K48,IF(OR($D48="BTP,$E11=""CTZ"),R$5,R$4))</f>
        <v>#VALUE!</v>
      </c>
      <c r="S48" s="28" t="e">
        <f>_xll.xlBondYieldSensCustom(D48,E48,F48,G48,H48,I48,J48,B48,R48,$AM$2,$AN$2,$AO$2,$AP$2,$AQ$2,"y")</f>
        <v>#NUM!</v>
      </c>
      <c r="T48" s="23" t="e">
        <f t="shared" si="4"/>
        <v>#VALUE!</v>
      </c>
      <c r="U48" s="83" t="e">
        <f>_xll.xlBondYieldSensCustom(D48,E48,F48,G48,H48,I48,J48,B48,T48,$AM$2,$AN$2,$AO$2,$AP$2,$AQ$2,"y")</f>
        <v>#NUM!</v>
      </c>
      <c r="V48" s="23"/>
      <c r="W48" s="23" t="e">
        <f t="shared" si="5"/>
        <v>#VALUE!</v>
      </c>
      <c r="X48" s="22"/>
      <c r="Y48" s="22" t="e">
        <f t="shared" si="6"/>
        <v>#NUM!</v>
      </c>
      <c r="Z48" s="23" t="e">
        <f>_xll.xlBondPriceCustom(D48,E48,F48,G48,H48,I48,J48,B48,Y48,$AM$2,$AN$2,$AO$2,$AP$2,$AQ$2)</f>
        <v>#NUM!</v>
      </c>
      <c r="AA48" s="20" t="e">
        <f t="array" ref="AA48:AG48">_xll.xlBondYieldSens(D48,E48,F48,G48,H48,I48,J48,B48,W48,$AA$5&amp;$AB$5&amp;$AC$5&amp;$AD$5&amp;$AE$5&amp;$AF$5&amp;$AG$5)</f>
        <v>#NUM!</v>
      </c>
      <c r="AB48" s="20" t="e">
        <v>#NUM!</v>
      </c>
      <c r="AC48" s="20" t="e">
        <v>#NUM!</v>
      </c>
      <c r="AD48" s="20" t="e">
        <v>#NUM!</v>
      </c>
      <c r="AE48" s="20" t="e">
        <v>#NUM!</v>
      </c>
      <c r="AF48" s="20" t="e">
        <v>#NUM!</v>
      </c>
      <c r="AG48" s="24" t="e">
        <v>#NUM!</v>
      </c>
      <c r="AH48" s="22" t="e">
        <f>_xll.xlBondYieldSensCustom(D48,E48,F48,G48,H48,I48,J48,B48,W48,$AM$2,$AN$2,$AO$2,$AP$2,$AQ$2,"y")</f>
        <v>#NUM!</v>
      </c>
      <c r="AI48" s="22" t="e">
        <f ca="1">IF(TRUE,_xll.xlShmInterpRateFwd("EONIA",_xll.xlDateSettle("target",$B$2,2),0,4,$F48),"")</f>
        <v>#NUM!</v>
      </c>
      <c r="AJ48" s="85" t="e">
        <f t="shared" ca="1" si="7"/>
        <v>#NUM!</v>
      </c>
      <c r="AO48" s="84"/>
    </row>
    <row r="49" spans="1:41" ht="15.75" x14ac:dyDescent="0.25">
      <c r="A49" s="2"/>
      <c r="B49" s="19" t="e">
        <f>MAX(_xll.xlBondValueDate(D49,$B$2),I49)</f>
        <v>#NUM!</v>
      </c>
      <c r="C49" s="20" t="e">
        <v>#N/A</v>
      </c>
      <c r="D49" s="86" t="e">
        <f t="array" ref="D49:N49">_xll.BondInfo(C49,$D$5:$N$5)</f>
        <v>#VALUE!</v>
      </c>
      <c r="E49" s="20" t="e">
        <v>#VALUE!</v>
      </c>
      <c r="F49" s="87" t="e">
        <v>#VALUE!</v>
      </c>
      <c r="G49" s="19" t="e">
        <v>#VALUE!</v>
      </c>
      <c r="H49" s="19" t="e">
        <v>#VALUE!</v>
      </c>
      <c r="I49" s="19" t="e">
        <v>#VALUE!</v>
      </c>
      <c r="J49" s="20" t="e">
        <v>#VALUE!</v>
      </c>
      <c r="K49" s="20" t="e">
        <v>#VALUE!</v>
      </c>
      <c r="L49" s="20" t="e">
        <v>#VALUE!</v>
      </c>
      <c r="M49" s="20" t="e">
        <v>#VALUE!</v>
      </c>
      <c r="N49" s="20" t="e">
        <v>#VALUE!</v>
      </c>
      <c r="O49" s="21" t="e">
        <f>_xll.BondOutstanding(C49)</f>
        <v>#VALUE!</v>
      </c>
      <c r="P49" s="25" t="e">
        <f>_xll.xlBondYieldSensCustom(D49,E49,F49,G49,H49,I49,J49,B49,Q49,$AM$2,$AN$2,$AO$2,$AP$2,$AQ$2,"y")</f>
        <v>#NUM!</v>
      </c>
      <c r="Q49" s="26" t="e">
        <f>_xll.RtGet("IDN",$K49,IF(OR($D49="BTP,$E11=""CTZ"),Q$5,Q$4))</f>
        <v>#VALUE!</v>
      </c>
      <c r="R49" s="27" t="e">
        <f>_xll.RtGet("IDN",$K49,IF(OR($D49="BTP,$E11=""CTZ"),R$5,R$4))</f>
        <v>#VALUE!</v>
      </c>
      <c r="S49" s="28" t="e">
        <f>_xll.xlBondYieldSensCustom(D49,E49,F49,G49,H49,I49,J49,B49,R49,$AM$2,$AN$2,$AO$2,$AP$2,$AQ$2,"y")</f>
        <v>#NUM!</v>
      </c>
      <c r="T49" s="23" t="e">
        <f t="shared" si="4"/>
        <v>#VALUE!</v>
      </c>
      <c r="U49" s="83" t="e">
        <f>_xll.xlBondYieldSensCustom(D49,E49,F49,G49,H49,I49,J49,B49,T49,$AM$2,$AN$2,$AO$2,$AP$2,$AQ$2,"y")</f>
        <v>#NUM!</v>
      </c>
      <c r="V49" s="23"/>
      <c r="W49" s="23" t="e">
        <f t="shared" si="5"/>
        <v>#VALUE!</v>
      </c>
      <c r="X49" s="22"/>
      <c r="Y49" s="22" t="e">
        <f t="shared" si="6"/>
        <v>#NUM!</v>
      </c>
      <c r="Z49" s="23" t="e">
        <f>_xll.xlBondPriceCustom(D49,E49,F49,G49,H49,I49,J49,B49,Y49,$AM$2,$AN$2,$AO$2,$AP$2,$AQ$2)</f>
        <v>#NUM!</v>
      </c>
      <c r="AA49" s="20" t="e">
        <f t="array" ref="AA49:AG49">_xll.xlBondYieldSens(D49,E49,F49,G49,H49,I49,J49,B49,W49,$AA$5&amp;$AB$5&amp;$AC$5&amp;$AD$5&amp;$AE$5&amp;$AF$5&amp;$AG$5)</f>
        <v>#NUM!</v>
      </c>
      <c r="AB49" s="20" t="e">
        <v>#NUM!</v>
      </c>
      <c r="AC49" s="20" t="e">
        <v>#NUM!</v>
      </c>
      <c r="AD49" s="20" t="e">
        <v>#NUM!</v>
      </c>
      <c r="AE49" s="20" t="e">
        <v>#NUM!</v>
      </c>
      <c r="AF49" s="20" t="e">
        <v>#NUM!</v>
      </c>
      <c r="AG49" s="24" t="e">
        <v>#NUM!</v>
      </c>
      <c r="AH49" s="22" t="e">
        <f>_xll.xlBondYieldSensCustom(D49,E49,F49,G49,H49,I49,J49,B49,W49,$AM$2,$AN$2,$AO$2,$AP$2,$AQ$2,"y")</f>
        <v>#NUM!</v>
      </c>
      <c r="AI49" s="22" t="e">
        <f ca="1">IF(TRUE,_xll.xlShmInterpRateFwd("EONIA",_xll.xlDateSettle("target",$B$2,2),0,4,$F49),"")</f>
        <v>#NUM!</v>
      </c>
      <c r="AJ49" s="85" t="e">
        <f t="shared" ca="1" si="7"/>
        <v>#NUM!</v>
      </c>
      <c r="AO49" s="84"/>
    </row>
    <row r="50" spans="1:41" ht="15.75" x14ac:dyDescent="0.25">
      <c r="A50" s="2"/>
      <c r="B50" s="19" t="e">
        <f>MAX(_xll.xlBondValueDate(D50,$B$2),I50)</f>
        <v>#NUM!</v>
      </c>
      <c r="C50" s="20" t="e">
        <v>#N/A</v>
      </c>
      <c r="D50" s="86" t="e">
        <f t="array" ref="D50:N50">_xll.BondInfo(C50,$D$5:$N$5)</f>
        <v>#VALUE!</v>
      </c>
      <c r="E50" s="20" t="e">
        <v>#VALUE!</v>
      </c>
      <c r="F50" s="87" t="e">
        <v>#VALUE!</v>
      </c>
      <c r="G50" s="19" t="e">
        <v>#VALUE!</v>
      </c>
      <c r="H50" s="19" t="e">
        <v>#VALUE!</v>
      </c>
      <c r="I50" s="19" t="e">
        <v>#VALUE!</v>
      </c>
      <c r="J50" s="20" t="e">
        <v>#VALUE!</v>
      </c>
      <c r="K50" s="20" t="e">
        <v>#VALUE!</v>
      </c>
      <c r="L50" s="20" t="e">
        <v>#VALUE!</v>
      </c>
      <c r="M50" s="20" t="e">
        <v>#VALUE!</v>
      </c>
      <c r="N50" s="20" t="e">
        <v>#VALUE!</v>
      </c>
      <c r="O50" s="21" t="e">
        <f>_xll.BondOutstanding(C50)</f>
        <v>#VALUE!</v>
      </c>
      <c r="P50" s="25" t="e">
        <f>_xll.xlBondYieldSensCustom(D50,E50,F50,G50,H50,I50,J50,B50,Q50,$AM$2,$AN$2,$AO$2,$AP$2,$AQ$2,"y")</f>
        <v>#NUM!</v>
      </c>
      <c r="Q50" s="26" t="e">
        <f>_xll.RtGet("IDN",$K50,IF(OR($D50="BTP,$E11=""CTZ"),Q$5,Q$4))</f>
        <v>#VALUE!</v>
      </c>
      <c r="R50" s="27" t="e">
        <f>_xll.RtGet("IDN",$K50,IF(OR($D50="BTP,$E11=""CTZ"),R$5,R$4))</f>
        <v>#VALUE!</v>
      </c>
      <c r="S50" s="28" t="e">
        <f>_xll.xlBondYieldSensCustom(D50,E50,F50,G50,H50,I50,J50,B50,R50,$AM$2,$AN$2,$AO$2,$AP$2,$AQ$2,"y")</f>
        <v>#NUM!</v>
      </c>
      <c r="T50" s="23" t="e">
        <f t="shared" si="4"/>
        <v>#VALUE!</v>
      </c>
      <c r="U50" s="83" t="e">
        <f>_xll.xlBondYieldSensCustom(D50,E50,F50,G50,H50,I50,J50,B50,T50,$AM$2,$AN$2,$AO$2,$AP$2,$AQ$2,"y")</f>
        <v>#NUM!</v>
      </c>
      <c r="V50" s="23"/>
      <c r="W50" s="23" t="e">
        <f t="shared" si="5"/>
        <v>#VALUE!</v>
      </c>
      <c r="X50" s="22"/>
      <c r="Y50" s="22" t="e">
        <f t="shared" si="6"/>
        <v>#NUM!</v>
      </c>
      <c r="Z50" s="23" t="e">
        <f>_xll.xlBondPriceCustom(D50,E50,F50,G50,H50,I50,J50,B50,Y50,$AM$2,$AN$2,$AO$2,$AP$2,$AQ$2)</f>
        <v>#NUM!</v>
      </c>
      <c r="AA50" s="20" t="e">
        <f t="array" ref="AA50:AG50">_xll.xlBondYieldSens(D50,E50,F50,G50,H50,I50,J50,B50,W50,$AA$5&amp;$AB$5&amp;$AC$5&amp;$AD$5&amp;$AE$5&amp;$AF$5&amp;$AG$5)</f>
        <v>#NUM!</v>
      </c>
      <c r="AB50" s="20" t="e">
        <v>#NUM!</v>
      </c>
      <c r="AC50" s="20" t="e">
        <v>#NUM!</v>
      </c>
      <c r="AD50" s="20" t="e">
        <v>#NUM!</v>
      </c>
      <c r="AE50" s="20" t="e">
        <v>#NUM!</v>
      </c>
      <c r="AF50" s="20" t="e">
        <v>#NUM!</v>
      </c>
      <c r="AG50" s="24" t="e">
        <v>#NUM!</v>
      </c>
      <c r="AH50" s="22" t="e">
        <f>_xll.xlBondYieldSensCustom(D50,E50,F50,G50,H50,I50,J50,B50,W50,$AM$2,$AN$2,$AO$2,$AP$2,$AQ$2,"y")</f>
        <v>#NUM!</v>
      </c>
      <c r="AI50" s="22" t="e">
        <f ca="1">IF(TRUE,_xll.xlShmInterpRateFwd("EONIA",_xll.xlDateSettle("target",$B$2,2),0,4,$F50),"")</f>
        <v>#NUM!</v>
      </c>
      <c r="AJ50" s="85" t="e">
        <f t="shared" ca="1" si="7"/>
        <v>#NUM!</v>
      </c>
      <c r="AO50" s="84"/>
    </row>
    <row r="51" spans="1:41" ht="15.75" x14ac:dyDescent="0.25">
      <c r="A51" s="2"/>
      <c r="B51" s="19" t="e">
        <f>MAX(_xll.xlBondValueDate(D51,$B$2),I51)</f>
        <v>#NUM!</v>
      </c>
      <c r="C51" s="20" t="e">
        <v>#N/A</v>
      </c>
      <c r="D51" s="86" t="e">
        <f t="array" ref="D51:N51">_xll.BondInfo(C51,$D$5:$N$5)</f>
        <v>#VALUE!</v>
      </c>
      <c r="E51" s="20" t="e">
        <v>#VALUE!</v>
      </c>
      <c r="F51" s="87" t="e">
        <v>#VALUE!</v>
      </c>
      <c r="G51" s="19" t="e">
        <v>#VALUE!</v>
      </c>
      <c r="H51" s="19" t="e">
        <v>#VALUE!</v>
      </c>
      <c r="I51" s="19" t="e">
        <v>#VALUE!</v>
      </c>
      <c r="J51" s="20" t="e">
        <v>#VALUE!</v>
      </c>
      <c r="K51" s="20" t="e">
        <v>#VALUE!</v>
      </c>
      <c r="L51" s="20" t="e">
        <v>#VALUE!</v>
      </c>
      <c r="M51" s="20" t="e">
        <v>#VALUE!</v>
      </c>
      <c r="N51" s="20" t="e">
        <v>#VALUE!</v>
      </c>
      <c r="O51" s="21" t="e">
        <f>_xll.BondOutstanding(C51)</f>
        <v>#VALUE!</v>
      </c>
      <c r="P51" s="25" t="e">
        <f>_xll.xlBondYieldSensCustom(D51,E51,F51,G51,H51,I51,J51,B51,Q51,$AM$2,$AN$2,$AO$2,$AP$2,$AQ$2,"y")</f>
        <v>#NUM!</v>
      </c>
      <c r="Q51" s="26" t="e">
        <f>_xll.RtGet("IDN",$K51,IF(OR($D51="BTP,$E11=""CTZ"),Q$5,Q$4))</f>
        <v>#VALUE!</v>
      </c>
      <c r="R51" s="27" t="e">
        <f>_xll.RtGet("IDN",$K51,IF(OR($D51="BTP,$E11=""CTZ"),R$5,R$4))</f>
        <v>#VALUE!</v>
      </c>
      <c r="S51" s="28" t="e">
        <f>_xll.xlBondYieldSensCustom(D51,E51,F51,G51,H51,I51,J51,B51,R51,$AM$2,$AN$2,$AO$2,$AP$2,$AQ$2,"y")</f>
        <v>#NUM!</v>
      </c>
      <c r="T51" s="23" t="e">
        <f t="shared" si="4"/>
        <v>#VALUE!</v>
      </c>
      <c r="U51" s="83" t="e">
        <f>_xll.xlBondYieldSensCustom(D51,E51,F51,G51,H51,I51,J51,B51,T51,$AM$2,$AN$2,$AO$2,$AP$2,$AQ$2,"y")</f>
        <v>#NUM!</v>
      </c>
      <c r="V51" s="23"/>
      <c r="W51" s="23" t="e">
        <f t="shared" si="5"/>
        <v>#VALUE!</v>
      </c>
      <c r="X51" s="22"/>
      <c r="Y51" s="22" t="e">
        <f t="shared" si="6"/>
        <v>#NUM!</v>
      </c>
      <c r="Z51" s="23" t="e">
        <f>_xll.xlBondPriceCustom(D51,E51,F51,G51,H51,I51,J51,B51,Y51,$AM$2,$AN$2,$AO$2,$AP$2,$AQ$2)</f>
        <v>#NUM!</v>
      </c>
      <c r="AA51" s="20" t="e">
        <f t="array" ref="AA51:AG51">_xll.xlBondYieldSens(D51,E51,F51,G51,H51,I51,J51,B51,W51,$AA$5&amp;$AB$5&amp;$AC$5&amp;$AD$5&amp;$AE$5&amp;$AF$5&amp;$AG$5)</f>
        <v>#NUM!</v>
      </c>
      <c r="AB51" s="20" t="e">
        <v>#NUM!</v>
      </c>
      <c r="AC51" s="20" t="e">
        <v>#NUM!</v>
      </c>
      <c r="AD51" s="20" t="e">
        <v>#NUM!</v>
      </c>
      <c r="AE51" s="20" t="e">
        <v>#NUM!</v>
      </c>
      <c r="AF51" s="20" t="e">
        <v>#NUM!</v>
      </c>
      <c r="AG51" s="24" t="e">
        <v>#NUM!</v>
      </c>
      <c r="AH51" s="22" t="e">
        <f>_xll.xlBondYieldSensCustom(D51,E51,F51,G51,H51,I51,J51,B51,W51,$AM$2,$AN$2,$AO$2,$AP$2,$AQ$2,"y")</f>
        <v>#NUM!</v>
      </c>
      <c r="AI51" s="22" t="e">
        <f ca="1">IF(TRUE,_xll.xlShmInterpRateFwd("EONIA",_xll.xlDateSettle("target",$B$2,2),0,4,$F51),"")</f>
        <v>#NUM!</v>
      </c>
      <c r="AJ51" s="85" t="e">
        <f t="shared" ca="1" si="7"/>
        <v>#NUM!</v>
      </c>
      <c r="AO51" s="84"/>
    </row>
    <row r="52" spans="1:41" ht="15.75" x14ac:dyDescent="0.25">
      <c r="A52" s="2"/>
      <c r="B52" s="19" t="e">
        <f>MAX(_xll.xlBondValueDate(D52,$B$2),I52)</f>
        <v>#NUM!</v>
      </c>
      <c r="C52" s="20" t="e">
        <v>#N/A</v>
      </c>
      <c r="D52" s="86" t="e">
        <f t="array" ref="D52:N52">_xll.BondInfo(C52,$D$5:$N$5)</f>
        <v>#VALUE!</v>
      </c>
      <c r="E52" s="20" t="e">
        <v>#VALUE!</v>
      </c>
      <c r="F52" s="87" t="e">
        <v>#VALUE!</v>
      </c>
      <c r="G52" s="19" t="e">
        <v>#VALUE!</v>
      </c>
      <c r="H52" s="19" t="e">
        <v>#VALUE!</v>
      </c>
      <c r="I52" s="19" t="e">
        <v>#VALUE!</v>
      </c>
      <c r="J52" s="20" t="e">
        <v>#VALUE!</v>
      </c>
      <c r="K52" s="20" t="e">
        <v>#VALUE!</v>
      </c>
      <c r="L52" s="20" t="e">
        <v>#VALUE!</v>
      </c>
      <c r="M52" s="20" t="e">
        <v>#VALUE!</v>
      </c>
      <c r="N52" s="20" t="e">
        <v>#VALUE!</v>
      </c>
      <c r="O52" s="21" t="e">
        <f>_xll.BondOutstanding(C52)</f>
        <v>#VALUE!</v>
      </c>
      <c r="P52" s="25" t="e">
        <f>_xll.xlBondYieldSensCustom(D52,E52,F52,G52,H52,I52,J52,B52,Q52,$AM$2,$AN$2,$AO$2,$AP$2,$AQ$2,"y")</f>
        <v>#NUM!</v>
      </c>
      <c r="Q52" s="26" t="e">
        <f>_xll.RtGet("IDN",$K52,IF(OR($D52="BTP,$E11=""CTZ"),Q$5,Q$4))</f>
        <v>#VALUE!</v>
      </c>
      <c r="R52" s="27" t="e">
        <f>_xll.RtGet("IDN",$K52,IF(OR($D52="BTP,$E11=""CTZ"),R$5,R$4))</f>
        <v>#VALUE!</v>
      </c>
      <c r="S52" s="28" t="e">
        <f>_xll.xlBondYieldSensCustom(D52,E52,F52,G52,H52,I52,J52,B52,R52,$AM$2,$AN$2,$AO$2,$AP$2,$AQ$2,"y")</f>
        <v>#NUM!</v>
      </c>
      <c r="T52" s="23" t="e">
        <f t="shared" si="4"/>
        <v>#VALUE!</v>
      </c>
      <c r="U52" s="83" t="e">
        <f>_xll.xlBondYieldSensCustom(D52,E52,F52,G52,H52,I52,J52,B52,T52,$AM$2,$AN$2,$AO$2,$AP$2,$AQ$2,"y")</f>
        <v>#NUM!</v>
      </c>
      <c r="V52" s="23"/>
      <c r="W52" s="23" t="e">
        <f t="shared" si="5"/>
        <v>#VALUE!</v>
      </c>
      <c r="X52" s="22"/>
      <c r="Y52" s="22" t="e">
        <f t="shared" si="6"/>
        <v>#NUM!</v>
      </c>
      <c r="Z52" s="23" t="e">
        <f>_xll.xlBondPriceCustom(D52,E52,F52,G52,H52,I52,J52,B52,Y52,$AM$2,$AN$2,$AO$2,$AP$2,$AQ$2)</f>
        <v>#NUM!</v>
      </c>
      <c r="AA52" s="20" t="e">
        <f t="array" ref="AA52:AG52">_xll.xlBondYieldSens(D52,E52,F52,G52,H52,I52,J52,B52,W52,$AA$5&amp;$AB$5&amp;$AC$5&amp;$AD$5&amp;$AE$5&amp;$AF$5&amp;$AG$5)</f>
        <v>#NUM!</v>
      </c>
      <c r="AB52" s="20" t="e">
        <v>#NUM!</v>
      </c>
      <c r="AC52" s="20" t="e">
        <v>#NUM!</v>
      </c>
      <c r="AD52" s="20" t="e">
        <v>#NUM!</v>
      </c>
      <c r="AE52" s="20" t="e">
        <v>#NUM!</v>
      </c>
      <c r="AF52" s="20" t="e">
        <v>#NUM!</v>
      </c>
      <c r="AG52" s="24" t="e">
        <v>#NUM!</v>
      </c>
      <c r="AH52" s="22" t="e">
        <f>_xll.xlBondYieldSensCustom(D52,E52,F52,G52,H52,I52,J52,B52,W52,$AM$2,$AN$2,$AO$2,$AP$2,$AQ$2,"y")</f>
        <v>#NUM!</v>
      </c>
      <c r="AI52" s="22" t="e">
        <f ca="1">IF(TRUE,_xll.xlShmInterpRateFwd("EONIA",_xll.xlDateSettle("target",$B$2,2),0,4,$F52),"")</f>
        <v>#NUM!</v>
      </c>
      <c r="AJ52" s="85" t="e">
        <f t="shared" ca="1" si="7"/>
        <v>#NUM!</v>
      </c>
      <c r="AO52" s="84"/>
    </row>
    <row r="53" spans="1:41" ht="15.75" x14ac:dyDescent="0.25">
      <c r="A53" s="2"/>
      <c r="B53" s="19" t="e">
        <f>MAX(_xll.xlBondValueDate(D53,$B$2),I53)</f>
        <v>#NUM!</v>
      </c>
      <c r="C53" s="20" t="e">
        <v>#N/A</v>
      </c>
      <c r="D53" s="86" t="e">
        <f t="array" ref="D53:N53">_xll.BondInfo(C53,$D$5:$N$5)</f>
        <v>#VALUE!</v>
      </c>
      <c r="E53" s="20" t="e">
        <v>#VALUE!</v>
      </c>
      <c r="F53" s="87" t="e">
        <v>#VALUE!</v>
      </c>
      <c r="G53" s="19" t="e">
        <v>#VALUE!</v>
      </c>
      <c r="H53" s="19" t="e">
        <v>#VALUE!</v>
      </c>
      <c r="I53" s="19" t="e">
        <v>#VALUE!</v>
      </c>
      <c r="J53" s="20" t="e">
        <v>#VALUE!</v>
      </c>
      <c r="K53" s="20" t="e">
        <v>#VALUE!</v>
      </c>
      <c r="L53" s="20" t="e">
        <v>#VALUE!</v>
      </c>
      <c r="M53" s="20" t="e">
        <v>#VALUE!</v>
      </c>
      <c r="N53" s="20" t="e">
        <v>#VALUE!</v>
      </c>
      <c r="O53" s="21" t="e">
        <f>_xll.BondOutstanding(C53)</f>
        <v>#VALUE!</v>
      </c>
      <c r="P53" s="25" t="e">
        <f>_xll.xlBondYieldSensCustom(D53,E53,F53,G53,H53,I53,J53,B53,Q53,$AM$2,$AN$2,$AO$2,$AP$2,$AQ$2,"y")</f>
        <v>#NUM!</v>
      </c>
      <c r="Q53" s="26" t="e">
        <f>_xll.RtGet("IDN",$K53,IF(OR($D53="BTP,$E11=""CTZ"),Q$5,Q$4))</f>
        <v>#VALUE!</v>
      </c>
      <c r="R53" s="27" t="e">
        <f>_xll.RtGet("IDN",$K53,IF(OR($D53="BTP,$E11=""CTZ"),R$5,R$4))</f>
        <v>#VALUE!</v>
      </c>
      <c r="S53" s="28" t="e">
        <f>_xll.xlBondYieldSensCustom(D53,E53,F53,G53,H53,I53,J53,B53,R53,$AM$2,$AN$2,$AO$2,$AP$2,$AQ$2,"y")</f>
        <v>#NUM!</v>
      </c>
      <c r="T53" s="23" t="e">
        <f t="shared" si="4"/>
        <v>#VALUE!</v>
      </c>
      <c r="U53" s="83" t="e">
        <f>_xll.xlBondYieldSensCustom(D53,E53,F53,G53,H53,I53,J53,B53,T53,$AM$2,$AN$2,$AO$2,$AP$2,$AQ$2,"y")</f>
        <v>#NUM!</v>
      </c>
      <c r="V53" s="23"/>
      <c r="W53" s="23" t="e">
        <f t="shared" si="5"/>
        <v>#VALUE!</v>
      </c>
      <c r="X53" s="22"/>
      <c r="Y53" s="22" t="e">
        <f t="shared" si="6"/>
        <v>#NUM!</v>
      </c>
      <c r="Z53" s="23" t="e">
        <f>_xll.xlBondPriceCustom(D53,E53,F53,G53,H53,I53,J53,B53,Y53,$AM$2,$AN$2,$AO$2,$AP$2,$AQ$2)</f>
        <v>#NUM!</v>
      </c>
      <c r="AA53" s="20" t="e">
        <f t="array" ref="AA53:AG53">_xll.xlBondYieldSens(D53,E53,F53,G53,H53,I53,J53,B53,W53,$AA$5&amp;$AB$5&amp;$AC$5&amp;$AD$5&amp;$AE$5&amp;$AF$5&amp;$AG$5)</f>
        <v>#NUM!</v>
      </c>
      <c r="AB53" s="20" t="e">
        <v>#NUM!</v>
      </c>
      <c r="AC53" s="20" t="e">
        <v>#NUM!</v>
      </c>
      <c r="AD53" s="20" t="e">
        <v>#NUM!</v>
      </c>
      <c r="AE53" s="20" t="e">
        <v>#NUM!</v>
      </c>
      <c r="AF53" s="20" t="e">
        <v>#NUM!</v>
      </c>
      <c r="AG53" s="24" t="e">
        <v>#NUM!</v>
      </c>
      <c r="AH53" s="22" t="e">
        <f>_xll.xlBondYieldSensCustom(D53,E53,F53,G53,H53,I53,J53,B53,W53,$AM$2,$AN$2,$AO$2,$AP$2,$AQ$2,"y")</f>
        <v>#NUM!</v>
      </c>
      <c r="AI53" s="22" t="e">
        <f ca="1">IF(TRUE,_xll.xlShmInterpRateFwd("EONIA",_xll.xlDateSettle("target",$B$2,2),0,4,$F53),"")</f>
        <v>#NUM!</v>
      </c>
      <c r="AJ53" s="85" t="e">
        <f t="shared" ca="1" si="7"/>
        <v>#NUM!</v>
      </c>
      <c r="AO53" s="84"/>
    </row>
    <row r="54" spans="1:41" ht="15.75" x14ac:dyDescent="0.25">
      <c r="A54" s="2"/>
      <c r="B54" s="19" t="e">
        <f>MAX(_xll.xlBondValueDate(D54,$B$2),I54)</f>
        <v>#NUM!</v>
      </c>
      <c r="C54" s="20" t="e">
        <v>#N/A</v>
      </c>
      <c r="D54" s="86" t="e">
        <f t="array" ref="D54:N54">_xll.BondInfo(C54,$D$5:$N$5)</f>
        <v>#VALUE!</v>
      </c>
      <c r="E54" s="20" t="e">
        <v>#VALUE!</v>
      </c>
      <c r="F54" s="87" t="e">
        <v>#VALUE!</v>
      </c>
      <c r="G54" s="19" t="e">
        <v>#VALUE!</v>
      </c>
      <c r="H54" s="19" t="e">
        <v>#VALUE!</v>
      </c>
      <c r="I54" s="19" t="e">
        <v>#VALUE!</v>
      </c>
      <c r="J54" s="20" t="e">
        <v>#VALUE!</v>
      </c>
      <c r="K54" s="20" t="e">
        <v>#VALUE!</v>
      </c>
      <c r="L54" s="20" t="e">
        <v>#VALUE!</v>
      </c>
      <c r="M54" s="20" t="e">
        <v>#VALUE!</v>
      </c>
      <c r="N54" s="20" t="e">
        <v>#VALUE!</v>
      </c>
      <c r="O54" s="21" t="e">
        <f>_xll.BondOutstanding(C54)</f>
        <v>#VALUE!</v>
      </c>
      <c r="P54" s="25" t="e">
        <f>_xll.xlBondYieldSensCustom(D54,E54,F54,G54,H54,I54,J54,B54,Q54,$AM$2,$AN$2,$AO$2,$AP$2,$AQ$2,"y")</f>
        <v>#NUM!</v>
      </c>
      <c r="Q54" s="26" t="e">
        <f>_xll.RtGet("IDN",$K54,IF(OR($D54="BTP,$E11=""CTZ"),Q$5,Q$4))</f>
        <v>#VALUE!</v>
      </c>
      <c r="R54" s="27" t="e">
        <f>_xll.RtGet("IDN",$K54,IF(OR($D54="BTP,$E11=""CTZ"),R$5,R$4))</f>
        <v>#VALUE!</v>
      </c>
      <c r="S54" s="28" t="e">
        <f>_xll.xlBondYieldSensCustom(D54,E54,F54,G54,H54,I54,J54,B54,R54,$AM$2,$AN$2,$AO$2,$AP$2,$AQ$2,"y")</f>
        <v>#NUM!</v>
      </c>
      <c r="T54" s="23" t="e">
        <f t="shared" si="4"/>
        <v>#VALUE!</v>
      </c>
      <c r="U54" s="83" t="e">
        <f>_xll.xlBondYieldSensCustom(D54,E54,F54,G54,H54,I54,J54,B54,T54,$AM$2,$AN$2,$AO$2,$AP$2,$AQ$2,"y")</f>
        <v>#NUM!</v>
      </c>
      <c r="V54" s="23"/>
      <c r="W54" s="23" t="e">
        <f t="shared" si="5"/>
        <v>#VALUE!</v>
      </c>
      <c r="X54" s="22"/>
      <c r="Y54" s="22" t="e">
        <f t="shared" si="6"/>
        <v>#NUM!</v>
      </c>
      <c r="Z54" s="23" t="e">
        <f>_xll.xlBondPriceCustom(D54,E54,F54,G54,H54,I54,J54,B54,Y54,$AM$2,$AN$2,$AO$2,$AP$2,$AQ$2)</f>
        <v>#NUM!</v>
      </c>
      <c r="AA54" s="20" t="e">
        <f t="array" ref="AA54:AG54">_xll.xlBondYieldSens(D54,E54,F54,G54,H54,I54,J54,B54,W54,$AA$5&amp;$AB$5&amp;$AC$5&amp;$AD$5&amp;$AE$5&amp;$AF$5&amp;$AG$5)</f>
        <v>#NUM!</v>
      </c>
      <c r="AB54" s="20" t="e">
        <v>#NUM!</v>
      </c>
      <c r="AC54" s="20" t="e">
        <v>#NUM!</v>
      </c>
      <c r="AD54" s="20" t="e">
        <v>#NUM!</v>
      </c>
      <c r="AE54" s="20" t="e">
        <v>#NUM!</v>
      </c>
      <c r="AF54" s="20" t="e">
        <v>#NUM!</v>
      </c>
      <c r="AG54" s="24" t="e">
        <v>#NUM!</v>
      </c>
      <c r="AH54" s="22" t="e">
        <f>_xll.xlBondYieldSensCustom(D54,E54,F54,G54,H54,I54,J54,B54,W54,$AM$2,$AN$2,$AO$2,$AP$2,$AQ$2,"y")</f>
        <v>#NUM!</v>
      </c>
      <c r="AI54" s="22" t="e">
        <f ca="1">IF(TRUE,_xll.xlShmInterpRateFwd("EONIA",_xll.xlDateSettle("target",$B$2,2),0,4,$F54),"")</f>
        <v>#NUM!</v>
      </c>
      <c r="AJ54" s="85" t="e">
        <f t="shared" ca="1" si="7"/>
        <v>#NUM!</v>
      </c>
      <c r="AO54" s="84"/>
    </row>
    <row r="55" spans="1:41" ht="15.75" x14ac:dyDescent="0.25">
      <c r="A55" s="2"/>
      <c r="B55" s="19" t="e">
        <f>MAX(_xll.xlBondValueDate(D55,$B$2),I55)</f>
        <v>#NUM!</v>
      </c>
      <c r="C55" s="20" t="e">
        <v>#N/A</v>
      </c>
      <c r="D55" s="86" t="e">
        <f t="array" ref="D55:N55">_xll.BondInfo(C55,$D$5:$N$5)</f>
        <v>#VALUE!</v>
      </c>
      <c r="E55" s="20" t="e">
        <v>#VALUE!</v>
      </c>
      <c r="F55" s="87" t="e">
        <v>#VALUE!</v>
      </c>
      <c r="G55" s="19" t="e">
        <v>#VALUE!</v>
      </c>
      <c r="H55" s="19" t="e">
        <v>#VALUE!</v>
      </c>
      <c r="I55" s="19" t="e">
        <v>#VALUE!</v>
      </c>
      <c r="J55" s="20" t="e">
        <v>#VALUE!</v>
      </c>
      <c r="K55" s="20" t="e">
        <v>#VALUE!</v>
      </c>
      <c r="L55" s="20" t="e">
        <v>#VALUE!</v>
      </c>
      <c r="M55" s="20" t="e">
        <v>#VALUE!</v>
      </c>
      <c r="N55" s="20" t="e">
        <v>#VALUE!</v>
      </c>
      <c r="O55" s="21" t="e">
        <f>_xll.BondOutstanding(C55)</f>
        <v>#VALUE!</v>
      </c>
      <c r="P55" s="25" t="e">
        <f>_xll.xlBondYieldSensCustom(D55,E55,F55,G55,H55,I55,J55,B55,Q55,$AM$2,$AN$2,$AO$2,$AP$2,$AQ$2,"y")</f>
        <v>#NUM!</v>
      </c>
      <c r="Q55" s="26" t="e">
        <f>_xll.RtGet("IDN",$K55,IF(OR($D55="BTP,$E11=""CTZ"),Q$5,Q$4))</f>
        <v>#VALUE!</v>
      </c>
      <c r="R55" s="27" t="e">
        <f>_xll.RtGet("IDN",$K55,IF(OR($D55="BTP,$E11=""CTZ"),R$5,R$4))</f>
        <v>#VALUE!</v>
      </c>
      <c r="S55" s="28" t="e">
        <f>_xll.xlBondYieldSensCustom(D55,E55,F55,G55,H55,I55,J55,B55,R55,$AM$2,$AN$2,$AO$2,$AP$2,$AQ$2,"y")</f>
        <v>#NUM!</v>
      </c>
      <c r="T55" s="23" t="e">
        <f t="shared" si="4"/>
        <v>#VALUE!</v>
      </c>
      <c r="U55" s="83" t="e">
        <f>_xll.xlBondYieldSensCustom(D55,E55,F55,G55,H55,I55,J55,B55,T55,$AM$2,$AN$2,$AO$2,$AP$2,$AQ$2,"y")</f>
        <v>#NUM!</v>
      </c>
      <c r="V55" s="23"/>
      <c r="W55" s="23" t="e">
        <f t="shared" si="5"/>
        <v>#VALUE!</v>
      </c>
      <c r="X55" s="22"/>
      <c r="Y55" s="22" t="e">
        <f t="shared" si="6"/>
        <v>#NUM!</v>
      </c>
      <c r="Z55" s="23" t="e">
        <f>_xll.xlBondPriceCustom(D55,E55,F55,G55,H55,I55,J55,B55,Y55,$AM$2,$AN$2,$AO$2,$AP$2,$AQ$2)</f>
        <v>#NUM!</v>
      </c>
      <c r="AA55" s="20" t="e">
        <f t="array" ref="AA55:AG55">_xll.xlBondYieldSens(D55,E55,F55,G55,H55,I55,J55,B55,W55,$AA$5&amp;$AB$5&amp;$AC$5&amp;$AD$5&amp;$AE$5&amp;$AF$5&amp;$AG$5)</f>
        <v>#NUM!</v>
      </c>
      <c r="AB55" s="20" t="e">
        <v>#NUM!</v>
      </c>
      <c r="AC55" s="20" t="e">
        <v>#NUM!</v>
      </c>
      <c r="AD55" s="20" t="e">
        <v>#NUM!</v>
      </c>
      <c r="AE55" s="20" t="e">
        <v>#NUM!</v>
      </c>
      <c r="AF55" s="20" t="e">
        <v>#NUM!</v>
      </c>
      <c r="AG55" s="24" t="e">
        <v>#NUM!</v>
      </c>
      <c r="AH55" s="22" t="e">
        <f>_xll.xlBondYieldSensCustom(D55,E55,F55,G55,H55,I55,J55,B55,W55,$AM$2,$AN$2,$AO$2,$AP$2,$AQ$2,"y")</f>
        <v>#NUM!</v>
      </c>
      <c r="AI55" s="22" t="e">
        <f ca="1">IF(TRUE,_xll.xlShmInterpRateFwd("EONIA",_xll.xlDateSettle("target",$B$2,2),0,4,$F55),"")</f>
        <v>#NUM!</v>
      </c>
      <c r="AJ55" s="85" t="e">
        <f t="shared" ca="1" si="7"/>
        <v>#NUM!</v>
      </c>
      <c r="AO55" s="84"/>
    </row>
    <row r="56" spans="1:41" ht="15.75" x14ac:dyDescent="0.25">
      <c r="A56" s="2"/>
      <c r="B56" s="19" t="e">
        <f>MAX(_xll.xlBondValueDate(D56,$B$2),I56)</f>
        <v>#NUM!</v>
      </c>
      <c r="C56" s="20" t="e">
        <v>#N/A</v>
      </c>
      <c r="D56" s="86" t="e">
        <f t="array" ref="D56:N56">_xll.BondInfo(C56,$D$5:$N$5)</f>
        <v>#VALUE!</v>
      </c>
      <c r="E56" s="20" t="e">
        <v>#VALUE!</v>
      </c>
      <c r="F56" s="87" t="e">
        <v>#VALUE!</v>
      </c>
      <c r="G56" s="19" t="e">
        <v>#VALUE!</v>
      </c>
      <c r="H56" s="19" t="e">
        <v>#VALUE!</v>
      </c>
      <c r="I56" s="19" t="e">
        <v>#VALUE!</v>
      </c>
      <c r="J56" s="20" t="e">
        <v>#VALUE!</v>
      </c>
      <c r="K56" s="20" t="e">
        <v>#VALUE!</v>
      </c>
      <c r="L56" s="20" t="e">
        <v>#VALUE!</v>
      </c>
      <c r="M56" s="20" t="e">
        <v>#VALUE!</v>
      </c>
      <c r="N56" s="20" t="e">
        <v>#VALUE!</v>
      </c>
      <c r="O56" s="21" t="e">
        <f>_xll.BondOutstanding(C56)</f>
        <v>#VALUE!</v>
      </c>
      <c r="P56" s="25" t="e">
        <f>_xll.xlBondYieldSensCustom(D56,E56,F56,G56,H56,I56,J56,B56,Q56,$AM$2,$AN$2,$AO$2,$AP$2,$AQ$2,"y")</f>
        <v>#NUM!</v>
      </c>
      <c r="Q56" s="26" t="e">
        <f>_xll.RtGet("IDN",$K56,IF(OR($D56="BTP,$E11=""CTZ"),Q$5,Q$4))</f>
        <v>#VALUE!</v>
      </c>
      <c r="R56" s="27" t="e">
        <f>_xll.RtGet("IDN",$K56,IF(OR($D56="BTP,$E11=""CTZ"),R$5,R$4))</f>
        <v>#VALUE!</v>
      </c>
      <c r="S56" s="28" t="e">
        <f>_xll.xlBondYieldSensCustom(D56,E56,F56,G56,H56,I56,J56,B56,R56,$AM$2,$AN$2,$AO$2,$AP$2,$AQ$2,"y")</f>
        <v>#NUM!</v>
      </c>
      <c r="T56" s="23" t="e">
        <f t="shared" si="4"/>
        <v>#VALUE!</v>
      </c>
      <c r="U56" s="83" t="e">
        <f>_xll.xlBondYieldSensCustom(D56,E56,F56,G56,H56,I56,J56,B56,T56,$AM$2,$AN$2,$AO$2,$AP$2,$AQ$2,"y")</f>
        <v>#NUM!</v>
      </c>
      <c r="V56" s="23"/>
      <c r="W56" s="23" t="e">
        <f t="shared" si="5"/>
        <v>#VALUE!</v>
      </c>
      <c r="X56" s="22"/>
      <c r="Y56" s="22" t="e">
        <f t="shared" si="6"/>
        <v>#NUM!</v>
      </c>
      <c r="Z56" s="23" t="e">
        <f>_xll.xlBondPriceCustom(D56,E56,F56,G56,H56,I56,J56,B56,Y56,$AM$2,$AN$2,$AO$2,$AP$2,$AQ$2)</f>
        <v>#NUM!</v>
      </c>
      <c r="AA56" s="20" t="e">
        <f t="array" ref="AA56:AG56">_xll.xlBondYieldSens(D56,E56,F56,G56,H56,I56,J56,B56,W56,$AA$5&amp;$AB$5&amp;$AC$5&amp;$AD$5&amp;$AE$5&amp;$AF$5&amp;$AG$5)</f>
        <v>#NUM!</v>
      </c>
      <c r="AB56" s="20" t="e">
        <v>#NUM!</v>
      </c>
      <c r="AC56" s="20" t="e">
        <v>#NUM!</v>
      </c>
      <c r="AD56" s="20" t="e">
        <v>#NUM!</v>
      </c>
      <c r="AE56" s="20" t="e">
        <v>#NUM!</v>
      </c>
      <c r="AF56" s="20" t="e">
        <v>#NUM!</v>
      </c>
      <c r="AG56" s="24" t="e">
        <v>#NUM!</v>
      </c>
      <c r="AH56" s="22" t="e">
        <f>_xll.xlBondYieldSensCustom(D56,E56,F56,G56,H56,I56,J56,B56,W56,$AM$2,$AN$2,$AO$2,$AP$2,$AQ$2,"y")</f>
        <v>#NUM!</v>
      </c>
      <c r="AI56" s="22" t="e">
        <f ca="1">IF(TRUE,_xll.xlShmInterpRateFwd("EONIA",_xll.xlDateSettle("target",$B$2,2),0,4,$F56),"")</f>
        <v>#NUM!</v>
      </c>
      <c r="AJ56" s="85" t="e">
        <f t="shared" ca="1" si="7"/>
        <v>#NUM!</v>
      </c>
      <c r="AO56" s="84"/>
    </row>
    <row r="57" spans="1:41" ht="15.75" x14ac:dyDescent="0.25">
      <c r="A57" s="2"/>
      <c r="B57" s="19" t="e">
        <f>MAX(_xll.xlBondValueDate(D57,$B$2),I57)</f>
        <v>#NUM!</v>
      </c>
      <c r="C57" s="20" t="e">
        <v>#N/A</v>
      </c>
      <c r="D57" s="86" t="e">
        <f t="array" ref="D57:N57">_xll.BondInfo(C57,$D$5:$N$5)</f>
        <v>#VALUE!</v>
      </c>
      <c r="E57" s="20" t="e">
        <v>#VALUE!</v>
      </c>
      <c r="F57" s="87" t="e">
        <v>#VALUE!</v>
      </c>
      <c r="G57" s="19" t="e">
        <v>#VALUE!</v>
      </c>
      <c r="H57" s="19" t="e">
        <v>#VALUE!</v>
      </c>
      <c r="I57" s="19" t="e">
        <v>#VALUE!</v>
      </c>
      <c r="J57" s="20" t="e">
        <v>#VALUE!</v>
      </c>
      <c r="K57" s="20" t="e">
        <v>#VALUE!</v>
      </c>
      <c r="L57" s="20" t="e">
        <v>#VALUE!</v>
      </c>
      <c r="M57" s="20" t="e">
        <v>#VALUE!</v>
      </c>
      <c r="N57" s="20" t="e">
        <v>#VALUE!</v>
      </c>
      <c r="O57" s="21" t="e">
        <f>_xll.BondOutstanding(C57)</f>
        <v>#VALUE!</v>
      </c>
      <c r="P57" s="25" t="e">
        <f>_xll.xlBondYieldSensCustom(D57,E57,F57,G57,H57,I57,J57,B57,Q57,$AM$2,$AN$2,$AO$2,$AP$2,$AQ$2,"y")</f>
        <v>#NUM!</v>
      </c>
      <c r="Q57" s="26" t="e">
        <f>_xll.RtGet("IDN",$K57,IF(OR($D57="BTP,$E11=""CTZ"),Q$5,Q$4))</f>
        <v>#VALUE!</v>
      </c>
      <c r="R57" s="27" t="e">
        <f>_xll.RtGet("IDN",$K57,IF(OR($D57="BTP,$E11=""CTZ"),R$5,R$4))</f>
        <v>#VALUE!</v>
      </c>
      <c r="S57" s="28" t="e">
        <f>_xll.xlBondYieldSensCustom(D57,E57,F57,G57,H57,I57,J57,B57,R57,$AM$2,$AN$2,$AO$2,$AP$2,$AQ$2,"y")</f>
        <v>#NUM!</v>
      </c>
      <c r="T57" s="23" t="e">
        <f t="shared" si="4"/>
        <v>#VALUE!</v>
      </c>
      <c r="U57" s="83" t="e">
        <f>_xll.xlBondYieldSensCustom(D57,E57,F57,G57,H57,I57,J57,B57,T57,$AM$2,$AN$2,$AO$2,$AP$2,$AQ$2,"y")</f>
        <v>#NUM!</v>
      </c>
      <c r="V57" s="23"/>
      <c r="W57" s="23" t="e">
        <f t="shared" si="5"/>
        <v>#VALUE!</v>
      </c>
      <c r="X57" s="22"/>
      <c r="Y57" s="22" t="e">
        <f t="shared" si="6"/>
        <v>#NUM!</v>
      </c>
      <c r="Z57" s="23" t="e">
        <f>_xll.xlBondPriceCustom(D57,E57,F57,G57,H57,I57,J57,B57,Y57,$AM$2,$AN$2,$AO$2,$AP$2,$AQ$2)</f>
        <v>#NUM!</v>
      </c>
      <c r="AA57" s="20" t="e">
        <f t="array" ref="AA57:AG57">_xll.xlBondYieldSens(D57,E57,F57,G57,H57,I57,J57,B57,W57,$AA$5&amp;$AB$5&amp;$AC$5&amp;$AD$5&amp;$AE$5&amp;$AF$5&amp;$AG$5)</f>
        <v>#NUM!</v>
      </c>
      <c r="AB57" s="20" t="e">
        <v>#NUM!</v>
      </c>
      <c r="AC57" s="20" t="e">
        <v>#NUM!</v>
      </c>
      <c r="AD57" s="20" t="e">
        <v>#NUM!</v>
      </c>
      <c r="AE57" s="20" t="e">
        <v>#NUM!</v>
      </c>
      <c r="AF57" s="20" t="e">
        <v>#NUM!</v>
      </c>
      <c r="AG57" s="24" t="e">
        <v>#NUM!</v>
      </c>
      <c r="AH57" s="22" t="e">
        <f>_xll.xlBondYieldSensCustom(D57,E57,F57,G57,H57,I57,J57,B57,W57,$AM$2,$AN$2,$AO$2,$AP$2,$AQ$2,"y")</f>
        <v>#NUM!</v>
      </c>
      <c r="AI57" s="22" t="e">
        <f ca="1">IF(TRUE,_xll.xlShmInterpRateFwd("EONIA",_xll.xlDateSettle("target",$B$2,2),0,4,$F57),"")</f>
        <v>#NUM!</v>
      </c>
      <c r="AJ57" s="85" t="e">
        <f t="shared" ca="1" si="7"/>
        <v>#NUM!</v>
      </c>
      <c r="AO57" s="84"/>
    </row>
    <row r="58" spans="1:41" ht="15.75" x14ac:dyDescent="0.25">
      <c r="A58" s="2"/>
      <c r="B58" s="19" t="e">
        <f>MAX(_xll.xlBondValueDate(D58,$B$2),I58)</f>
        <v>#NUM!</v>
      </c>
      <c r="C58" s="20" t="e">
        <v>#N/A</v>
      </c>
      <c r="D58" s="86" t="e">
        <f t="array" ref="D58:N58">_xll.BondInfo(C58,$D$5:$N$5)</f>
        <v>#VALUE!</v>
      </c>
      <c r="E58" s="20" t="e">
        <v>#VALUE!</v>
      </c>
      <c r="F58" s="87" t="e">
        <v>#VALUE!</v>
      </c>
      <c r="G58" s="19" t="e">
        <v>#VALUE!</v>
      </c>
      <c r="H58" s="19" t="e">
        <v>#VALUE!</v>
      </c>
      <c r="I58" s="19" t="e">
        <v>#VALUE!</v>
      </c>
      <c r="J58" s="20" t="e">
        <v>#VALUE!</v>
      </c>
      <c r="K58" s="20" t="e">
        <v>#VALUE!</v>
      </c>
      <c r="L58" s="20" t="e">
        <v>#VALUE!</v>
      </c>
      <c r="M58" s="20" t="e">
        <v>#VALUE!</v>
      </c>
      <c r="N58" s="20" t="e">
        <v>#VALUE!</v>
      </c>
      <c r="O58" s="21" t="e">
        <f>_xll.BondOutstanding(C58)</f>
        <v>#VALUE!</v>
      </c>
      <c r="P58" s="25" t="e">
        <f>_xll.xlBondYieldSensCustom(D58,E58,F58,G58,H58,I58,J58,B58,Q58,$AM$2,$AN$2,$AO$2,$AP$2,$AQ$2,"y")</f>
        <v>#NUM!</v>
      </c>
      <c r="Q58" s="26" t="e">
        <f>_xll.RtGet("IDN",$K58,IF(OR($D58="BTP,$E11=""CTZ"),Q$5,Q$4))</f>
        <v>#VALUE!</v>
      </c>
      <c r="R58" s="27" t="e">
        <f>_xll.RtGet("IDN",$K58,IF(OR($D58="BTP,$E11=""CTZ"),R$5,R$4))</f>
        <v>#VALUE!</v>
      </c>
      <c r="S58" s="28" t="e">
        <f>_xll.xlBondYieldSensCustom(D58,E58,F58,G58,H58,I58,J58,B58,R58,$AM$2,$AN$2,$AO$2,$AP$2,$AQ$2,"y")</f>
        <v>#NUM!</v>
      </c>
      <c r="T58" s="23" t="e">
        <f t="shared" si="4"/>
        <v>#VALUE!</v>
      </c>
      <c r="U58" s="83" t="e">
        <f>_xll.xlBondYieldSensCustom(D58,E58,F58,G58,H58,I58,J58,B58,T58,$AM$2,$AN$2,$AO$2,$AP$2,$AQ$2,"y")</f>
        <v>#NUM!</v>
      </c>
      <c r="V58" s="23"/>
      <c r="W58" s="23" t="e">
        <f t="shared" si="5"/>
        <v>#VALUE!</v>
      </c>
      <c r="X58" s="22"/>
      <c r="Y58" s="22" t="e">
        <f t="shared" si="6"/>
        <v>#NUM!</v>
      </c>
      <c r="Z58" s="23" t="e">
        <f>_xll.xlBondPriceCustom(D58,E58,F58,G58,H58,I58,J58,B58,Y58,$AM$2,$AN$2,$AO$2,$AP$2,$AQ$2)</f>
        <v>#NUM!</v>
      </c>
      <c r="AA58" s="20" t="e">
        <f t="array" ref="AA58:AG58">_xll.xlBondYieldSens(D58,E58,F58,G58,H58,I58,J58,B58,W58,$AA$5&amp;$AB$5&amp;$AC$5&amp;$AD$5&amp;$AE$5&amp;$AF$5&amp;$AG$5)</f>
        <v>#NUM!</v>
      </c>
      <c r="AB58" s="20" t="e">
        <v>#NUM!</v>
      </c>
      <c r="AC58" s="20" t="e">
        <v>#NUM!</v>
      </c>
      <c r="AD58" s="20" t="e">
        <v>#NUM!</v>
      </c>
      <c r="AE58" s="20" t="e">
        <v>#NUM!</v>
      </c>
      <c r="AF58" s="20" t="e">
        <v>#NUM!</v>
      </c>
      <c r="AG58" s="24" t="e">
        <v>#NUM!</v>
      </c>
      <c r="AH58" s="22" t="e">
        <f>_xll.xlBondYieldSensCustom(D58,E58,F58,G58,H58,I58,J58,B58,W58,$AM$2,$AN$2,$AO$2,$AP$2,$AQ$2,"y")</f>
        <v>#NUM!</v>
      </c>
      <c r="AI58" s="22" t="e">
        <f ca="1">IF(TRUE,_xll.xlShmInterpRateFwd("EONIA",_xll.xlDateSettle("target",$B$2,2),0,4,$F58),"")</f>
        <v>#NUM!</v>
      </c>
      <c r="AJ58" s="85" t="e">
        <f t="shared" ca="1" si="7"/>
        <v>#NUM!</v>
      </c>
      <c r="AO58" s="84"/>
    </row>
    <row r="59" spans="1:41" ht="15.75" x14ac:dyDescent="0.25">
      <c r="A59" s="2"/>
      <c r="B59" s="19" t="e">
        <f>MAX(_xll.xlBondValueDate(D59,$B$2),I59)</f>
        <v>#NUM!</v>
      </c>
      <c r="C59" s="20" t="e">
        <v>#N/A</v>
      </c>
      <c r="D59" s="86" t="e">
        <f t="array" ref="D59:N59">_xll.BondInfo(C59,$D$5:$N$5)</f>
        <v>#VALUE!</v>
      </c>
      <c r="E59" s="20" t="e">
        <v>#VALUE!</v>
      </c>
      <c r="F59" s="87" t="e">
        <v>#VALUE!</v>
      </c>
      <c r="G59" s="19" t="e">
        <v>#VALUE!</v>
      </c>
      <c r="H59" s="19" t="e">
        <v>#VALUE!</v>
      </c>
      <c r="I59" s="19" t="e">
        <v>#VALUE!</v>
      </c>
      <c r="J59" s="20" t="e">
        <v>#VALUE!</v>
      </c>
      <c r="K59" s="20" t="e">
        <v>#VALUE!</v>
      </c>
      <c r="L59" s="20" t="e">
        <v>#VALUE!</v>
      </c>
      <c r="M59" s="20" t="e">
        <v>#VALUE!</v>
      </c>
      <c r="N59" s="20" t="e">
        <v>#VALUE!</v>
      </c>
      <c r="O59" s="21" t="e">
        <f>_xll.BondOutstanding(C59)</f>
        <v>#VALUE!</v>
      </c>
      <c r="P59" s="25" t="e">
        <f>_xll.xlBondYieldSensCustom(D59,E59,F59,G59,H59,I59,J59,B59,Q59,$AM$2,$AN$2,$AO$2,$AP$2,$AQ$2,"y")</f>
        <v>#NUM!</v>
      </c>
      <c r="Q59" s="26" t="e">
        <f>_xll.RtGet("IDN",$K59,IF(OR($D59="BTP,$E11=""CTZ"),Q$5,Q$4))</f>
        <v>#VALUE!</v>
      </c>
      <c r="R59" s="27" t="e">
        <f>_xll.RtGet("IDN",$K59,IF(OR($D59="BTP,$E11=""CTZ"),R$5,R$4))</f>
        <v>#VALUE!</v>
      </c>
      <c r="S59" s="28" t="e">
        <f>_xll.xlBondYieldSensCustom(D59,E59,F59,G59,H59,I59,J59,B59,R59,$AM$2,$AN$2,$AO$2,$AP$2,$AQ$2,"y")</f>
        <v>#NUM!</v>
      </c>
      <c r="T59" s="23" t="e">
        <f t="shared" si="4"/>
        <v>#VALUE!</v>
      </c>
      <c r="U59" s="83" t="e">
        <f>_xll.xlBondYieldSensCustom(D59,E59,F59,G59,H59,I59,J59,B59,T59,$AM$2,$AN$2,$AO$2,$AP$2,$AQ$2,"y")</f>
        <v>#NUM!</v>
      </c>
      <c r="V59" s="23"/>
      <c r="W59" s="23" t="e">
        <f t="shared" si="5"/>
        <v>#VALUE!</v>
      </c>
      <c r="X59" s="22"/>
      <c r="Y59" s="22" t="e">
        <f t="shared" si="6"/>
        <v>#NUM!</v>
      </c>
      <c r="Z59" s="23" t="e">
        <f>_xll.xlBondPriceCustom(D59,E59,F59,G59,H59,I59,J59,B59,Y59,$AM$2,$AN$2,$AO$2,$AP$2,$AQ$2)</f>
        <v>#NUM!</v>
      </c>
      <c r="AA59" s="20" t="e">
        <f t="array" ref="AA59:AG59">_xll.xlBondYieldSens(D59,E59,F59,G59,H59,I59,J59,B59,W59,$AA$5&amp;$AB$5&amp;$AC$5&amp;$AD$5&amp;$AE$5&amp;$AF$5&amp;$AG$5)</f>
        <v>#NUM!</v>
      </c>
      <c r="AB59" s="20" t="e">
        <v>#NUM!</v>
      </c>
      <c r="AC59" s="20" t="e">
        <v>#NUM!</v>
      </c>
      <c r="AD59" s="20" t="e">
        <v>#NUM!</v>
      </c>
      <c r="AE59" s="20" t="e">
        <v>#NUM!</v>
      </c>
      <c r="AF59" s="20" t="e">
        <v>#NUM!</v>
      </c>
      <c r="AG59" s="24" t="e">
        <v>#NUM!</v>
      </c>
      <c r="AH59" s="22" t="e">
        <f>_xll.xlBondYieldSensCustom(D59,E59,F59,G59,H59,I59,J59,B59,W59,$AM$2,$AN$2,$AO$2,$AP$2,$AQ$2,"y")</f>
        <v>#NUM!</v>
      </c>
      <c r="AI59" s="22" t="e">
        <f ca="1">IF(TRUE,_xll.xlShmInterpRateFwd("EONIA",_xll.xlDateSettle("target",$B$2,2),0,4,$F59),"")</f>
        <v>#NUM!</v>
      </c>
      <c r="AJ59" s="85" t="e">
        <f t="shared" ca="1" si="7"/>
        <v>#NUM!</v>
      </c>
      <c r="AO59" s="84"/>
    </row>
    <row r="60" spans="1:41" ht="15.75" x14ac:dyDescent="0.25">
      <c r="A60" s="2"/>
      <c r="B60" s="19" t="e">
        <f>MAX(_xll.xlBondValueDate(D60,$B$2),I60)</f>
        <v>#NUM!</v>
      </c>
      <c r="C60" s="20" t="e">
        <v>#N/A</v>
      </c>
      <c r="D60" s="86" t="e">
        <f t="array" ref="D60:N60">_xll.BondInfo(C60,$D$5:$N$5)</f>
        <v>#VALUE!</v>
      </c>
      <c r="E60" s="20" t="e">
        <v>#VALUE!</v>
      </c>
      <c r="F60" s="87" t="e">
        <v>#VALUE!</v>
      </c>
      <c r="G60" s="19" t="e">
        <v>#VALUE!</v>
      </c>
      <c r="H60" s="19" t="e">
        <v>#VALUE!</v>
      </c>
      <c r="I60" s="19" t="e">
        <v>#VALUE!</v>
      </c>
      <c r="J60" s="20" t="e">
        <v>#VALUE!</v>
      </c>
      <c r="K60" s="20" t="e">
        <v>#VALUE!</v>
      </c>
      <c r="L60" s="20" t="e">
        <v>#VALUE!</v>
      </c>
      <c r="M60" s="20" t="e">
        <v>#VALUE!</v>
      </c>
      <c r="N60" s="20" t="e">
        <v>#VALUE!</v>
      </c>
      <c r="O60" s="21" t="e">
        <f>_xll.BondOutstanding(C60)</f>
        <v>#VALUE!</v>
      </c>
      <c r="P60" s="25" t="e">
        <f>_xll.xlBondYieldSensCustom(D60,E60,F60,G60,H60,I60,J60,B60,Q60,$AM$2,$AN$2,$AO$2,$AP$2,$AQ$2,"y")</f>
        <v>#NUM!</v>
      </c>
      <c r="Q60" s="26" t="e">
        <f>_xll.RtGet("IDN",$K60,IF(OR($D60="BTP,$E11=""CTZ"),Q$5,Q$4))</f>
        <v>#VALUE!</v>
      </c>
      <c r="R60" s="27" t="e">
        <f>_xll.RtGet("IDN",$K60,IF(OR($D60="BTP,$E11=""CTZ"),R$5,R$4))</f>
        <v>#VALUE!</v>
      </c>
      <c r="S60" s="28" t="e">
        <f>_xll.xlBondYieldSensCustom(D60,E60,F60,G60,H60,I60,J60,B60,R60,$AM$2,$AN$2,$AO$2,$AP$2,$AQ$2,"y")</f>
        <v>#NUM!</v>
      </c>
      <c r="T60" s="23" t="e">
        <f t="shared" si="4"/>
        <v>#VALUE!</v>
      </c>
      <c r="U60" s="83" t="e">
        <f>_xll.xlBondYieldSensCustom(D60,E60,F60,G60,H60,I60,J60,B60,T60,$AM$2,$AN$2,$AO$2,$AP$2,$AQ$2,"y")</f>
        <v>#NUM!</v>
      </c>
      <c r="V60" s="23"/>
      <c r="W60" s="23" t="e">
        <f t="shared" si="5"/>
        <v>#VALUE!</v>
      </c>
      <c r="X60" s="22"/>
      <c r="Y60" s="22" t="e">
        <f t="shared" si="6"/>
        <v>#NUM!</v>
      </c>
      <c r="Z60" s="23" t="e">
        <f>_xll.xlBondPriceCustom(D60,E60,F60,G60,H60,I60,J60,B60,Y60,$AM$2,$AN$2,$AO$2,$AP$2,$AQ$2)</f>
        <v>#NUM!</v>
      </c>
      <c r="AA60" s="20" t="e">
        <f t="array" ref="AA60:AG60">_xll.xlBondYieldSens(D60,E60,F60,G60,H60,I60,J60,B60,W60,$AA$5&amp;$AB$5&amp;$AC$5&amp;$AD$5&amp;$AE$5&amp;$AF$5&amp;$AG$5)</f>
        <v>#NUM!</v>
      </c>
      <c r="AB60" s="20" t="e">
        <v>#NUM!</v>
      </c>
      <c r="AC60" s="20" t="e">
        <v>#NUM!</v>
      </c>
      <c r="AD60" s="20" t="e">
        <v>#NUM!</v>
      </c>
      <c r="AE60" s="20" t="e">
        <v>#NUM!</v>
      </c>
      <c r="AF60" s="20" t="e">
        <v>#NUM!</v>
      </c>
      <c r="AG60" s="24" t="e">
        <v>#NUM!</v>
      </c>
      <c r="AH60" s="22" t="e">
        <f>_xll.xlBondYieldSensCustom(D60,E60,F60,G60,H60,I60,J60,B60,W60,$AM$2,$AN$2,$AO$2,$AP$2,$AQ$2,"y")</f>
        <v>#NUM!</v>
      </c>
      <c r="AI60" s="22" t="e">
        <f ca="1">IF(TRUE,_xll.xlShmInterpRateFwd("EONIA",_xll.xlDateSettle("target",$B$2,2),0,4,$F60),"")</f>
        <v>#NUM!</v>
      </c>
      <c r="AJ60" s="85" t="e">
        <f t="shared" ca="1" si="7"/>
        <v>#NUM!</v>
      </c>
      <c r="AO60" s="84"/>
    </row>
    <row r="61" spans="1:41" ht="15.75" x14ac:dyDescent="0.25">
      <c r="A61" s="2"/>
      <c r="B61" s="19" t="e">
        <f>MAX(_xll.xlBondValueDate(D61,$B$2),I61)</f>
        <v>#NUM!</v>
      </c>
      <c r="C61" s="20" t="e">
        <v>#N/A</v>
      </c>
      <c r="D61" s="86" t="e">
        <f t="array" ref="D61:N61">_xll.BondInfo(C61,$D$5:$N$5)</f>
        <v>#VALUE!</v>
      </c>
      <c r="E61" s="20" t="e">
        <v>#VALUE!</v>
      </c>
      <c r="F61" s="87" t="e">
        <v>#VALUE!</v>
      </c>
      <c r="G61" s="19" t="e">
        <v>#VALUE!</v>
      </c>
      <c r="H61" s="19" t="e">
        <v>#VALUE!</v>
      </c>
      <c r="I61" s="19" t="e">
        <v>#VALUE!</v>
      </c>
      <c r="J61" s="20" t="e">
        <v>#VALUE!</v>
      </c>
      <c r="K61" s="20" t="e">
        <v>#VALUE!</v>
      </c>
      <c r="L61" s="20" t="e">
        <v>#VALUE!</v>
      </c>
      <c r="M61" s="20" t="e">
        <v>#VALUE!</v>
      </c>
      <c r="N61" s="20" t="e">
        <v>#VALUE!</v>
      </c>
      <c r="O61" s="21" t="e">
        <f>_xll.BondOutstanding(C61)</f>
        <v>#VALUE!</v>
      </c>
      <c r="P61" s="25" t="e">
        <f>_xll.xlBondYieldSensCustom(D61,E61,F61,G61,H61,I61,J61,B61,Q61,$AM$2,$AN$2,$AO$2,$AP$2,$AQ$2,"y")</f>
        <v>#NUM!</v>
      </c>
      <c r="Q61" s="26" t="e">
        <f>_xll.RtGet("IDN",$K61,IF(OR($D61="BTP,$E11=""CTZ"),Q$5,Q$4))</f>
        <v>#VALUE!</v>
      </c>
      <c r="R61" s="27" t="e">
        <f>_xll.RtGet("IDN",$K61,IF(OR($D61="BTP,$E11=""CTZ"),R$5,R$4))</f>
        <v>#VALUE!</v>
      </c>
      <c r="S61" s="28" t="e">
        <f>_xll.xlBondYieldSensCustom(D61,E61,F61,G61,H61,I61,J61,B61,R61,$AM$2,$AN$2,$AO$2,$AP$2,$AQ$2,"y")</f>
        <v>#NUM!</v>
      </c>
      <c r="T61" s="23" t="e">
        <f t="shared" si="4"/>
        <v>#VALUE!</v>
      </c>
      <c r="U61" s="83" t="e">
        <f>_xll.xlBondYieldSensCustom(D61,E61,F61,G61,H61,I61,J61,B61,T61,$AM$2,$AN$2,$AO$2,$AP$2,$AQ$2,"y")</f>
        <v>#NUM!</v>
      </c>
      <c r="V61" s="23"/>
      <c r="W61" s="23" t="e">
        <f t="shared" si="5"/>
        <v>#VALUE!</v>
      </c>
      <c r="X61" s="22"/>
      <c r="Y61" s="22" t="e">
        <f t="shared" si="6"/>
        <v>#NUM!</v>
      </c>
      <c r="Z61" s="23" t="e">
        <f>_xll.xlBondPriceCustom(D61,E61,F61,G61,H61,I61,J61,B61,Y61,$AM$2,$AN$2,$AO$2,$AP$2,$AQ$2)</f>
        <v>#NUM!</v>
      </c>
      <c r="AA61" s="20" t="e">
        <f t="array" ref="AA61:AG61">_xll.xlBondYieldSens(D61,E61,F61,G61,H61,I61,J61,B61,W61,$AA$5&amp;$AB$5&amp;$AC$5&amp;$AD$5&amp;$AE$5&amp;$AF$5&amp;$AG$5)</f>
        <v>#NUM!</v>
      </c>
      <c r="AB61" s="20" t="e">
        <v>#NUM!</v>
      </c>
      <c r="AC61" s="20" t="e">
        <v>#NUM!</v>
      </c>
      <c r="AD61" s="20" t="e">
        <v>#NUM!</v>
      </c>
      <c r="AE61" s="20" t="e">
        <v>#NUM!</v>
      </c>
      <c r="AF61" s="20" t="e">
        <v>#NUM!</v>
      </c>
      <c r="AG61" s="24" t="e">
        <v>#NUM!</v>
      </c>
      <c r="AH61" s="22" t="e">
        <f>_xll.xlBondYieldSensCustom(D61,E61,F61,G61,H61,I61,J61,B61,W61,$AM$2,$AN$2,$AO$2,$AP$2,$AQ$2,"y")</f>
        <v>#NUM!</v>
      </c>
      <c r="AI61" s="22" t="e">
        <f ca="1">IF(TRUE,_xll.xlShmInterpRateFwd("EONIA",_xll.xlDateSettle("target",$B$2,2),0,4,$F61),"")</f>
        <v>#NUM!</v>
      </c>
      <c r="AJ61" s="85" t="e">
        <f t="shared" ca="1" si="7"/>
        <v>#NUM!</v>
      </c>
      <c r="AO61" s="84"/>
    </row>
    <row r="62" spans="1:41" ht="15.75" x14ac:dyDescent="0.25">
      <c r="A62" s="2"/>
      <c r="B62" s="19" t="e">
        <f>MAX(_xll.xlBondValueDate(D62,$B$2),I62)</f>
        <v>#NUM!</v>
      </c>
      <c r="C62" s="20" t="e">
        <v>#N/A</v>
      </c>
      <c r="D62" s="86" t="e">
        <f t="array" ref="D62:N62">_xll.BondInfo(C62,$D$5:$N$5)</f>
        <v>#VALUE!</v>
      </c>
      <c r="E62" s="20" t="e">
        <v>#VALUE!</v>
      </c>
      <c r="F62" s="87" t="e">
        <v>#VALUE!</v>
      </c>
      <c r="G62" s="19" t="e">
        <v>#VALUE!</v>
      </c>
      <c r="H62" s="19" t="e">
        <v>#VALUE!</v>
      </c>
      <c r="I62" s="19" t="e">
        <v>#VALUE!</v>
      </c>
      <c r="J62" s="20" t="e">
        <v>#VALUE!</v>
      </c>
      <c r="K62" s="20" t="e">
        <v>#VALUE!</v>
      </c>
      <c r="L62" s="20" t="e">
        <v>#VALUE!</v>
      </c>
      <c r="M62" s="20" t="e">
        <v>#VALUE!</v>
      </c>
      <c r="N62" s="20" t="e">
        <v>#VALUE!</v>
      </c>
      <c r="O62" s="21" t="e">
        <f>_xll.BondOutstanding(C62)</f>
        <v>#VALUE!</v>
      </c>
      <c r="P62" s="25" t="e">
        <f>_xll.xlBondYieldSensCustom(D62,E62,F62,G62,H62,I62,J62,B62,Q62,$AM$2,$AN$2,$AO$2,$AP$2,$AQ$2,"y")</f>
        <v>#NUM!</v>
      </c>
      <c r="Q62" s="26" t="e">
        <f>_xll.RtGet("IDN",$K62,IF(OR($D62="BTP,$E11=""CTZ"),Q$5,Q$4))</f>
        <v>#VALUE!</v>
      </c>
      <c r="R62" s="27" t="e">
        <f>_xll.RtGet("IDN",$K62,IF(OR($D62="BTP,$E11=""CTZ"),R$5,R$4))</f>
        <v>#VALUE!</v>
      </c>
      <c r="S62" s="28" t="e">
        <f>_xll.xlBondYieldSensCustom(D62,E62,F62,G62,H62,I62,J62,B62,R62,$AM$2,$AN$2,$AO$2,$AP$2,$AQ$2,"y")</f>
        <v>#NUM!</v>
      </c>
      <c r="T62" s="23" t="e">
        <f t="shared" si="4"/>
        <v>#VALUE!</v>
      </c>
      <c r="U62" s="83" t="e">
        <f>_xll.xlBondYieldSensCustom(D62,E62,F62,G62,H62,I62,J62,B62,T62,$AM$2,$AN$2,$AO$2,$AP$2,$AQ$2,"y")</f>
        <v>#NUM!</v>
      </c>
      <c r="V62" s="23"/>
      <c r="W62" s="23" t="e">
        <f t="shared" si="5"/>
        <v>#VALUE!</v>
      </c>
      <c r="X62" s="22"/>
      <c r="Y62" s="22" t="e">
        <f t="shared" si="6"/>
        <v>#NUM!</v>
      </c>
      <c r="Z62" s="23" t="e">
        <f>_xll.xlBondPriceCustom(D62,E62,F62,G62,H62,I62,J62,B62,Y62,$AM$2,$AN$2,$AO$2,$AP$2,$AQ$2)</f>
        <v>#NUM!</v>
      </c>
      <c r="AA62" s="20" t="e">
        <f t="array" ref="AA62:AG62">_xll.xlBondYieldSens(D62,E62,F62,G62,H62,I62,J62,B62,W62,$AA$5&amp;$AB$5&amp;$AC$5&amp;$AD$5&amp;$AE$5&amp;$AF$5&amp;$AG$5)</f>
        <v>#NUM!</v>
      </c>
      <c r="AB62" s="20" t="e">
        <v>#NUM!</v>
      </c>
      <c r="AC62" s="20" t="e">
        <v>#NUM!</v>
      </c>
      <c r="AD62" s="20" t="e">
        <v>#NUM!</v>
      </c>
      <c r="AE62" s="20" t="e">
        <v>#NUM!</v>
      </c>
      <c r="AF62" s="20" t="e">
        <v>#NUM!</v>
      </c>
      <c r="AG62" s="24" t="e">
        <v>#NUM!</v>
      </c>
      <c r="AH62" s="22" t="e">
        <f>_xll.xlBondYieldSensCustom(D62,E62,F62,G62,H62,I62,J62,B62,W62,$AM$2,$AN$2,$AO$2,$AP$2,$AQ$2,"y")</f>
        <v>#NUM!</v>
      </c>
      <c r="AI62" s="22" t="e">
        <f ca="1">IF(TRUE,_xll.xlShmInterpRateFwd("EONIA",_xll.xlDateSettle("target",$B$2,2),0,4,$F62),"")</f>
        <v>#NUM!</v>
      </c>
      <c r="AJ62" s="85" t="e">
        <f t="shared" ca="1" si="7"/>
        <v>#NUM!</v>
      </c>
      <c r="AO62" s="84"/>
    </row>
    <row r="63" spans="1:41" ht="15.75" x14ac:dyDescent="0.25">
      <c r="A63" s="2"/>
      <c r="B63" s="19" t="e">
        <f>MAX(_xll.xlBondValueDate(D63,$B$2),I63)</f>
        <v>#NUM!</v>
      </c>
      <c r="C63" s="20" t="e">
        <v>#N/A</v>
      </c>
      <c r="D63" s="86" t="e">
        <f t="array" ref="D63:N63">_xll.BondInfo(C63,$D$5:$N$5)</f>
        <v>#VALUE!</v>
      </c>
      <c r="E63" s="20" t="e">
        <v>#VALUE!</v>
      </c>
      <c r="F63" s="87" t="e">
        <v>#VALUE!</v>
      </c>
      <c r="G63" s="19" t="e">
        <v>#VALUE!</v>
      </c>
      <c r="H63" s="19" t="e">
        <v>#VALUE!</v>
      </c>
      <c r="I63" s="19" t="e">
        <v>#VALUE!</v>
      </c>
      <c r="J63" s="20" t="e">
        <v>#VALUE!</v>
      </c>
      <c r="K63" s="20" t="e">
        <v>#VALUE!</v>
      </c>
      <c r="L63" s="20" t="e">
        <v>#VALUE!</v>
      </c>
      <c r="M63" s="20" t="e">
        <v>#VALUE!</v>
      </c>
      <c r="N63" s="20" t="e">
        <v>#VALUE!</v>
      </c>
      <c r="O63" s="21" t="e">
        <f>_xll.BondOutstanding(C63)</f>
        <v>#VALUE!</v>
      </c>
      <c r="P63" s="25" t="e">
        <f>_xll.xlBondYieldSensCustom(D63,E63,F63,G63,H63,I63,J63,B63,Q63,$AM$2,$AN$2,$AO$2,$AP$2,$AQ$2,"y")</f>
        <v>#NUM!</v>
      </c>
      <c r="Q63" s="26" t="e">
        <f>_xll.RtGet("IDN",$K63,IF(OR($D63="BTP,$E11=""CTZ"),Q$5,Q$4))</f>
        <v>#VALUE!</v>
      </c>
      <c r="R63" s="27" t="e">
        <f>_xll.RtGet("IDN",$K63,IF(OR($D63="BTP,$E11=""CTZ"),R$5,R$4))</f>
        <v>#VALUE!</v>
      </c>
      <c r="S63" s="28" t="e">
        <f>_xll.xlBondYieldSensCustom(D63,E63,F63,G63,H63,I63,J63,B63,R63,$AM$2,$AN$2,$AO$2,$AP$2,$AQ$2,"y")</f>
        <v>#NUM!</v>
      </c>
      <c r="T63" s="23" t="e">
        <f t="shared" si="4"/>
        <v>#VALUE!</v>
      </c>
      <c r="U63" s="83" t="e">
        <f>_xll.xlBondYieldSensCustom(D63,E63,F63,G63,H63,I63,J63,B63,T63,$AM$2,$AN$2,$AO$2,$AP$2,$AQ$2,"y")</f>
        <v>#NUM!</v>
      </c>
      <c r="V63" s="23"/>
      <c r="W63" s="23" t="e">
        <f t="shared" si="5"/>
        <v>#VALUE!</v>
      </c>
      <c r="X63" s="22"/>
      <c r="Y63" s="22" t="e">
        <f t="shared" si="6"/>
        <v>#NUM!</v>
      </c>
      <c r="Z63" s="23" t="e">
        <f>_xll.xlBondPriceCustom(D63,E63,F63,G63,H63,I63,J63,B63,Y63,$AM$2,$AN$2,$AO$2,$AP$2,$AQ$2)</f>
        <v>#NUM!</v>
      </c>
      <c r="AA63" s="20" t="e">
        <f t="array" ref="AA63:AG63">_xll.xlBondYieldSens(D63,E63,F63,G63,H63,I63,J63,B63,W63,$AA$5&amp;$AB$5&amp;$AC$5&amp;$AD$5&amp;$AE$5&amp;$AF$5&amp;$AG$5)</f>
        <v>#NUM!</v>
      </c>
      <c r="AB63" s="20" t="e">
        <v>#NUM!</v>
      </c>
      <c r="AC63" s="20" t="e">
        <v>#NUM!</v>
      </c>
      <c r="AD63" s="20" t="e">
        <v>#NUM!</v>
      </c>
      <c r="AE63" s="20" t="e">
        <v>#NUM!</v>
      </c>
      <c r="AF63" s="20" t="e">
        <v>#NUM!</v>
      </c>
      <c r="AG63" s="24" t="e">
        <v>#NUM!</v>
      </c>
      <c r="AH63" s="22" t="e">
        <f>_xll.xlBondYieldSensCustom(D63,E63,F63,G63,H63,I63,J63,B63,W63,$AM$2,$AN$2,$AO$2,$AP$2,$AQ$2,"y")</f>
        <v>#NUM!</v>
      </c>
      <c r="AI63" s="22" t="e">
        <f ca="1">IF(TRUE,_xll.xlShmInterpRateFwd("EONIA",_xll.xlDateSettle("target",$B$2,2),0,4,$F63),"")</f>
        <v>#NUM!</v>
      </c>
      <c r="AJ63" s="85" t="e">
        <f t="shared" ca="1" si="7"/>
        <v>#NUM!</v>
      </c>
      <c r="AO63" s="84"/>
    </row>
    <row r="64" spans="1:41" ht="15.75" x14ac:dyDescent="0.25">
      <c r="A64" s="2"/>
      <c r="B64" s="19" t="e">
        <f>MAX(_xll.xlBondValueDate(D64,$B$2),I64)</f>
        <v>#NUM!</v>
      </c>
      <c r="C64" s="20" t="e">
        <v>#N/A</v>
      </c>
      <c r="D64" s="86" t="e">
        <f t="array" ref="D64:N64">_xll.BondInfo(C64,$D$5:$N$5)</f>
        <v>#VALUE!</v>
      </c>
      <c r="E64" s="20" t="e">
        <v>#VALUE!</v>
      </c>
      <c r="F64" s="87" t="e">
        <v>#VALUE!</v>
      </c>
      <c r="G64" s="19" t="e">
        <v>#VALUE!</v>
      </c>
      <c r="H64" s="19" t="e">
        <v>#VALUE!</v>
      </c>
      <c r="I64" s="19" t="e">
        <v>#VALUE!</v>
      </c>
      <c r="J64" s="20" t="e">
        <v>#VALUE!</v>
      </c>
      <c r="K64" s="20" t="e">
        <v>#VALUE!</v>
      </c>
      <c r="L64" s="20" t="e">
        <v>#VALUE!</v>
      </c>
      <c r="M64" s="20" t="e">
        <v>#VALUE!</v>
      </c>
      <c r="N64" s="20" t="e">
        <v>#VALUE!</v>
      </c>
      <c r="O64" s="21" t="e">
        <f>_xll.BondOutstanding(C64)</f>
        <v>#VALUE!</v>
      </c>
      <c r="P64" s="25" t="e">
        <f>_xll.xlBondYieldSensCustom(D64,E64,F64,G64,H64,I64,J64,B64,Q64,$AM$2,$AN$2,$AO$2,$AP$2,$AQ$2,"y")</f>
        <v>#NUM!</v>
      </c>
      <c r="Q64" s="26" t="e">
        <f>_xll.RtGet("IDN",$K64,IF(OR($D64="BTP,$E11=""CTZ"),Q$5,Q$4))</f>
        <v>#VALUE!</v>
      </c>
      <c r="R64" s="27" t="e">
        <f>_xll.RtGet("IDN",$K64,IF(OR($D64="BTP,$E11=""CTZ"),R$5,R$4))</f>
        <v>#VALUE!</v>
      </c>
      <c r="S64" s="28" t="e">
        <f>_xll.xlBondYieldSensCustom(D64,E64,F64,G64,H64,I64,J64,B64,R64,$AM$2,$AN$2,$AO$2,$AP$2,$AQ$2,"y")</f>
        <v>#NUM!</v>
      </c>
      <c r="T64" s="23" t="e">
        <f t="shared" si="4"/>
        <v>#VALUE!</v>
      </c>
      <c r="U64" s="83" t="e">
        <f>_xll.xlBondYieldSensCustom(D64,E64,F64,G64,H64,I64,J64,B64,T64,$AM$2,$AN$2,$AO$2,$AP$2,$AQ$2,"y")</f>
        <v>#NUM!</v>
      </c>
      <c r="V64" s="23"/>
      <c r="W64" s="23" t="e">
        <f t="shared" si="5"/>
        <v>#VALUE!</v>
      </c>
      <c r="X64" s="22"/>
      <c r="Y64" s="22" t="e">
        <f t="shared" si="6"/>
        <v>#NUM!</v>
      </c>
      <c r="Z64" s="23" t="e">
        <f>_xll.xlBondPriceCustom(D64,E64,F64,G64,H64,I64,J64,B64,Y64,$AM$2,$AN$2,$AO$2,$AP$2,$AQ$2)</f>
        <v>#NUM!</v>
      </c>
      <c r="AA64" s="20" t="e">
        <f t="array" ref="AA64:AG64">_xll.xlBondYieldSens(D64,E64,F64,G64,H64,I64,J64,B64,W64,$AA$5&amp;$AB$5&amp;$AC$5&amp;$AD$5&amp;$AE$5&amp;$AF$5&amp;$AG$5)</f>
        <v>#NUM!</v>
      </c>
      <c r="AB64" s="20" t="e">
        <v>#NUM!</v>
      </c>
      <c r="AC64" s="20" t="e">
        <v>#NUM!</v>
      </c>
      <c r="AD64" s="20" t="e">
        <v>#NUM!</v>
      </c>
      <c r="AE64" s="20" t="e">
        <v>#NUM!</v>
      </c>
      <c r="AF64" s="20" t="e">
        <v>#NUM!</v>
      </c>
      <c r="AG64" s="24" t="e">
        <v>#NUM!</v>
      </c>
      <c r="AH64" s="22" t="e">
        <f>_xll.xlBondYieldSensCustom(D64,E64,F64,G64,H64,I64,J64,B64,W64,$AM$2,$AN$2,$AO$2,$AP$2,$AQ$2,"y")</f>
        <v>#NUM!</v>
      </c>
      <c r="AI64" s="22" t="e">
        <f ca="1">IF(TRUE,_xll.xlShmInterpRateFwd("EONIA",_xll.xlDateSettle("target",$B$2,2),0,4,$F64),"")</f>
        <v>#NUM!</v>
      </c>
      <c r="AJ64" s="85" t="e">
        <f t="shared" ca="1" si="7"/>
        <v>#NUM!</v>
      </c>
      <c r="AO64" s="84"/>
    </row>
    <row r="65" spans="1:41" ht="15.75" x14ac:dyDescent="0.25">
      <c r="A65" s="2"/>
      <c r="B65" s="19" t="e">
        <f>MAX(_xll.xlBondValueDate(D65,$B$2),I65)</f>
        <v>#NUM!</v>
      </c>
      <c r="C65" s="20" t="e">
        <v>#N/A</v>
      </c>
      <c r="D65" s="86" t="e">
        <f t="array" ref="D65:N65">_xll.BondInfo(C65,$D$5:$N$5)</f>
        <v>#VALUE!</v>
      </c>
      <c r="E65" s="20" t="e">
        <v>#VALUE!</v>
      </c>
      <c r="F65" s="87" t="e">
        <v>#VALUE!</v>
      </c>
      <c r="G65" s="19" t="e">
        <v>#VALUE!</v>
      </c>
      <c r="H65" s="19" t="e">
        <v>#VALUE!</v>
      </c>
      <c r="I65" s="19" t="e">
        <v>#VALUE!</v>
      </c>
      <c r="J65" s="20" t="e">
        <v>#VALUE!</v>
      </c>
      <c r="K65" s="20" t="e">
        <v>#VALUE!</v>
      </c>
      <c r="L65" s="20" t="e">
        <v>#VALUE!</v>
      </c>
      <c r="M65" s="20" t="e">
        <v>#VALUE!</v>
      </c>
      <c r="N65" s="20" t="e">
        <v>#VALUE!</v>
      </c>
      <c r="O65" s="21" t="e">
        <f>_xll.BondOutstanding(C65)</f>
        <v>#VALUE!</v>
      </c>
      <c r="P65" s="25" t="e">
        <f>_xll.xlBondYieldSensCustom(D65,E65,F65,G65,H65,I65,J65,B65,Q65,$AM$2,$AN$2,$AO$2,$AP$2,$AQ$2,"y")</f>
        <v>#NUM!</v>
      </c>
      <c r="Q65" s="26" t="e">
        <f>_xll.RtGet("IDN",$K65,IF(OR($D65="BTP,$E11=""CTZ"),Q$5,Q$4))</f>
        <v>#VALUE!</v>
      </c>
      <c r="R65" s="27" t="e">
        <f>_xll.RtGet("IDN",$K65,IF(OR($D65="BTP,$E11=""CTZ"),R$5,R$4))</f>
        <v>#VALUE!</v>
      </c>
      <c r="S65" s="28" t="e">
        <f>_xll.xlBondYieldSensCustom(D65,E65,F65,G65,H65,I65,J65,B65,R65,$AM$2,$AN$2,$AO$2,$AP$2,$AQ$2,"y")</f>
        <v>#NUM!</v>
      </c>
      <c r="T65" s="23" t="e">
        <f t="shared" si="4"/>
        <v>#VALUE!</v>
      </c>
      <c r="U65" s="83" t="e">
        <f>_xll.xlBondYieldSensCustom(D65,E65,F65,G65,H65,I65,J65,B65,T65,$AM$2,$AN$2,$AO$2,$AP$2,$AQ$2,"y")</f>
        <v>#NUM!</v>
      </c>
      <c r="V65" s="23"/>
      <c r="W65" s="23" t="e">
        <f t="shared" si="5"/>
        <v>#VALUE!</v>
      </c>
      <c r="X65" s="22"/>
      <c r="Y65" s="22" t="e">
        <f t="shared" si="6"/>
        <v>#NUM!</v>
      </c>
      <c r="Z65" s="23" t="e">
        <f>_xll.xlBondPriceCustom(D65,E65,F65,G65,H65,I65,J65,B65,Y65,$AM$2,$AN$2,$AO$2,$AP$2,$AQ$2)</f>
        <v>#NUM!</v>
      </c>
      <c r="AA65" s="20" t="e">
        <f t="array" ref="AA65:AG65">_xll.xlBondYieldSens(D65,E65,F65,G65,H65,I65,J65,B65,W65,$AA$5&amp;$AB$5&amp;$AC$5&amp;$AD$5&amp;$AE$5&amp;$AF$5&amp;$AG$5)</f>
        <v>#NUM!</v>
      </c>
      <c r="AB65" s="20" t="e">
        <v>#NUM!</v>
      </c>
      <c r="AC65" s="20" t="e">
        <v>#NUM!</v>
      </c>
      <c r="AD65" s="20" t="e">
        <v>#NUM!</v>
      </c>
      <c r="AE65" s="20" t="e">
        <v>#NUM!</v>
      </c>
      <c r="AF65" s="20" t="e">
        <v>#NUM!</v>
      </c>
      <c r="AG65" s="24" t="e">
        <v>#NUM!</v>
      </c>
      <c r="AH65" s="22" t="e">
        <f>_xll.xlBondYieldSensCustom(D65,E65,F65,G65,H65,I65,J65,B65,W65,$AM$2,$AN$2,$AO$2,$AP$2,$AQ$2,"y")</f>
        <v>#NUM!</v>
      </c>
      <c r="AI65" s="22" t="e">
        <f ca="1">IF(TRUE,_xll.xlShmInterpRateFwd("EONIA",_xll.xlDateSettle("target",$B$2,2),0,4,$F65),"")</f>
        <v>#NUM!</v>
      </c>
      <c r="AJ65" s="85" t="e">
        <f t="shared" ca="1" si="7"/>
        <v>#NUM!</v>
      </c>
      <c r="AO65" s="84"/>
    </row>
    <row r="66" spans="1:41" ht="15.75" x14ac:dyDescent="0.25">
      <c r="A66" s="2"/>
      <c r="B66" s="19" t="e">
        <f>MAX(_xll.xlBondValueDate(D66,$B$2),I66)</f>
        <v>#NUM!</v>
      </c>
      <c r="C66" s="20" t="e">
        <v>#N/A</v>
      </c>
      <c r="D66" s="86" t="e">
        <f t="array" ref="D66:N66">_xll.BondInfo(C66,$D$5:$N$5)</f>
        <v>#VALUE!</v>
      </c>
      <c r="E66" s="20" t="e">
        <v>#VALUE!</v>
      </c>
      <c r="F66" s="87" t="e">
        <v>#VALUE!</v>
      </c>
      <c r="G66" s="19" t="e">
        <v>#VALUE!</v>
      </c>
      <c r="H66" s="19" t="e">
        <v>#VALUE!</v>
      </c>
      <c r="I66" s="19" t="e">
        <v>#VALUE!</v>
      </c>
      <c r="J66" s="20" t="e">
        <v>#VALUE!</v>
      </c>
      <c r="K66" s="20" t="e">
        <v>#VALUE!</v>
      </c>
      <c r="L66" s="20" t="e">
        <v>#VALUE!</v>
      </c>
      <c r="M66" s="20" t="e">
        <v>#VALUE!</v>
      </c>
      <c r="N66" s="20" t="e">
        <v>#VALUE!</v>
      </c>
      <c r="O66" s="21" t="e">
        <f>_xll.BondOutstanding(C66)</f>
        <v>#VALUE!</v>
      </c>
      <c r="P66" s="25" t="e">
        <f>_xll.xlBondYieldSensCustom(D66,E66,F66,G66,H66,I66,J66,B66,Q66,$AM$2,$AN$2,$AO$2,$AP$2,$AQ$2,"y")</f>
        <v>#NUM!</v>
      </c>
      <c r="Q66" s="26" t="e">
        <f>_xll.RtGet("IDN",$K66,IF(OR($D66="BTP,$E11=""CTZ"),Q$5,Q$4))</f>
        <v>#VALUE!</v>
      </c>
      <c r="R66" s="27" t="e">
        <f>_xll.RtGet("IDN",$K66,IF(OR($D66="BTP,$E11=""CTZ"),R$5,R$4))</f>
        <v>#VALUE!</v>
      </c>
      <c r="S66" s="28" t="e">
        <f>_xll.xlBondYieldSensCustom(D66,E66,F66,G66,H66,I66,J66,B66,R66,$AM$2,$AN$2,$AO$2,$AP$2,$AQ$2,"y")</f>
        <v>#NUM!</v>
      </c>
      <c r="T66" s="23" t="e">
        <f t="shared" si="4"/>
        <v>#VALUE!</v>
      </c>
      <c r="U66" s="83" t="e">
        <f>_xll.xlBondYieldSensCustom(D66,E66,F66,G66,H66,I66,J66,B66,T66,$AM$2,$AN$2,$AO$2,$AP$2,$AQ$2,"y")</f>
        <v>#NUM!</v>
      </c>
      <c r="V66" s="23"/>
      <c r="W66" s="23" t="e">
        <f t="shared" si="5"/>
        <v>#VALUE!</v>
      </c>
      <c r="X66" s="22"/>
      <c r="Y66" s="22" t="e">
        <f t="shared" si="6"/>
        <v>#NUM!</v>
      </c>
      <c r="Z66" s="23" t="e">
        <f>_xll.xlBondPriceCustom(D66,E66,F66,G66,H66,I66,J66,B66,Y66,$AM$2,$AN$2,$AO$2,$AP$2,$AQ$2)</f>
        <v>#NUM!</v>
      </c>
      <c r="AA66" s="20" t="e">
        <f t="array" ref="AA66:AG66">_xll.xlBondYieldSens(D66,E66,F66,G66,H66,I66,J66,B66,W66,$AA$5&amp;$AB$5&amp;$AC$5&amp;$AD$5&amp;$AE$5&amp;$AF$5&amp;$AG$5)</f>
        <v>#NUM!</v>
      </c>
      <c r="AB66" s="20" t="e">
        <v>#NUM!</v>
      </c>
      <c r="AC66" s="20" t="e">
        <v>#NUM!</v>
      </c>
      <c r="AD66" s="20" t="e">
        <v>#NUM!</v>
      </c>
      <c r="AE66" s="20" t="e">
        <v>#NUM!</v>
      </c>
      <c r="AF66" s="20" t="e">
        <v>#NUM!</v>
      </c>
      <c r="AG66" s="24" t="e">
        <v>#NUM!</v>
      </c>
      <c r="AH66" s="22" t="e">
        <f>_xll.xlBondYieldSensCustom(D66,E66,F66,G66,H66,I66,J66,B66,W66,$AM$2,$AN$2,$AO$2,$AP$2,$AQ$2,"y")</f>
        <v>#NUM!</v>
      </c>
      <c r="AI66" s="22" t="e">
        <f ca="1">IF(TRUE,_xll.xlShmInterpRateFwd("EONIA",_xll.xlDateSettle("target",$B$2,2),0,4,$F66),"")</f>
        <v>#NUM!</v>
      </c>
      <c r="AJ66" s="85" t="e">
        <f t="shared" ca="1" si="7"/>
        <v>#NUM!</v>
      </c>
      <c r="AO66" s="84"/>
    </row>
    <row r="67" spans="1:41" ht="15.75" x14ac:dyDescent="0.25">
      <c r="A67" s="2"/>
      <c r="B67" s="19" t="e">
        <f>MAX(_xll.xlBondValueDate(D67,$B$2),I67)</f>
        <v>#NUM!</v>
      </c>
      <c r="C67" s="20" t="e">
        <v>#N/A</v>
      </c>
      <c r="D67" s="86" t="e">
        <f t="array" ref="D67:N67">_xll.BondInfo(C67,$D$5:$N$5)</f>
        <v>#VALUE!</v>
      </c>
      <c r="E67" s="20" t="e">
        <v>#VALUE!</v>
      </c>
      <c r="F67" s="87" t="e">
        <v>#VALUE!</v>
      </c>
      <c r="G67" s="19" t="e">
        <v>#VALUE!</v>
      </c>
      <c r="H67" s="19" t="e">
        <v>#VALUE!</v>
      </c>
      <c r="I67" s="19" t="e">
        <v>#VALUE!</v>
      </c>
      <c r="J67" s="20" t="e">
        <v>#VALUE!</v>
      </c>
      <c r="K67" s="20" t="e">
        <v>#VALUE!</v>
      </c>
      <c r="L67" s="20" t="e">
        <v>#VALUE!</v>
      </c>
      <c r="M67" s="20" t="e">
        <v>#VALUE!</v>
      </c>
      <c r="N67" s="20" t="e">
        <v>#VALUE!</v>
      </c>
      <c r="O67" s="21" t="e">
        <f>_xll.BondOutstanding(C67)</f>
        <v>#VALUE!</v>
      </c>
      <c r="P67" s="25" t="e">
        <f>_xll.xlBondYieldSensCustom(D67,E67,F67,G67,H67,I67,J67,B67,Q67,$AM$2,$AN$2,$AO$2,$AP$2,$AQ$2,"y")</f>
        <v>#NUM!</v>
      </c>
      <c r="Q67" s="26" t="e">
        <f>_xll.RtGet("IDN",$K67,IF(OR($D67="BTP,$E11=""CTZ"),Q$5,Q$4))</f>
        <v>#VALUE!</v>
      </c>
      <c r="R67" s="27" t="e">
        <f>_xll.RtGet("IDN",$K67,IF(OR($D67="BTP,$E11=""CTZ"),R$5,R$4))</f>
        <v>#VALUE!</v>
      </c>
      <c r="S67" s="28" t="e">
        <f>_xll.xlBondYieldSensCustom(D67,E67,F67,G67,H67,I67,J67,B67,R67,$AM$2,$AN$2,$AO$2,$AP$2,$AQ$2,"y")</f>
        <v>#NUM!</v>
      </c>
      <c r="T67" s="23" t="e">
        <f t="shared" si="4"/>
        <v>#VALUE!</v>
      </c>
      <c r="U67" s="83" t="e">
        <f>_xll.xlBondYieldSensCustom(D67,E67,F67,G67,H67,I67,J67,B67,T67,$AM$2,$AN$2,$AO$2,$AP$2,$AQ$2,"y")</f>
        <v>#NUM!</v>
      </c>
      <c r="V67" s="23"/>
      <c r="W67" s="23" t="e">
        <f t="shared" si="5"/>
        <v>#VALUE!</v>
      </c>
      <c r="X67" s="22"/>
      <c r="Y67" s="22" t="e">
        <f t="shared" si="6"/>
        <v>#NUM!</v>
      </c>
      <c r="Z67" s="23" t="e">
        <f>_xll.xlBondPriceCustom(D67,E67,F67,G67,H67,I67,J67,B67,Y67,$AM$2,$AN$2,$AO$2,$AP$2,$AQ$2)</f>
        <v>#NUM!</v>
      </c>
      <c r="AA67" s="20" t="e">
        <f t="array" ref="AA67:AG67">_xll.xlBondYieldSens(D67,E67,F67,G67,H67,I67,J67,B67,W67,$AA$5&amp;$AB$5&amp;$AC$5&amp;$AD$5&amp;$AE$5&amp;$AF$5&amp;$AG$5)</f>
        <v>#NUM!</v>
      </c>
      <c r="AB67" s="20" t="e">
        <v>#NUM!</v>
      </c>
      <c r="AC67" s="20" t="e">
        <v>#NUM!</v>
      </c>
      <c r="AD67" s="20" t="e">
        <v>#NUM!</v>
      </c>
      <c r="AE67" s="20" t="e">
        <v>#NUM!</v>
      </c>
      <c r="AF67" s="20" t="e">
        <v>#NUM!</v>
      </c>
      <c r="AG67" s="24" t="e">
        <v>#NUM!</v>
      </c>
      <c r="AH67" s="22" t="e">
        <f>_xll.xlBondYieldSensCustom(D67,E67,F67,G67,H67,I67,J67,B67,W67,$AM$2,$AN$2,$AO$2,$AP$2,$AQ$2,"y")</f>
        <v>#NUM!</v>
      </c>
      <c r="AI67" s="22" t="e">
        <f ca="1">IF(TRUE,_xll.xlShmInterpRateFwd("EONIA",_xll.xlDateSettle("target",$B$2,2),0,4,$F67),"")</f>
        <v>#NUM!</v>
      </c>
      <c r="AJ67" s="85" t="e">
        <f t="shared" ca="1" si="7"/>
        <v>#NUM!</v>
      </c>
      <c r="AO67" s="84"/>
    </row>
    <row r="68" spans="1:41" ht="15.75" x14ac:dyDescent="0.25">
      <c r="A68" s="2"/>
      <c r="B68" s="19" t="e">
        <f>MAX(_xll.xlBondValueDate(D68,$B$2),I68)</f>
        <v>#NUM!</v>
      </c>
      <c r="C68" s="20" t="e">
        <v>#N/A</v>
      </c>
      <c r="D68" s="86" t="e">
        <f t="array" ref="D68:N68">_xll.BondInfo(C68,$D$5:$N$5)</f>
        <v>#VALUE!</v>
      </c>
      <c r="E68" s="20" t="e">
        <v>#VALUE!</v>
      </c>
      <c r="F68" s="87" t="e">
        <v>#VALUE!</v>
      </c>
      <c r="G68" s="19" t="e">
        <v>#VALUE!</v>
      </c>
      <c r="H68" s="19" t="e">
        <v>#VALUE!</v>
      </c>
      <c r="I68" s="19" t="e">
        <v>#VALUE!</v>
      </c>
      <c r="J68" s="20" t="e">
        <v>#VALUE!</v>
      </c>
      <c r="K68" s="20" t="e">
        <v>#VALUE!</v>
      </c>
      <c r="L68" s="20" t="e">
        <v>#VALUE!</v>
      </c>
      <c r="M68" s="20" t="e">
        <v>#VALUE!</v>
      </c>
      <c r="N68" s="20" t="e">
        <v>#VALUE!</v>
      </c>
      <c r="O68" s="21" t="e">
        <f>_xll.BondOutstanding(C68)</f>
        <v>#VALUE!</v>
      </c>
      <c r="P68" s="25" t="e">
        <f>_xll.xlBondYieldSensCustom(D68,E68,F68,G68,H68,I68,J68,B68,Q68,$AM$2,$AN$2,$AO$2,$AP$2,$AQ$2,"y")</f>
        <v>#NUM!</v>
      </c>
      <c r="Q68" s="26" t="e">
        <f>_xll.RtGet("IDN",$K68,IF(OR($D68="BTP,$E11=""CTZ"),Q$5,Q$4))</f>
        <v>#VALUE!</v>
      </c>
      <c r="R68" s="27" t="e">
        <f>_xll.RtGet("IDN",$K68,IF(OR($D68="BTP,$E11=""CTZ"),R$5,R$4))</f>
        <v>#VALUE!</v>
      </c>
      <c r="S68" s="28" t="e">
        <f>_xll.xlBondYieldSensCustom(D68,E68,F68,G68,H68,I68,J68,B68,R68,$AM$2,$AN$2,$AO$2,$AP$2,$AQ$2,"y")</f>
        <v>#NUM!</v>
      </c>
      <c r="T68" s="23" t="e">
        <f t="shared" si="4"/>
        <v>#VALUE!</v>
      </c>
      <c r="U68" s="83" t="e">
        <f>_xll.xlBondYieldSensCustom(D68,E68,F68,G68,H68,I68,J68,B68,T68,$AM$2,$AN$2,$AO$2,$AP$2,$AQ$2,"y")</f>
        <v>#NUM!</v>
      </c>
      <c r="V68" s="23"/>
      <c r="W68" s="23" t="e">
        <f t="shared" si="5"/>
        <v>#VALUE!</v>
      </c>
      <c r="X68" s="22"/>
      <c r="Y68" s="22" t="e">
        <f t="shared" si="6"/>
        <v>#NUM!</v>
      </c>
      <c r="Z68" s="23" t="e">
        <f>_xll.xlBondPriceCustom(D68,E68,F68,G68,H68,I68,J68,B68,Y68,$AM$2,$AN$2,$AO$2,$AP$2,$AQ$2)</f>
        <v>#NUM!</v>
      </c>
      <c r="AA68" s="20" t="e">
        <f t="array" ref="AA68:AG68">_xll.xlBondYieldSens(D68,E68,F68,G68,H68,I68,J68,B68,W68,$AA$5&amp;$AB$5&amp;$AC$5&amp;$AD$5&amp;$AE$5&amp;$AF$5&amp;$AG$5)</f>
        <v>#NUM!</v>
      </c>
      <c r="AB68" s="20" t="e">
        <v>#NUM!</v>
      </c>
      <c r="AC68" s="20" t="e">
        <v>#NUM!</v>
      </c>
      <c r="AD68" s="20" t="e">
        <v>#NUM!</v>
      </c>
      <c r="AE68" s="20" t="e">
        <v>#NUM!</v>
      </c>
      <c r="AF68" s="20" t="e">
        <v>#NUM!</v>
      </c>
      <c r="AG68" s="24" t="e">
        <v>#NUM!</v>
      </c>
      <c r="AH68" s="22" t="e">
        <f>_xll.xlBondYieldSensCustom(D68,E68,F68,G68,H68,I68,J68,B68,W68,$AM$2,$AN$2,$AO$2,$AP$2,$AQ$2,"y")</f>
        <v>#NUM!</v>
      </c>
      <c r="AI68" s="22" t="e">
        <f ca="1">IF(TRUE,_xll.xlShmInterpRateFwd("EONIA",_xll.xlDateSettle("target",$B$2,2),0,4,$F68),"")</f>
        <v>#NUM!</v>
      </c>
      <c r="AJ68" s="85" t="e">
        <f t="shared" ca="1" si="7"/>
        <v>#NUM!</v>
      </c>
      <c r="AO68" s="84"/>
    </row>
    <row r="69" spans="1:41" ht="15.75" x14ac:dyDescent="0.25">
      <c r="A69" s="2"/>
      <c r="B69" s="19" t="e">
        <f>MAX(_xll.xlBondValueDate(D69,$B$2),I69)</f>
        <v>#NUM!</v>
      </c>
      <c r="C69" s="20" t="e">
        <v>#N/A</v>
      </c>
      <c r="D69" s="86" t="e">
        <f t="array" ref="D69:N69">_xll.BondInfo(C69,$D$5:$N$5)</f>
        <v>#VALUE!</v>
      </c>
      <c r="E69" s="20" t="e">
        <v>#VALUE!</v>
      </c>
      <c r="F69" s="87" t="e">
        <v>#VALUE!</v>
      </c>
      <c r="G69" s="19" t="e">
        <v>#VALUE!</v>
      </c>
      <c r="H69" s="19" t="e">
        <v>#VALUE!</v>
      </c>
      <c r="I69" s="19" t="e">
        <v>#VALUE!</v>
      </c>
      <c r="J69" s="20" t="e">
        <v>#VALUE!</v>
      </c>
      <c r="K69" s="20" t="e">
        <v>#VALUE!</v>
      </c>
      <c r="L69" s="20" t="e">
        <v>#VALUE!</v>
      </c>
      <c r="M69" s="20" t="e">
        <v>#VALUE!</v>
      </c>
      <c r="N69" s="20" t="e">
        <v>#VALUE!</v>
      </c>
      <c r="O69" s="21" t="e">
        <f>_xll.BondOutstanding(C69)</f>
        <v>#VALUE!</v>
      </c>
      <c r="P69" s="25" t="e">
        <f>_xll.xlBondYieldSensCustom(D69,E69,F69,G69,H69,I69,J69,B69,Q69,$AM$2,$AN$2,$AO$2,$AP$2,$AQ$2,"y")</f>
        <v>#NUM!</v>
      </c>
      <c r="Q69" s="26" t="e">
        <f>_xll.RtGet("IDN",$K69,IF(OR($D69="BTP,$E11=""CTZ"),Q$5,Q$4))</f>
        <v>#VALUE!</v>
      </c>
      <c r="R69" s="27" t="e">
        <f>_xll.RtGet("IDN",$K69,IF(OR($D69="BTP,$E11=""CTZ"),R$5,R$4))</f>
        <v>#VALUE!</v>
      </c>
      <c r="S69" s="28" t="e">
        <f>_xll.xlBondYieldSensCustom(D69,E69,F69,G69,H69,I69,J69,B69,R69,$AM$2,$AN$2,$AO$2,$AP$2,$AQ$2,"y")</f>
        <v>#NUM!</v>
      </c>
      <c r="T69" s="23" t="e">
        <f t="shared" si="4"/>
        <v>#VALUE!</v>
      </c>
      <c r="U69" s="83" t="e">
        <f>_xll.xlBondYieldSensCustom(D69,E69,F69,G69,H69,I69,J69,B69,T69,$AM$2,$AN$2,$AO$2,$AP$2,$AQ$2,"y")</f>
        <v>#NUM!</v>
      </c>
      <c r="V69" s="23"/>
      <c r="W69" s="23" t="e">
        <f t="shared" si="5"/>
        <v>#VALUE!</v>
      </c>
      <c r="X69" s="22"/>
      <c r="Y69" s="22" t="e">
        <f t="shared" si="6"/>
        <v>#NUM!</v>
      </c>
      <c r="Z69" s="23" t="e">
        <f>_xll.xlBondPriceCustom(D69,E69,F69,G69,H69,I69,J69,B69,Y69,$AM$2,$AN$2,$AO$2,$AP$2,$AQ$2)</f>
        <v>#NUM!</v>
      </c>
      <c r="AA69" s="20" t="e">
        <f t="array" ref="AA69:AG69">_xll.xlBondYieldSens(D69,E69,F69,G69,H69,I69,J69,B69,W69,$AA$5&amp;$AB$5&amp;$AC$5&amp;$AD$5&amp;$AE$5&amp;$AF$5&amp;$AG$5)</f>
        <v>#NUM!</v>
      </c>
      <c r="AB69" s="20" t="e">
        <v>#NUM!</v>
      </c>
      <c r="AC69" s="20" t="e">
        <v>#NUM!</v>
      </c>
      <c r="AD69" s="20" t="e">
        <v>#NUM!</v>
      </c>
      <c r="AE69" s="20" t="e">
        <v>#NUM!</v>
      </c>
      <c r="AF69" s="20" t="e">
        <v>#NUM!</v>
      </c>
      <c r="AG69" s="24" t="e">
        <v>#NUM!</v>
      </c>
      <c r="AH69" s="22" t="e">
        <f>_xll.xlBondYieldSensCustom(D69,E69,F69,G69,H69,I69,J69,B69,W69,$AM$2,$AN$2,$AO$2,$AP$2,$AQ$2,"y")</f>
        <v>#NUM!</v>
      </c>
      <c r="AI69" s="22" t="e">
        <f ca="1">IF(TRUE,_xll.xlShmInterpRateFwd("EONIA",_xll.xlDateSettle("target",$B$2,2),0,4,$F69),"")</f>
        <v>#NUM!</v>
      </c>
      <c r="AJ69" s="85" t="e">
        <f t="shared" ca="1" si="7"/>
        <v>#NUM!</v>
      </c>
      <c r="AO69" s="84"/>
    </row>
    <row r="70" spans="1:41" ht="15.75" x14ac:dyDescent="0.25">
      <c r="A70" s="2"/>
      <c r="B70" s="19" t="e">
        <f>MAX(_xll.xlBondValueDate(D70,$B$2),I70)</f>
        <v>#NUM!</v>
      </c>
      <c r="C70" s="20" t="e">
        <v>#N/A</v>
      </c>
      <c r="D70" s="86" t="e">
        <f t="array" ref="D70:N70">_xll.BondInfo(C70,$D$5:$N$5)</f>
        <v>#VALUE!</v>
      </c>
      <c r="E70" s="20" t="e">
        <v>#VALUE!</v>
      </c>
      <c r="F70" s="87" t="e">
        <v>#VALUE!</v>
      </c>
      <c r="G70" s="19" t="e">
        <v>#VALUE!</v>
      </c>
      <c r="H70" s="19" t="e">
        <v>#VALUE!</v>
      </c>
      <c r="I70" s="19" t="e">
        <v>#VALUE!</v>
      </c>
      <c r="J70" s="20" t="e">
        <v>#VALUE!</v>
      </c>
      <c r="K70" s="20" t="e">
        <v>#VALUE!</v>
      </c>
      <c r="L70" s="20" t="e">
        <v>#VALUE!</v>
      </c>
      <c r="M70" s="20" t="e">
        <v>#VALUE!</v>
      </c>
      <c r="N70" s="20" t="e">
        <v>#VALUE!</v>
      </c>
      <c r="O70" s="21" t="e">
        <f>_xll.BondOutstanding(C70)</f>
        <v>#VALUE!</v>
      </c>
      <c r="P70" s="25" t="e">
        <f>_xll.xlBondYieldSensCustom(D70,E70,F70,G70,H70,I70,J70,B70,Q70,$AM$2,$AN$2,$AO$2,$AP$2,$AQ$2,"y")</f>
        <v>#NUM!</v>
      </c>
      <c r="Q70" s="26" t="e">
        <f>_xll.RtGet("IDN",$K70,IF(OR($D70="BTP,$E11=""CTZ"),Q$5,Q$4))</f>
        <v>#VALUE!</v>
      </c>
      <c r="R70" s="27" t="e">
        <f>_xll.RtGet("IDN",$K70,IF(OR($D70="BTP,$E11=""CTZ"),R$5,R$4))</f>
        <v>#VALUE!</v>
      </c>
      <c r="S70" s="28" t="e">
        <f>_xll.xlBondYieldSensCustom(D70,E70,F70,G70,H70,I70,J70,B70,R70,$AM$2,$AN$2,$AO$2,$AP$2,$AQ$2,"y")</f>
        <v>#NUM!</v>
      </c>
      <c r="T70" s="23" t="e">
        <f t="shared" ref="T70:T80" si="8">AVERAGE(Q70:R70)</f>
        <v>#VALUE!</v>
      </c>
      <c r="U70" s="83" t="e">
        <f>_xll.xlBondYieldSensCustom(D70,E70,F70,G70,H70,I70,J70,B70,T70,$AM$2,$AN$2,$AO$2,$AP$2,$AQ$2,"y")</f>
        <v>#NUM!</v>
      </c>
      <c r="V70" s="23"/>
      <c r="W70" s="23" t="e">
        <f t="shared" ref="W70:W80" si="9">IF(ISNUMBER(V70),V70,T70)</f>
        <v>#VALUE!</v>
      </c>
      <c r="X70" s="22"/>
      <c r="Y70" s="22" t="e">
        <f t="shared" ref="Y70:Y80" si="10">IF(ISNUMBER(X70),X70,AH70)</f>
        <v>#NUM!</v>
      </c>
      <c r="Z70" s="23" t="e">
        <f>_xll.xlBondPriceCustom(D70,E70,F70,G70,H70,I70,J70,B70,Y70,$AM$2,$AN$2,$AO$2,$AP$2,$AQ$2)</f>
        <v>#NUM!</v>
      </c>
      <c r="AA70" s="20" t="e">
        <f t="array" ref="AA70:AG70">_xll.xlBondYieldSens(D70,E70,F70,G70,H70,I70,J70,B70,W70,$AA$5&amp;$AB$5&amp;$AC$5&amp;$AD$5&amp;$AE$5&amp;$AF$5&amp;$AG$5)</f>
        <v>#NUM!</v>
      </c>
      <c r="AB70" s="20" t="e">
        <v>#NUM!</v>
      </c>
      <c r="AC70" s="20" t="e">
        <v>#NUM!</v>
      </c>
      <c r="AD70" s="20" t="e">
        <v>#NUM!</v>
      </c>
      <c r="AE70" s="20" t="e">
        <v>#NUM!</v>
      </c>
      <c r="AF70" s="20" t="e">
        <v>#NUM!</v>
      </c>
      <c r="AG70" s="24" t="e">
        <v>#NUM!</v>
      </c>
      <c r="AH70" s="22" t="e">
        <f>_xll.xlBondYieldSensCustom(D70,E70,F70,G70,H70,I70,J70,B70,W70,$AM$2,$AN$2,$AO$2,$AP$2,$AQ$2,"y")</f>
        <v>#NUM!</v>
      </c>
      <c r="AI70" s="22" t="e">
        <f ca="1">IF(TRUE,_xll.xlShmInterpRateFwd("EONIA",_xll.xlDateSettle("target",$B$2,2),0,4,$F70),"")</f>
        <v>#NUM!</v>
      </c>
      <c r="AJ70" s="85" t="e">
        <f t="shared" ref="AJ70:AJ80" ca="1" si="11">$Y70-$AI70</f>
        <v>#NUM!</v>
      </c>
      <c r="AO70" s="84"/>
    </row>
    <row r="71" spans="1:41" ht="15.75" x14ac:dyDescent="0.25">
      <c r="A71" s="2"/>
      <c r="B71" s="19" t="e">
        <f>MAX(_xll.xlBondValueDate(D71,$B$2),I71)</f>
        <v>#NUM!</v>
      </c>
      <c r="C71" s="20" t="e">
        <v>#N/A</v>
      </c>
      <c r="D71" s="86" t="e">
        <f t="array" ref="D71:N71">_xll.BondInfo(C71,$D$5:$N$5)</f>
        <v>#VALUE!</v>
      </c>
      <c r="E71" s="20" t="e">
        <v>#VALUE!</v>
      </c>
      <c r="F71" s="87" t="e">
        <v>#VALUE!</v>
      </c>
      <c r="G71" s="19" t="e">
        <v>#VALUE!</v>
      </c>
      <c r="H71" s="19" t="e">
        <v>#VALUE!</v>
      </c>
      <c r="I71" s="19" t="e">
        <v>#VALUE!</v>
      </c>
      <c r="J71" s="20" t="e">
        <v>#VALUE!</v>
      </c>
      <c r="K71" s="20" t="e">
        <v>#VALUE!</v>
      </c>
      <c r="L71" s="20" t="e">
        <v>#VALUE!</v>
      </c>
      <c r="M71" s="20" t="e">
        <v>#VALUE!</v>
      </c>
      <c r="N71" s="20" t="e">
        <v>#VALUE!</v>
      </c>
      <c r="O71" s="21" t="e">
        <f>_xll.BondOutstanding(C71)</f>
        <v>#VALUE!</v>
      </c>
      <c r="P71" s="25" t="e">
        <f>_xll.xlBondYieldSensCustom(D71,E71,F71,G71,H71,I71,J71,B71,Q71,$AM$2,$AN$2,$AO$2,$AP$2,$AQ$2,"y")</f>
        <v>#NUM!</v>
      </c>
      <c r="Q71" s="26" t="e">
        <f>_xll.RtGet("IDN",$K71,IF(OR($D71="BTP,$E11=""CTZ"),Q$5,Q$4))</f>
        <v>#VALUE!</v>
      </c>
      <c r="R71" s="27" t="e">
        <f>_xll.RtGet("IDN",$K71,IF(OR($D71="BTP,$E11=""CTZ"),R$5,R$4))</f>
        <v>#VALUE!</v>
      </c>
      <c r="S71" s="28" t="e">
        <f>_xll.xlBondYieldSensCustom(D71,E71,F71,G71,H71,I71,J71,B71,R71,$AM$2,$AN$2,$AO$2,$AP$2,$AQ$2,"y")</f>
        <v>#NUM!</v>
      </c>
      <c r="T71" s="23" t="e">
        <f t="shared" si="8"/>
        <v>#VALUE!</v>
      </c>
      <c r="U71" s="83" t="e">
        <f>_xll.xlBondYieldSensCustom(D71,E71,F71,G71,H71,I71,J71,B71,T71,$AM$2,$AN$2,$AO$2,$AP$2,$AQ$2,"y")</f>
        <v>#NUM!</v>
      </c>
      <c r="V71" s="23"/>
      <c r="W71" s="23" t="e">
        <f t="shared" si="9"/>
        <v>#VALUE!</v>
      </c>
      <c r="X71" s="22"/>
      <c r="Y71" s="22" t="e">
        <f t="shared" si="10"/>
        <v>#NUM!</v>
      </c>
      <c r="Z71" s="23" t="e">
        <f>_xll.xlBondPriceCustom(D71,E71,F71,G71,H71,I71,J71,B71,Y71,$AM$2,$AN$2,$AO$2,$AP$2,$AQ$2)</f>
        <v>#NUM!</v>
      </c>
      <c r="AA71" s="20" t="e">
        <f t="array" ref="AA71:AG71">_xll.xlBondYieldSens(D71,E71,F71,G71,H71,I71,J71,B71,W71,$AA$5&amp;$AB$5&amp;$AC$5&amp;$AD$5&amp;$AE$5&amp;$AF$5&amp;$AG$5)</f>
        <v>#NUM!</v>
      </c>
      <c r="AB71" s="20" t="e">
        <v>#NUM!</v>
      </c>
      <c r="AC71" s="20" t="e">
        <v>#NUM!</v>
      </c>
      <c r="AD71" s="20" t="e">
        <v>#NUM!</v>
      </c>
      <c r="AE71" s="20" t="e">
        <v>#NUM!</v>
      </c>
      <c r="AF71" s="20" t="e">
        <v>#NUM!</v>
      </c>
      <c r="AG71" s="24" t="e">
        <v>#NUM!</v>
      </c>
      <c r="AH71" s="22" t="e">
        <f>_xll.xlBondYieldSensCustom(D71,E71,F71,G71,H71,I71,J71,B71,W71,$AM$2,$AN$2,$AO$2,$AP$2,$AQ$2,"y")</f>
        <v>#NUM!</v>
      </c>
      <c r="AI71" s="22" t="e">
        <f ca="1">IF(TRUE,_xll.xlShmInterpRateFwd("EONIA",_xll.xlDateSettle("target",$B$2,2),0,4,$F71),"")</f>
        <v>#NUM!</v>
      </c>
      <c r="AJ71" s="85" t="e">
        <f t="shared" ca="1" si="11"/>
        <v>#NUM!</v>
      </c>
      <c r="AO71" s="84"/>
    </row>
    <row r="72" spans="1:41" ht="15.75" x14ac:dyDescent="0.25">
      <c r="A72" s="2"/>
      <c r="B72" s="19" t="e">
        <f>MAX(_xll.xlBondValueDate(D72,$B$2),I72)</f>
        <v>#NUM!</v>
      </c>
      <c r="C72" s="20" t="e">
        <v>#N/A</v>
      </c>
      <c r="D72" s="86" t="e">
        <f t="array" ref="D72:N72">_xll.BondInfo(C72,$D$5:$N$5)</f>
        <v>#VALUE!</v>
      </c>
      <c r="E72" s="20" t="e">
        <v>#VALUE!</v>
      </c>
      <c r="F72" s="87" t="e">
        <v>#VALUE!</v>
      </c>
      <c r="G72" s="19" t="e">
        <v>#VALUE!</v>
      </c>
      <c r="H72" s="19" t="e">
        <v>#VALUE!</v>
      </c>
      <c r="I72" s="19" t="e">
        <v>#VALUE!</v>
      </c>
      <c r="J72" s="20" t="e">
        <v>#VALUE!</v>
      </c>
      <c r="K72" s="20" t="e">
        <v>#VALUE!</v>
      </c>
      <c r="L72" s="20" t="e">
        <v>#VALUE!</v>
      </c>
      <c r="M72" s="20" t="e">
        <v>#VALUE!</v>
      </c>
      <c r="N72" s="20" t="e">
        <v>#VALUE!</v>
      </c>
      <c r="O72" s="21" t="e">
        <f>_xll.BondOutstanding(C72)</f>
        <v>#VALUE!</v>
      </c>
      <c r="P72" s="25" t="e">
        <f>_xll.xlBondYieldSensCustom(D72,E72,F72,G72,H72,I72,J72,B72,Q72,$AM$2,$AN$2,$AO$2,$AP$2,$AQ$2,"y")</f>
        <v>#NUM!</v>
      </c>
      <c r="Q72" s="26" t="e">
        <f>_xll.RtGet("IDN",$K72,IF(OR($D72="BTP,$E11=""CTZ"),Q$5,Q$4))</f>
        <v>#VALUE!</v>
      </c>
      <c r="R72" s="27" t="e">
        <f>_xll.RtGet("IDN",$K72,IF(OR($D72="BTP,$E11=""CTZ"),R$5,R$4))</f>
        <v>#VALUE!</v>
      </c>
      <c r="S72" s="28" t="e">
        <f>_xll.xlBondYieldSensCustom(D72,E72,F72,G72,H72,I72,J72,B72,R72,$AM$2,$AN$2,$AO$2,$AP$2,$AQ$2,"y")</f>
        <v>#NUM!</v>
      </c>
      <c r="T72" s="23" t="e">
        <f t="shared" si="8"/>
        <v>#VALUE!</v>
      </c>
      <c r="U72" s="83" t="e">
        <f>_xll.xlBondYieldSensCustom(D72,E72,F72,G72,H72,I72,J72,B72,T72,$AM$2,$AN$2,$AO$2,$AP$2,$AQ$2,"y")</f>
        <v>#NUM!</v>
      </c>
      <c r="V72" s="23"/>
      <c r="W72" s="23" t="e">
        <f t="shared" si="9"/>
        <v>#VALUE!</v>
      </c>
      <c r="X72" s="22"/>
      <c r="Y72" s="22" t="e">
        <f t="shared" si="10"/>
        <v>#NUM!</v>
      </c>
      <c r="Z72" s="23" t="e">
        <f>_xll.xlBondPriceCustom(D72,E72,F72,G72,H72,I72,J72,B72,Y72,$AM$2,$AN$2,$AO$2,$AP$2,$AQ$2)</f>
        <v>#NUM!</v>
      </c>
      <c r="AA72" s="20" t="e">
        <f t="array" ref="AA72:AG72">_xll.xlBondYieldSens(D72,E72,F72,G72,H72,I72,J72,B72,W72,$AA$5&amp;$AB$5&amp;$AC$5&amp;$AD$5&amp;$AE$5&amp;$AF$5&amp;$AG$5)</f>
        <v>#NUM!</v>
      </c>
      <c r="AB72" s="20" t="e">
        <v>#NUM!</v>
      </c>
      <c r="AC72" s="20" t="e">
        <v>#NUM!</v>
      </c>
      <c r="AD72" s="20" t="e">
        <v>#NUM!</v>
      </c>
      <c r="AE72" s="20" t="e">
        <v>#NUM!</v>
      </c>
      <c r="AF72" s="20" t="e">
        <v>#NUM!</v>
      </c>
      <c r="AG72" s="24" t="e">
        <v>#NUM!</v>
      </c>
      <c r="AH72" s="22" t="e">
        <f>_xll.xlBondYieldSensCustom(D72,E72,F72,G72,H72,I72,J72,B72,W72,$AM$2,$AN$2,$AO$2,$AP$2,$AQ$2,"y")</f>
        <v>#NUM!</v>
      </c>
      <c r="AI72" s="22"/>
      <c r="AJ72" s="85" t="e">
        <f t="shared" si="11"/>
        <v>#NUM!</v>
      </c>
      <c r="AO72" s="84"/>
    </row>
    <row r="73" spans="1:41" ht="15.75" x14ac:dyDescent="0.25">
      <c r="A73" s="2"/>
      <c r="B73" s="19" t="e">
        <f>MAX(_xll.xlBondValueDate(D73,$B$2),I73)</f>
        <v>#NUM!</v>
      </c>
      <c r="C73" s="20" t="e">
        <v>#N/A</v>
      </c>
      <c r="D73" s="86" t="e">
        <f t="array" ref="D73:N73">_xll.BondInfo(C73,$D$5:$N$5)</f>
        <v>#VALUE!</v>
      </c>
      <c r="E73" s="20" t="e">
        <v>#VALUE!</v>
      </c>
      <c r="F73" s="87" t="e">
        <v>#VALUE!</v>
      </c>
      <c r="G73" s="19" t="e">
        <v>#VALUE!</v>
      </c>
      <c r="H73" s="19" t="e">
        <v>#VALUE!</v>
      </c>
      <c r="I73" s="19" t="e">
        <v>#VALUE!</v>
      </c>
      <c r="J73" s="20" t="e">
        <v>#VALUE!</v>
      </c>
      <c r="K73" s="20" t="e">
        <v>#VALUE!</v>
      </c>
      <c r="L73" s="20" t="e">
        <v>#VALUE!</v>
      </c>
      <c r="M73" s="20" t="e">
        <v>#VALUE!</v>
      </c>
      <c r="N73" s="20" t="e">
        <v>#VALUE!</v>
      </c>
      <c r="O73" s="21" t="e">
        <f>_xll.BondOutstanding(C73)</f>
        <v>#VALUE!</v>
      </c>
      <c r="P73" s="25" t="e">
        <f>_xll.xlBondYieldSensCustom(D73,E73,F73,G73,H73,I73,J73,B73,Q73,$AM$2,$AN$2,$AO$2,$AP$2,$AQ$2,"y")</f>
        <v>#NUM!</v>
      </c>
      <c r="Q73" s="26" t="e">
        <f>_xll.RtGet("IDN",$K73,IF(OR($D73="BTP,$E11=""CTZ"),Q$5,Q$4))</f>
        <v>#VALUE!</v>
      </c>
      <c r="R73" s="27" t="e">
        <f>_xll.RtGet("IDN",$K73,IF(OR($D73="BTP,$E11=""CTZ"),R$5,R$4))</f>
        <v>#VALUE!</v>
      </c>
      <c r="S73" s="28" t="e">
        <f>_xll.xlBondYieldSensCustom(D73,E73,F73,G73,H73,I73,J73,B73,R73,$AM$2,$AN$2,$AO$2,$AP$2,$AQ$2,"y")</f>
        <v>#NUM!</v>
      </c>
      <c r="T73" s="23" t="e">
        <f t="shared" si="8"/>
        <v>#VALUE!</v>
      </c>
      <c r="U73" s="83" t="e">
        <f>_xll.xlBondYieldSensCustom(D73,E73,F73,G73,H73,I73,J73,B73,T73,$AM$2,$AN$2,$AO$2,$AP$2,$AQ$2,"y")</f>
        <v>#NUM!</v>
      </c>
      <c r="V73" s="23"/>
      <c r="W73" s="23" t="e">
        <f t="shared" si="9"/>
        <v>#VALUE!</v>
      </c>
      <c r="X73" s="22"/>
      <c r="Y73" s="22" t="e">
        <f t="shared" si="10"/>
        <v>#NUM!</v>
      </c>
      <c r="Z73" s="23" t="e">
        <f>_xll.xlBondPriceCustom(D73,E73,F73,G73,H73,I73,J73,B73,Y73,$AM$2,$AN$2,$AO$2,$AP$2,$AQ$2)</f>
        <v>#NUM!</v>
      </c>
      <c r="AA73" s="20" t="e">
        <f t="array" ref="AA73:AG73">_xll.xlBondYieldSens(D73,E73,F73,G73,H73,I73,J73,B73,W73,$AA$5&amp;$AB$5&amp;$AC$5&amp;$AD$5&amp;$AE$5&amp;$AF$5&amp;$AG$5)</f>
        <v>#NUM!</v>
      </c>
      <c r="AB73" s="20" t="e">
        <v>#NUM!</v>
      </c>
      <c r="AC73" s="20" t="e">
        <v>#NUM!</v>
      </c>
      <c r="AD73" s="20" t="e">
        <v>#NUM!</v>
      </c>
      <c r="AE73" s="20" t="e">
        <v>#NUM!</v>
      </c>
      <c r="AF73" s="20" t="e">
        <v>#NUM!</v>
      </c>
      <c r="AG73" s="24" t="e">
        <v>#NUM!</v>
      </c>
      <c r="AH73" s="22" t="e">
        <f>_xll.xlBondYieldSensCustom(D73,E73,F73,G73,H73,I73,J73,B73,W73,$AM$2,$AN$2,$AO$2,$AP$2,$AQ$2,"y")</f>
        <v>#NUM!</v>
      </c>
      <c r="AI73" s="22"/>
      <c r="AJ73" s="85" t="e">
        <f t="shared" si="11"/>
        <v>#NUM!</v>
      </c>
      <c r="AO73" s="84"/>
    </row>
    <row r="74" spans="1:41" ht="15.75" x14ac:dyDescent="0.25">
      <c r="A74" s="2"/>
      <c r="B74" s="19" t="e">
        <f>MAX(_xll.xlBondValueDate(D74,$B$2),I74)</f>
        <v>#NUM!</v>
      </c>
      <c r="C74" s="20" t="e">
        <v>#N/A</v>
      </c>
      <c r="D74" s="86" t="e">
        <f t="array" ref="D74:N74">_xll.BondInfo(C74,$D$5:$N$5)</f>
        <v>#VALUE!</v>
      </c>
      <c r="E74" s="20" t="e">
        <v>#VALUE!</v>
      </c>
      <c r="F74" s="87" t="e">
        <v>#VALUE!</v>
      </c>
      <c r="G74" s="19" t="e">
        <v>#VALUE!</v>
      </c>
      <c r="H74" s="19" t="e">
        <v>#VALUE!</v>
      </c>
      <c r="I74" s="19" t="e">
        <v>#VALUE!</v>
      </c>
      <c r="J74" s="20" t="e">
        <v>#VALUE!</v>
      </c>
      <c r="K74" s="20" t="e">
        <v>#VALUE!</v>
      </c>
      <c r="L74" s="20" t="e">
        <v>#VALUE!</v>
      </c>
      <c r="M74" s="20" t="e">
        <v>#VALUE!</v>
      </c>
      <c r="N74" s="20" t="e">
        <v>#VALUE!</v>
      </c>
      <c r="O74" s="21" t="e">
        <f>_xll.BondOutstanding(C74)</f>
        <v>#VALUE!</v>
      </c>
      <c r="P74" s="25" t="e">
        <f>_xll.xlBondYieldSensCustom(D74,E74,F74,G74,H74,I74,J74,B74,Q74,$AM$2,$AN$2,$AO$2,$AP$2,$AQ$2,"y")</f>
        <v>#NUM!</v>
      </c>
      <c r="Q74" s="26" t="e">
        <f>_xll.RtGet("IDN",$K74,IF(OR($D74="BTP,$E11=""CTZ"),Q$5,Q$4))</f>
        <v>#VALUE!</v>
      </c>
      <c r="R74" s="27" t="e">
        <f>_xll.RtGet("IDN",$K74,IF(OR($D74="BTP,$E11=""CTZ"),R$5,R$4))</f>
        <v>#VALUE!</v>
      </c>
      <c r="S74" s="28" t="e">
        <f>_xll.xlBondYieldSensCustom(D74,E74,F74,G74,H74,I74,J74,B74,R74,$AM$2,$AN$2,$AO$2,$AP$2,$AQ$2,"y")</f>
        <v>#NUM!</v>
      </c>
      <c r="T74" s="23" t="e">
        <f t="shared" si="8"/>
        <v>#VALUE!</v>
      </c>
      <c r="U74" s="83" t="e">
        <f>_xll.xlBondYieldSensCustom(D74,E74,F74,G74,H74,I74,J74,B74,T74,$AM$2,$AN$2,$AO$2,$AP$2,$AQ$2,"y")</f>
        <v>#NUM!</v>
      </c>
      <c r="V74" s="23"/>
      <c r="W74" s="23" t="e">
        <f t="shared" si="9"/>
        <v>#VALUE!</v>
      </c>
      <c r="X74" s="22"/>
      <c r="Y74" s="22" t="e">
        <f t="shared" si="10"/>
        <v>#NUM!</v>
      </c>
      <c r="Z74" s="23" t="e">
        <f>_xll.xlBondPriceCustom(D74,E74,F74,G74,H74,I74,J74,B74,Y74,$AM$2,$AN$2,$AO$2,$AP$2,$AQ$2)</f>
        <v>#NUM!</v>
      </c>
      <c r="AA74" s="20" t="e">
        <f t="array" ref="AA74:AG74">_xll.xlBondYieldSens(D74,E74,F74,G74,H74,I74,J74,B74,W74,$AA$5&amp;$AB$5&amp;$AC$5&amp;$AD$5&amp;$AE$5&amp;$AF$5&amp;$AG$5)</f>
        <v>#NUM!</v>
      </c>
      <c r="AB74" s="20" t="e">
        <v>#NUM!</v>
      </c>
      <c r="AC74" s="20" t="e">
        <v>#NUM!</v>
      </c>
      <c r="AD74" s="20" t="e">
        <v>#NUM!</v>
      </c>
      <c r="AE74" s="20" t="e">
        <v>#NUM!</v>
      </c>
      <c r="AF74" s="20" t="e">
        <v>#NUM!</v>
      </c>
      <c r="AG74" s="24" t="e">
        <v>#NUM!</v>
      </c>
      <c r="AH74" s="22" t="e">
        <f>_xll.xlBondYieldSensCustom(D74,E74,F74,G74,H74,I74,J74,B74,W74,$AM$2,$AN$2,$AO$2,$AP$2,$AQ$2,"y")</f>
        <v>#NUM!</v>
      </c>
      <c r="AI74" s="22"/>
      <c r="AJ74" s="85" t="e">
        <f t="shared" si="11"/>
        <v>#NUM!</v>
      </c>
      <c r="AO74" s="84"/>
    </row>
    <row r="75" spans="1:41" ht="15.75" x14ac:dyDescent="0.25">
      <c r="A75" s="2"/>
      <c r="B75" s="19" t="e">
        <f>MAX(_xll.xlBondValueDate(D75,$B$2),I75)</f>
        <v>#NUM!</v>
      </c>
      <c r="C75" s="20" t="e">
        <v>#N/A</v>
      </c>
      <c r="D75" s="86" t="e">
        <f t="array" ref="D75:N75">_xll.BondInfo(C75,$D$5:$N$5)</f>
        <v>#VALUE!</v>
      </c>
      <c r="E75" s="20" t="e">
        <v>#VALUE!</v>
      </c>
      <c r="F75" s="87" t="e">
        <v>#VALUE!</v>
      </c>
      <c r="G75" s="19" t="e">
        <v>#VALUE!</v>
      </c>
      <c r="H75" s="19" t="e">
        <v>#VALUE!</v>
      </c>
      <c r="I75" s="19" t="e">
        <v>#VALUE!</v>
      </c>
      <c r="J75" s="20" t="e">
        <v>#VALUE!</v>
      </c>
      <c r="K75" s="20" t="e">
        <v>#VALUE!</v>
      </c>
      <c r="L75" s="20" t="e">
        <v>#VALUE!</v>
      </c>
      <c r="M75" s="20" t="e">
        <v>#VALUE!</v>
      </c>
      <c r="N75" s="20" t="e">
        <v>#VALUE!</v>
      </c>
      <c r="O75" s="21" t="e">
        <f>_xll.BondOutstanding(C75)</f>
        <v>#VALUE!</v>
      </c>
      <c r="P75" s="25" t="e">
        <f>_xll.xlBondYieldSensCustom(D75,E75,F75,G75,H75,I75,J75,B75,Q75,$AM$2,$AN$2,$AO$2,$AP$2,$AQ$2,"y")</f>
        <v>#NUM!</v>
      </c>
      <c r="Q75" s="26" t="e">
        <f>_xll.RtGet("IDN",$K75,IF(OR($D75="BTP,$E11=""CTZ"),Q$5,Q$4))</f>
        <v>#VALUE!</v>
      </c>
      <c r="R75" s="27" t="e">
        <f>_xll.RtGet("IDN",$K75,IF(OR($D75="BTP,$E11=""CTZ"),R$5,R$4))</f>
        <v>#VALUE!</v>
      </c>
      <c r="S75" s="28" t="e">
        <f>_xll.xlBondYieldSensCustom(D75,E75,F75,G75,H75,I75,J75,B75,R75,$AM$2,$AN$2,$AO$2,$AP$2,$AQ$2,"y")</f>
        <v>#NUM!</v>
      </c>
      <c r="T75" s="23" t="e">
        <f t="shared" si="8"/>
        <v>#VALUE!</v>
      </c>
      <c r="U75" s="83" t="e">
        <f>_xll.xlBondYieldSensCustom(D75,E75,F75,G75,H75,I75,J75,B75,T75,$AM$2,$AN$2,$AO$2,$AP$2,$AQ$2,"y")</f>
        <v>#NUM!</v>
      </c>
      <c r="V75" s="23"/>
      <c r="W75" s="23" t="e">
        <f t="shared" si="9"/>
        <v>#VALUE!</v>
      </c>
      <c r="X75" s="22"/>
      <c r="Y75" s="22" t="e">
        <f t="shared" si="10"/>
        <v>#NUM!</v>
      </c>
      <c r="Z75" s="23" t="e">
        <f>_xll.xlBondPriceCustom(D75,E75,F75,G75,H75,I75,J75,B75,Y75,$AM$2,$AN$2,$AO$2,$AP$2,$AQ$2)</f>
        <v>#NUM!</v>
      </c>
      <c r="AA75" s="20" t="e">
        <f t="array" ref="AA75:AG75">_xll.xlBondYieldSens(D75,E75,F75,G75,H75,I75,J75,B75,W75,$AA$5&amp;$AB$5&amp;$AC$5&amp;$AD$5&amp;$AE$5&amp;$AF$5&amp;$AG$5)</f>
        <v>#NUM!</v>
      </c>
      <c r="AB75" s="20" t="e">
        <v>#NUM!</v>
      </c>
      <c r="AC75" s="20" t="e">
        <v>#NUM!</v>
      </c>
      <c r="AD75" s="20" t="e">
        <v>#NUM!</v>
      </c>
      <c r="AE75" s="20" t="e">
        <v>#NUM!</v>
      </c>
      <c r="AF75" s="20" t="e">
        <v>#NUM!</v>
      </c>
      <c r="AG75" s="24" t="e">
        <v>#NUM!</v>
      </c>
      <c r="AH75" s="22" t="e">
        <f>_xll.xlBondYieldSensCustom(D75,E75,F75,G75,H75,I75,J75,B75,W75,$AM$2,$AN$2,$AO$2,$AP$2,$AQ$2,"y")</f>
        <v>#NUM!</v>
      </c>
      <c r="AI75" s="22"/>
      <c r="AJ75" s="85" t="e">
        <f t="shared" si="11"/>
        <v>#NUM!</v>
      </c>
      <c r="AO75" s="84"/>
    </row>
    <row r="76" spans="1:41" ht="15.75" x14ac:dyDescent="0.25">
      <c r="A76" s="2"/>
      <c r="B76" s="19" t="e">
        <f>MAX(_xll.xlBondValueDate(D76,$B$2),I76)</f>
        <v>#NUM!</v>
      </c>
      <c r="C76" s="20" t="e">
        <v>#N/A</v>
      </c>
      <c r="D76" s="86" t="e">
        <f t="array" ref="D76:N76">_xll.BondInfo(C76,$D$5:$N$5)</f>
        <v>#VALUE!</v>
      </c>
      <c r="E76" s="20" t="e">
        <v>#VALUE!</v>
      </c>
      <c r="F76" s="87" t="e">
        <v>#VALUE!</v>
      </c>
      <c r="G76" s="19" t="e">
        <v>#VALUE!</v>
      </c>
      <c r="H76" s="19" t="e">
        <v>#VALUE!</v>
      </c>
      <c r="I76" s="19" t="e">
        <v>#VALUE!</v>
      </c>
      <c r="J76" s="20" t="e">
        <v>#VALUE!</v>
      </c>
      <c r="K76" s="20" t="e">
        <v>#VALUE!</v>
      </c>
      <c r="L76" s="20" t="e">
        <v>#VALUE!</v>
      </c>
      <c r="M76" s="20" t="e">
        <v>#VALUE!</v>
      </c>
      <c r="N76" s="20" t="e">
        <v>#VALUE!</v>
      </c>
      <c r="O76" s="21" t="e">
        <f>_xll.BondOutstanding(C76)</f>
        <v>#VALUE!</v>
      </c>
      <c r="P76" s="25" t="e">
        <f>_xll.xlBondYieldSensCustom(D76,E76,F76,G76,H76,I76,J76,B76,Q76,$AM$2,$AN$2,$AO$2,$AP$2,$AQ$2,"y")</f>
        <v>#NUM!</v>
      </c>
      <c r="Q76" s="26" t="e">
        <f>_xll.RtGet("IDN",$K76,IF(OR($D76="BTP,$E11=""CTZ"),Q$5,Q$4))</f>
        <v>#VALUE!</v>
      </c>
      <c r="R76" s="27" t="e">
        <f>_xll.RtGet("IDN",$K76,IF(OR($D76="BTP,$E11=""CTZ"),R$5,R$4))</f>
        <v>#VALUE!</v>
      </c>
      <c r="S76" s="28" t="e">
        <f>_xll.xlBondYieldSensCustom(D76,E76,F76,G76,H76,I76,J76,B76,R76,$AM$2,$AN$2,$AO$2,$AP$2,$AQ$2,"y")</f>
        <v>#NUM!</v>
      </c>
      <c r="T76" s="23" t="e">
        <f t="shared" si="8"/>
        <v>#VALUE!</v>
      </c>
      <c r="U76" s="83" t="e">
        <f>_xll.xlBondYieldSensCustom(D76,E76,F76,G76,H76,I76,J76,B76,T76,$AM$2,$AN$2,$AO$2,$AP$2,$AQ$2,"y")</f>
        <v>#NUM!</v>
      </c>
      <c r="V76" s="23"/>
      <c r="W76" s="23" t="e">
        <f t="shared" si="9"/>
        <v>#VALUE!</v>
      </c>
      <c r="X76" s="22"/>
      <c r="Y76" s="22" t="e">
        <f t="shared" si="10"/>
        <v>#NUM!</v>
      </c>
      <c r="Z76" s="23" t="e">
        <f>_xll.xlBondPriceCustom(D76,E76,F76,G76,H76,I76,J76,B76,Y76,$AM$2,$AN$2,$AO$2,$AP$2,$AQ$2)</f>
        <v>#NUM!</v>
      </c>
      <c r="AA76" s="20" t="e">
        <f t="array" ref="AA76:AG76">_xll.xlBondYieldSens(D76,E76,F76,G76,H76,I76,J76,B76,W76,$AA$5&amp;$AB$5&amp;$AC$5&amp;$AD$5&amp;$AE$5&amp;$AF$5&amp;$AG$5)</f>
        <v>#NUM!</v>
      </c>
      <c r="AB76" s="20" t="e">
        <v>#NUM!</v>
      </c>
      <c r="AC76" s="20" t="e">
        <v>#NUM!</v>
      </c>
      <c r="AD76" s="20" t="e">
        <v>#NUM!</v>
      </c>
      <c r="AE76" s="20" t="e">
        <v>#NUM!</v>
      </c>
      <c r="AF76" s="20" t="e">
        <v>#NUM!</v>
      </c>
      <c r="AG76" s="24" t="e">
        <v>#NUM!</v>
      </c>
      <c r="AH76" s="22" t="e">
        <f>_xll.xlBondYieldSensCustom(D76,E76,F76,G76,H76,I76,J76,B76,W76,$AM$2,$AN$2,$AO$2,$AP$2,$AQ$2,"y")</f>
        <v>#NUM!</v>
      </c>
      <c r="AI76" s="22"/>
      <c r="AJ76" s="85" t="e">
        <f t="shared" si="11"/>
        <v>#NUM!</v>
      </c>
      <c r="AO76" s="84"/>
    </row>
    <row r="77" spans="1:41" ht="15.75" x14ac:dyDescent="0.25">
      <c r="A77" s="2"/>
      <c r="B77" s="19" t="e">
        <f>MAX(_xll.xlBondValueDate(D77,$B$2),I77)</f>
        <v>#NUM!</v>
      </c>
      <c r="C77" s="20" t="e">
        <v>#N/A</v>
      </c>
      <c r="D77" s="86" t="e">
        <f t="array" ref="D77:N77">_xll.BondInfo(C77,$D$5:$N$5)</f>
        <v>#VALUE!</v>
      </c>
      <c r="E77" s="20" t="e">
        <v>#VALUE!</v>
      </c>
      <c r="F77" s="87" t="e">
        <v>#VALUE!</v>
      </c>
      <c r="G77" s="19" t="e">
        <v>#VALUE!</v>
      </c>
      <c r="H77" s="19" t="e">
        <v>#VALUE!</v>
      </c>
      <c r="I77" s="19" t="e">
        <v>#VALUE!</v>
      </c>
      <c r="J77" s="20" t="e">
        <v>#VALUE!</v>
      </c>
      <c r="K77" s="20" t="e">
        <v>#VALUE!</v>
      </c>
      <c r="L77" s="20" t="e">
        <v>#VALUE!</v>
      </c>
      <c r="M77" s="20" t="e">
        <v>#VALUE!</v>
      </c>
      <c r="N77" s="20" t="e">
        <v>#VALUE!</v>
      </c>
      <c r="O77" s="21" t="e">
        <f>_xll.BondOutstanding(C77)</f>
        <v>#VALUE!</v>
      </c>
      <c r="P77" s="25" t="e">
        <f>_xll.xlBondYieldSensCustom(D77,E77,F77,G77,H77,I77,J77,B77,Q77,$AM$2,$AN$2,$AO$2,$AP$2,$AQ$2,"y")</f>
        <v>#NUM!</v>
      </c>
      <c r="Q77" s="26" t="e">
        <f>_xll.RtGet("IDN",$K77,IF(OR($D77="BTP,$E11=""CTZ"),Q$5,Q$4))</f>
        <v>#VALUE!</v>
      </c>
      <c r="R77" s="27" t="e">
        <f>_xll.RtGet("IDN",$K77,IF(OR($D77="BTP,$E11=""CTZ"),R$5,R$4))</f>
        <v>#VALUE!</v>
      </c>
      <c r="S77" s="28" t="e">
        <f>_xll.xlBondYieldSensCustom(D77,E77,F77,G77,H77,I77,J77,B77,R77,$AM$2,$AN$2,$AO$2,$AP$2,$AQ$2,"y")</f>
        <v>#NUM!</v>
      </c>
      <c r="T77" s="23" t="e">
        <f t="shared" si="8"/>
        <v>#VALUE!</v>
      </c>
      <c r="U77" s="83" t="e">
        <f>_xll.xlBondYieldSensCustom(D77,E77,F77,G77,H77,I77,J77,B77,T77,$AM$2,$AN$2,$AO$2,$AP$2,$AQ$2,"y")</f>
        <v>#NUM!</v>
      </c>
      <c r="V77" s="23"/>
      <c r="W77" s="23" t="e">
        <f t="shared" si="9"/>
        <v>#VALUE!</v>
      </c>
      <c r="X77" s="22"/>
      <c r="Y77" s="22" t="e">
        <f t="shared" si="10"/>
        <v>#NUM!</v>
      </c>
      <c r="Z77" s="23" t="e">
        <f>_xll.xlBondPriceCustom(D77,E77,F77,G77,H77,I77,J77,B77,Y77,$AM$2,$AN$2,$AO$2,$AP$2,$AQ$2)</f>
        <v>#NUM!</v>
      </c>
      <c r="AA77" s="20" t="e">
        <f t="array" ref="AA77:AG77">_xll.xlBondYieldSens(D77,E77,F77,G77,H77,I77,J77,B77,W77,$AA$5&amp;$AB$5&amp;$AC$5&amp;$AD$5&amp;$AE$5&amp;$AF$5&amp;$AG$5)</f>
        <v>#NUM!</v>
      </c>
      <c r="AB77" s="20" t="e">
        <v>#NUM!</v>
      </c>
      <c r="AC77" s="20" t="e">
        <v>#NUM!</v>
      </c>
      <c r="AD77" s="20" t="e">
        <v>#NUM!</v>
      </c>
      <c r="AE77" s="20" t="e">
        <v>#NUM!</v>
      </c>
      <c r="AF77" s="20" t="e">
        <v>#NUM!</v>
      </c>
      <c r="AG77" s="24" t="e">
        <v>#NUM!</v>
      </c>
      <c r="AH77" s="22" t="e">
        <f>_xll.xlBondYieldSensCustom(D77,E77,F77,G77,H77,I77,J77,B77,W77,$AM$2,$AN$2,$AO$2,$AP$2,$AQ$2,"y")</f>
        <v>#NUM!</v>
      </c>
      <c r="AI77" s="22"/>
      <c r="AJ77" s="85" t="e">
        <f t="shared" si="11"/>
        <v>#NUM!</v>
      </c>
      <c r="AO77" s="84"/>
    </row>
    <row r="78" spans="1:41" ht="15.75" x14ac:dyDescent="0.25">
      <c r="A78" s="2"/>
      <c r="B78" s="19" t="e">
        <f>MAX(_xll.xlBondValueDate(D78,$B$2),I78)</f>
        <v>#NUM!</v>
      </c>
      <c r="C78" s="20" t="e">
        <v>#N/A</v>
      </c>
      <c r="D78" s="86" t="e">
        <f t="array" ref="D78:N78">_xll.BondInfo(C78,$D$5:$N$5)</f>
        <v>#VALUE!</v>
      </c>
      <c r="E78" s="20" t="e">
        <v>#VALUE!</v>
      </c>
      <c r="F78" s="87" t="e">
        <v>#VALUE!</v>
      </c>
      <c r="G78" s="19" t="e">
        <v>#VALUE!</v>
      </c>
      <c r="H78" s="19" t="e">
        <v>#VALUE!</v>
      </c>
      <c r="I78" s="19" t="e">
        <v>#VALUE!</v>
      </c>
      <c r="J78" s="20" t="e">
        <v>#VALUE!</v>
      </c>
      <c r="K78" s="20" t="e">
        <v>#VALUE!</v>
      </c>
      <c r="L78" s="20" t="e">
        <v>#VALUE!</v>
      </c>
      <c r="M78" s="20" t="e">
        <v>#VALUE!</v>
      </c>
      <c r="N78" s="20" t="e">
        <v>#VALUE!</v>
      </c>
      <c r="O78" s="21" t="e">
        <f>_xll.BondOutstanding(C78)</f>
        <v>#VALUE!</v>
      </c>
      <c r="P78" s="25" t="e">
        <f>_xll.xlBondYieldSensCustom(D78,E78,F78,G78,H78,I78,J78,B78,Q78,$AM$2,$AN$2,$AO$2,$AP$2,$AQ$2,"y")</f>
        <v>#NUM!</v>
      </c>
      <c r="Q78" s="26" t="e">
        <f>_xll.RtGet("IDN",$K78,IF(OR($D78="BTP,$E11=""CTZ"),Q$5,Q$4))</f>
        <v>#VALUE!</v>
      </c>
      <c r="R78" s="27" t="e">
        <f>_xll.RtGet("IDN",$K78,IF(OR($D78="BTP,$E11=""CTZ"),R$5,R$4))</f>
        <v>#VALUE!</v>
      </c>
      <c r="S78" s="28" t="e">
        <f>_xll.xlBondYieldSensCustom(D78,E78,F78,G78,H78,I78,J78,B78,R78,$AM$2,$AN$2,$AO$2,$AP$2,$AQ$2,"y")</f>
        <v>#NUM!</v>
      </c>
      <c r="T78" s="23" t="e">
        <f t="shared" si="8"/>
        <v>#VALUE!</v>
      </c>
      <c r="U78" s="83" t="e">
        <f>_xll.xlBondYieldSensCustom(D78,E78,F78,G78,H78,I78,J78,B78,T78,$AM$2,$AN$2,$AO$2,$AP$2,$AQ$2,"y")</f>
        <v>#NUM!</v>
      </c>
      <c r="V78" s="23"/>
      <c r="W78" s="23" t="e">
        <f t="shared" si="9"/>
        <v>#VALUE!</v>
      </c>
      <c r="X78" s="22"/>
      <c r="Y78" s="22" t="e">
        <f t="shared" si="10"/>
        <v>#NUM!</v>
      </c>
      <c r="Z78" s="23" t="e">
        <f>_xll.xlBondPriceCustom(D78,E78,F78,G78,H78,I78,J78,B78,Y78,$AM$2,$AN$2,$AO$2,$AP$2,$AQ$2)</f>
        <v>#NUM!</v>
      </c>
      <c r="AA78" s="20" t="e">
        <f t="array" ref="AA78:AG78">_xll.xlBondYieldSens(D78,E78,F78,G78,H78,I78,J78,B78,W78,$AA$5&amp;$AB$5&amp;$AC$5&amp;$AD$5&amp;$AE$5&amp;$AF$5&amp;$AG$5)</f>
        <v>#NUM!</v>
      </c>
      <c r="AB78" s="20" t="e">
        <v>#NUM!</v>
      </c>
      <c r="AC78" s="20" t="e">
        <v>#NUM!</v>
      </c>
      <c r="AD78" s="20" t="e">
        <v>#NUM!</v>
      </c>
      <c r="AE78" s="20" t="e">
        <v>#NUM!</v>
      </c>
      <c r="AF78" s="20" t="e">
        <v>#NUM!</v>
      </c>
      <c r="AG78" s="24" t="e">
        <v>#NUM!</v>
      </c>
      <c r="AH78" s="22" t="e">
        <f>_xll.xlBondYieldSensCustom(D78,E78,F78,G78,H78,I78,J78,B78,W78,$AM$2,$AN$2,$AO$2,$AP$2,$AQ$2,"y")</f>
        <v>#NUM!</v>
      </c>
      <c r="AI78" s="22"/>
      <c r="AJ78" s="85" t="e">
        <f t="shared" si="11"/>
        <v>#NUM!</v>
      </c>
      <c r="AO78" s="84"/>
    </row>
    <row r="79" spans="1:41" ht="15.75" x14ac:dyDescent="0.25">
      <c r="A79" s="2"/>
      <c r="B79" s="19" t="e">
        <f>MAX(_xll.xlBondValueDate(D79,$B$2),I79)</f>
        <v>#NUM!</v>
      </c>
      <c r="C79" s="20" t="e">
        <v>#N/A</v>
      </c>
      <c r="D79" s="86" t="e">
        <f t="array" ref="D79:N79">_xll.BondInfo(C79,$D$5:$N$5)</f>
        <v>#VALUE!</v>
      </c>
      <c r="E79" s="20" t="e">
        <v>#VALUE!</v>
      </c>
      <c r="F79" s="87" t="e">
        <v>#VALUE!</v>
      </c>
      <c r="G79" s="19" t="e">
        <v>#VALUE!</v>
      </c>
      <c r="H79" s="19" t="e">
        <v>#VALUE!</v>
      </c>
      <c r="I79" s="19" t="e">
        <v>#VALUE!</v>
      </c>
      <c r="J79" s="20" t="e">
        <v>#VALUE!</v>
      </c>
      <c r="K79" s="20" t="e">
        <v>#VALUE!</v>
      </c>
      <c r="L79" s="20" t="e">
        <v>#VALUE!</v>
      </c>
      <c r="M79" s="20" t="e">
        <v>#VALUE!</v>
      </c>
      <c r="N79" s="20" t="e">
        <v>#VALUE!</v>
      </c>
      <c r="O79" s="21" t="e">
        <f>_xll.BondOutstanding(C79)</f>
        <v>#VALUE!</v>
      </c>
      <c r="P79" s="25" t="e">
        <f>_xll.xlBondYieldSensCustom(D79,E79,F79,G79,H79,I79,J79,B79,Q79,$AM$2,$AN$2,$AO$2,$AP$2,$AQ$2,"y")</f>
        <v>#NUM!</v>
      </c>
      <c r="Q79" s="26" t="e">
        <f>_xll.RtGet("IDN",$K79,IF(OR($D79="BTP,$E11=""CTZ"),Q$5,Q$4))</f>
        <v>#VALUE!</v>
      </c>
      <c r="R79" s="27" t="e">
        <f>_xll.RtGet("IDN",$K79,IF(OR($D79="BTP,$E11=""CTZ"),R$5,R$4))</f>
        <v>#VALUE!</v>
      </c>
      <c r="S79" s="28" t="e">
        <f>_xll.xlBondYieldSensCustom(D79,E79,F79,G79,H79,I79,J79,B79,R79,$AM$2,$AN$2,$AO$2,$AP$2,$AQ$2,"y")</f>
        <v>#NUM!</v>
      </c>
      <c r="T79" s="23" t="e">
        <f t="shared" si="8"/>
        <v>#VALUE!</v>
      </c>
      <c r="U79" s="83" t="e">
        <f>_xll.xlBondYieldSensCustom(D79,E79,F79,G79,H79,I79,J79,B79,T79,$AM$2,$AN$2,$AO$2,$AP$2,$AQ$2,"y")</f>
        <v>#NUM!</v>
      </c>
      <c r="V79" s="23"/>
      <c r="W79" s="23" t="e">
        <f t="shared" si="9"/>
        <v>#VALUE!</v>
      </c>
      <c r="X79" s="22"/>
      <c r="Y79" s="22" t="e">
        <f t="shared" si="10"/>
        <v>#NUM!</v>
      </c>
      <c r="Z79" s="23" t="e">
        <f>_xll.xlBondPriceCustom(D79,E79,F79,G79,H79,I79,J79,B79,Y79,$AM$2,$AN$2,$AO$2,$AP$2,$AQ$2)</f>
        <v>#NUM!</v>
      </c>
      <c r="AA79" s="20" t="e">
        <f t="array" ref="AA79:AG79">_xll.xlBondYieldSens(D79,E79,F79,G79,H79,I79,J79,B79,W79,$AA$5&amp;$AB$5&amp;$AC$5&amp;$AD$5&amp;$AE$5&amp;$AF$5&amp;$AG$5)</f>
        <v>#NUM!</v>
      </c>
      <c r="AB79" s="20" t="e">
        <v>#NUM!</v>
      </c>
      <c r="AC79" s="20" t="e">
        <v>#NUM!</v>
      </c>
      <c r="AD79" s="20" t="e">
        <v>#NUM!</v>
      </c>
      <c r="AE79" s="20" t="e">
        <v>#NUM!</v>
      </c>
      <c r="AF79" s="20" t="e">
        <v>#NUM!</v>
      </c>
      <c r="AG79" s="24" t="e">
        <v>#NUM!</v>
      </c>
      <c r="AH79" s="22" t="e">
        <f>_xll.xlBondYieldSensCustom(D79,E79,F79,G79,H79,I79,J79,B79,W79,$AM$2,$AN$2,$AO$2,$AP$2,$AQ$2,"y")</f>
        <v>#NUM!</v>
      </c>
      <c r="AI79" s="22"/>
      <c r="AJ79" s="85" t="e">
        <f t="shared" si="11"/>
        <v>#NUM!</v>
      </c>
      <c r="AO79" s="84"/>
    </row>
    <row r="80" spans="1:41" ht="15.75" x14ac:dyDescent="0.25">
      <c r="A80" s="2"/>
      <c r="B80" s="19" t="e">
        <f>MAX(_xll.xlBondValueDate(D80,$B$2),I80)</f>
        <v>#NUM!</v>
      </c>
      <c r="C80" s="20" t="e">
        <v>#N/A</v>
      </c>
      <c r="D80" s="86" t="e">
        <f t="array" ref="D80:N80">_xll.BondInfo(C80,$D$5:$N$5)</f>
        <v>#VALUE!</v>
      </c>
      <c r="E80" s="20" t="e">
        <v>#VALUE!</v>
      </c>
      <c r="F80" s="87" t="e">
        <v>#VALUE!</v>
      </c>
      <c r="G80" s="19" t="e">
        <v>#VALUE!</v>
      </c>
      <c r="H80" s="19" t="e">
        <v>#VALUE!</v>
      </c>
      <c r="I80" s="19" t="e">
        <v>#VALUE!</v>
      </c>
      <c r="J80" s="20" t="e">
        <v>#VALUE!</v>
      </c>
      <c r="K80" s="20" t="e">
        <v>#VALUE!</v>
      </c>
      <c r="L80" s="20" t="e">
        <v>#VALUE!</v>
      </c>
      <c r="M80" s="20" t="e">
        <v>#VALUE!</v>
      </c>
      <c r="N80" s="20" t="e">
        <v>#VALUE!</v>
      </c>
      <c r="O80" s="21" t="e">
        <f>_xll.BondOutstanding(C80)</f>
        <v>#VALUE!</v>
      </c>
      <c r="P80" s="25" t="e">
        <f>_xll.xlBondYieldSensCustom(D80,E80,F80,G80,H80,I80,J80,B80,Q80,$AM$2,$AN$2,$AO$2,$AP$2,$AQ$2,"y")</f>
        <v>#NUM!</v>
      </c>
      <c r="Q80" s="26" t="e">
        <f>_xll.RtGet("IDN",$K80,IF(OR($D80="BTP,$E11=""CTZ"),Q$5,Q$4))</f>
        <v>#VALUE!</v>
      </c>
      <c r="R80" s="27" t="e">
        <f>_xll.RtGet("IDN",$K80,IF(OR($D80="BTP,$E11=""CTZ"),R$5,R$4))</f>
        <v>#VALUE!</v>
      </c>
      <c r="S80" s="28" t="e">
        <f>_xll.xlBondYieldSensCustom(D80,E80,F80,G80,H80,I80,J80,B80,R80,$AM$2,$AN$2,$AO$2,$AP$2,$AQ$2,"y")</f>
        <v>#NUM!</v>
      </c>
      <c r="T80" s="23" t="e">
        <f t="shared" si="8"/>
        <v>#VALUE!</v>
      </c>
      <c r="U80" s="83" t="e">
        <f>_xll.xlBondYieldSensCustom(D80,E80,F80,G80,H80,I80,J80,B80,T80,$AM$2,$AN$2,$AO$2,$AP$2,$AQ$2,"y")</f>
        <v>#NUM!</v>
      </c>
      <c r="V80" s="23"/>
      <c r="W80" s="23" t="e">
        <f t="shared" si="9"/>
        <v>#VALUE!</v>
      </c>
      <c r="X80" s="22"/>
      <c r="Y80" s="22" t="e">
        <f t="shared" si="10"/>
        <v>#NUM!</v>
      </c>
      <c r="Z80" s="23" t="e">
        <f>_xll.xlBondPriceCustom(D80,E80,F80,G80,H80,I80,J80,B80,Y80,$AM$2,$AN$2,$AO$2,$AP$2,$AQ$2)</f>
        <v>#NUM!</v>
      </c>
      <c r="AA80" s="20" t="e">
        <f t="array" ref="AA80:AG80">_xll.xlBondYieldSens(D80,E80,F80,G80,H80,I80,J80,B80,W80,$AA$5&amp;$AB$5&amp;$AC$5&amp;$AD$5&amp;$AE$5&amp;$AF$5&amp;$AG$5)</f>
        <v>#NUM!</v>
      </c>
      <c r="AB80" s="20" t="e">
        <v>#NUM!</v>
      </c>
      <c r="AC80" s="20" t="e">
        <v>#NUM!</v>
      </c>
      <c r="AD80" s="20" t="e">
        <v>#NUM!</v>
      </c>
      <c r="AE80" s="20" t="e">
        <v>#NUM!</v>
      </c>
      <c r="AF80" s="20" t="e">
        <v>#NUM!</v>
      </c>
      <c r="AG80" s="24" t="e">
        <v>#NUM!</v>
      </c>
      <c r="AH80" s="22" t="e">
        <f>_xll.xlBondYieldSensCustom(D80,E80,F80,G80,H80,I80,J80,B80,W80,$AM$2,$AN$2,$AO$2,$AP$2,$AQ$2,"y")</f>
        <v>#NUM!</v>
      </c>
      <c r="AI80" s="22"/>
      <c r="AJ80" s="85" t="e">
        <f t="shared" si="11"/>
        <v>#NUM!</v>
      </c>
      <c r="AO80" s="84"/>
    </row>
    <row r="81" spans="1:41" ht="15.75" x14ac:dyDescent="0.25">
      <c r="A81" s="2"/>
      <c r="B81" s="19"/>
      <c r="C81" s="20"/>
      <c r="D81" s="86"/>
      <c r="E81" s="20"/>
      <c r="F81" s="87"/>
      <c r="G81" s="19"/>
      <c r="H81" s="19"/>
      <c r="I81" s="19"/>
      <c r="J81" s="20"/>
      <c r="K81" s="20"/>
      <c r="L81" s="20"/>
      <c r="M81" s="21"/>
      <c r="N81" s="20"/>
      <c r="O81" s="20"/>
      <c r="P81" s="25"/>
      <c r="Q81" s="26"/>
      <c r="R81" s="27"/>
      <c r="S81" s="28"/>
      <c r="T81" s="23"/>
      <c r="U81" s="83"/>
      <c r="V81" s="23"/>
      <c r="W81" s="23"/>
      <c r="X81" s="22"/>
      <c r="Y81" s="22"/>
      <c r="Z81" s="23"/>
      <c r="AA81" s="20"/>
      <c r="AB81" s="20"/>
      <c r="AC81" s="20"/>
      <c r="AD81" s="20"/>
      <c r="AE81" s="20"/>
      <c r="AF81" s="20"/>
      <c r="AG81" s="24"/>
      <c r="AH81" s="22"/>
      <c r="AI81" s="22"/>
      <c r="AJ81" s="85"/>
      <c r="AO81" s="84"/>
    </row>
    <row r="82" spans="1:41" ht="15.75" x14ac:dyDescent="0.25">
      <c r="A82" s="2"/>
      <c r="B82" s="19"/>
      <c r="C82" s="20"/>
      <c r="D82" s="86"/>
      <c r="E82" s="20"/>
      <c r="F82" s="87"/>
      <c r="G82" s="19"/>
      <c r="H82" s="19"/>
      <c r="I82" s="19"/>
      <c r="J82" s="20"/>
      <c r="K82" s="20"/>
      <c r="L82" s="20"/>
      <c r="M82" s="21"/>
      <c r="N82" s="20"/>
      <c r="O82" s="20"/>
      <c r="P82" s="25"/>
      <c r="Q82" s="26"/>
      <c r="R82" s="27"/>
      <c r="S82" s="28"/>
      <c r="T82" s="23"/>
      <c r="U82" s="83"/>
      <c r="V82" s="23"/>
      <c r="W82" s="23"/>
      <c r="X82" s="22"/>
      <c r="Y82" s="22"/>
      <c r="Z82" s="23"/>
      <c r="AA82" s="20"/>
      <c r="AB82" s="20"/>
      <c r="AC82" s="20"/>
      <c r="AD82" s="20"/>
      <c r="AE82" s="20"/>
      <c r="AF82" s="20"/>
      <c r="AG82" s="24"/>
      <c r="AH82" s="22"/>
      <c r="AI82" s="22"/>
      <c r="AJ82" s="85"/>
      <c r="AO82" s="84"/>
    </row>
  </sheetData>
  <phoneticPr fontId="0" type="noConversion"/>
  <conditionalFormatting sqref="A6:A82">
    <cfRule type="expression" dxfId="34" priority="1" stopIfTrue="1">
      <formula>$L6="Y"</formula>
    </cfRule>
    <cfRule type="expression" dxfId="33" priority="2" stopIfTrue="1">
      <formula>$D6=0</formula>
    </cfRule>
  </conditionalFormatting>
  <conditionalFormatting sqref="B81:AJ82">
    <cfRule type="expression" dxfId="32" priority="3" stopIfTrue="1">
      <formula>$D81="CTZ"</formula>
    </cfRule>
    <cfRule type="expression" dxfId="31" priority="4" stopIfTrue="1">
      <formula>$D81="BOT"</formula>
    </cfRule>
    <cfRule type="expression" dxfId="30" priority="5" stopIfTrue="1">
      <formula>$C81=0</formula>
    </cfRule>
  </conditionalFormatting>
  <conditionalFormatting sqref="P6:AJ80 B6:N80">
    <cfRule type="expression" dxfId="29" priority="15" stopIfTrue="1">
      <formula>$N6="aa"</formula>
    </cfRule>
    <cfRule type="expression" dxfId="28" priority="16" stopIfTrue="1">
      <formula>$N6="SGLT"</formula>
    </cfRule>
    <cfRule type="expression" dxfId="27" priority="17" stopIfTrue="1">
      <formula>$C6=0</formula>
    </cfRule>
  </conditionalFormatting>
  <dataValidations count="1">
    <dataValidation type="list" allowBlank="1" showInputMessage="1" showErrorMessage="1" sqref="D2">
      <formula1>BookList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80"/>
  <sheetViews>
    <sheetView showGridLines="0" topLeftCell="B1" zoomScale="85" workbookViewId="0">
      <pane xSplit="10" ySplit="5" topLeftCell="S6" activePane="bottomRight" state="frozen"/>
      <selection activeCell="B1" sqref="B1"/>
      <selection pane="topRight" activeCell="L1" sqref="L1"/>
      <selection pane="bottomLeft" activeCell="B6" sqref="B6"/>
      <selection pane="bottomRight" activeCell="X13" sqref="X13"/>
    </sheetView>
  </sheetViews>
  <sheetFormatPr defaultRowHeight="12.75" outlineLevelCol="1" x14ac:dyDescent="0.2"/>
  <cols>
    <col min="1" max="1" width="9.7109375" hidden="1" customWidth="1"/>
    <col min="2" max="2" width="13.7109375" customWidth="1"/>
    <col min="3" max="3" width="14.28515625" hidden="1" customWidth="1" outlineLevel="1"/>
    <col min="4" max="4" width="10.7109375" customWidth="1" collapsed="1"/>
    <col min="5" max="5" width="5.85546875" customWidth="1"/>
    <col min="6" max="6" width="13.28515625" customWidth="1"/>
    <col min="7" max="9" width="13.7109375" hidden="1" customWidth="1" outlineLevel="1"/>
    <col min="10" max="11" width="15" hidden="1" customWidth="1" outlineLevel="1"/>
    <col min="12" max="12" width="4.140625" customWidth="1" collapsed="1"/>
    <col min="13" max="13" width="8.7109375" customWidth="1"/>
    <col min="14" max="15" width="9.140625" customWidth="1"/>
    <col min="16" max="16" width="9.7109375" customWidth="1" collapsed="1"/>
    <col min="17" max="17" width="9.85546875" customWidth="1"/>
    <col min="18" max="18" width="9.5703125" customWidth="1"/>
    <col min="19" max="19" width="9.42578125" customWidth="1" collapsed="1"/>
    <col min="20" max="26" width="10.7109375" customWidth="1"/>
    <col min="27" max="29" width="9.140625" hidden="1" customWidth="1" outlineLevel="1"/>
    <col min="30" max="32" width="12.7109375" hidden="1" customWidth="1" outlineLevel="1"/>
    <col min="33" max="33" width="10.7109375" customWidth="1" collapsed="1"/>
    <col min="34" max="36" width="10.7109375" customWidth="1"/>
    <col min="42" max="42" width="9.28515625" bestFit="1" customWidth="1"/>
  </cols>
  <sheetData>
    <row r="1" spans="1:43" ht="15" customHeight="1" x14ac:dyDescent="0.2">
      <c r="A1" s="1"/>
      <c r="B1" s="8" t="s">
        <v>27</v>
      </c>
      <c r="C1" s="3"/>
      <c r="D1" s="8" t="s">
        <v>29</v>
      </c>
      <c r="E1" s="6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1"/>
      <c r="U1" s="3"/>
      <c r="V1" s="1"/>
      <c r="W1" s="3"/>
      <c r="X1" s="8"/>
      <c r="Y1" s="8" t="s">
        <v>200</v>
      </c>
      <c r="Z1" s="8"/>
      <c r="AA1" s="3"/>
      <c r="AB1" s="3"/>
      <c r="AC1" s="3"/>
      <c r="AD1" s="3"/>
      <c r="AE1" s="3"/>
      <c r="AF1" s="3"/>
      <c r="AG1" s="3"/>
      <c r="AI1" s="8" t="s">
        <v>201</v>
      </c>
      <c r="AJ1" s="8" t="s">
        <v>202</v>
      </c>
      <c r="AM1" s="9" t="s">
        <v>92</v>
      </c>
      <c r="AN1" s="10" t="s">
        <v>93</v>
      </c>
      <c r="AO1" s="10" t="s">
        <v>94</v>
      </c>
      <c r="AP1" s="10" t="s">
        <v>95</v>
      </c>
      <c r="AQ1" s="11" t="s">
        <v>96</v>
      </c>
    </row>
    <row r="2" spans="1:43" ht="15" customHeight="1" thickBot="1" x14ac:dyDescent="0.25">
      <c r="A2" s="1"/>
      <c r="B2" s="12">
        <f ca="1">TODAY()</f>
        <v>41626</v>
      </c>
      <c r="C2" s="3"/>
      <c r="D2" s="13" t="s">
        <v>235</v>
      </c>
      <c r="E2" s="6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1"/>
      <c r="U2" s="3"/>
      <c r="V2" s="1"/>
      <c r="W2" s="3"/>
      <c r="X2" s="5"/>
      <c r="Y2" s="5"/>
      <c r="Z2" s="5"/>
      <c r="AA2" s="3"/>
      <c r="AB2" s="3"/>
      <c r="AC2" s="3"/>
      <c r="AD2" s="3"/>
      <c r="AE2" s="3"/>
      <c r="AF2" s="3"/>
      <c r="AG2" s="5" t="s">
        <v>42</v>
      </c>
      <c r="AH2" s="5" t="s">
        <v>42</v>
      </c>
      <c r="AI2" s="6"/>
      <c r="AJ2" s="3"/>
      <c r="AM2" s="14">
        <v>4</v>
      </c>
      <c r="AN2" s="15">
        <v>1</v>
      </c>
      <c r="AO2" s="15">
        <v>0</v>
      </c>
      <c r="AP2" s="15">
        <v>2</v>
      </c>
      <c r="AQ2" s="16">
        <v>1</v>
      </c>
    </row>
    <row r="3" spans="1:43" ht="15" customHeight="1" thickBot="1" x14ac:dyDescent="0.25">
      <c r="A3" s="7" t="s">
        <v>57</v>
      </c>
      <c r="B3" s="7" t="s">
        <v>37</v>
      </c>
      <c r="C3" s="7" t="s">
        <v>38</v>
      </c>
      <c r="D3" s="7" t="s">
        <v>39</v>
      </c>
      <c r="E3" s="7" t="s">
        <v>110</v>
      </c>
      <c r="F3" s="7" t="s">
        <v>43</v>
      </c>
      <c r="G3" s="7" t="s">
        <v>102</v>
      </c>
      <c r="H3" s="7" t="s">
        <v>103</v>
      </c>
      <c r="I3" s="7" t="s">
        <v>104</v>
      </c>
      <c r="J3" s="7" t="s">
        <v>13</v>
      </c>
      <c r="K3" s="7" t="s">
        <v>15</v>
      </c>
      <c r="L3" s="7" t="s">
        <v>40</v>
      </c>
      <c r="M3" s="7" t="s">
        <v>44</v>
      </c>
      <c r="N3" s="7"/>
      <c r="O3" s="7"/>
      <c r="P3" s="7" t="s">
        <v>106</v>
      </c>
      <c r="Q3" s="7" t="s">
        <v>18</v>
      </c>
      <c r="R3" s="7" t="s">
        <v>19</v>
      </c>
      <c r="S3" s="7" t="s">
        <v>105</v>
      </c>
      <c r="T3" s="7" t="s">
        <v>205</v>
      </c>
      <c r="U3" s="7" t="s">
        <v>203</v>
      </c>
      <c r="V3" s="7" t="s">
        <v>207</v>
      </c>
      <c r="W3" s="7" t="s">
        <v>41</v>
      </c>
      <c r="X3" s="7" t="s">
        <v>206</v>
      </c>
      <c r="Y3" s="7" t="s">
        <v>41</v>
      </c>
      <c r="Z3" s="7" t="s">
        <v>204</v>
      </c>
      <c r="AA3" s="7"/>
      <c r="AB3" s="7"/>
      <c r="AC3" s="7"/>
      <c r="AD3" s="7"/>
      <c r="AE3" s="7"/>
      <c r="AF3" s="7"/>
      <c r="AG3" s="7" t="s">
        <v>108</v>
      </c>
      <c r="AH3" s="7" t="s">
        <v>109</v>
      </c>
      <c r="AI3" s="7" t="s">
        <v>97</v>
      </c>
      <c r="AJ3" s="7" t="s">
        <v>107</v>
      </c>
    </row>
    <row r="4" spans="1:43" ht="15" hidden="1" customHeight="1" x14ac:dyDescent="0.2">
      <c r="B4" s="3"/>
      <c r="C4" s="3"/>
      <c r="D4" s="13"/>
      <c r="E4" s="6"/>
      <c r="F4" s="3"/>
      <c r="G4" s="3"/>
      <c r="H4" s="3"/>
      <c r="I4" s="3"/>
      <c r="J4" s="3"/>
      <c r="K4" s="3"/>
      <c r="L4" s="3"/>
      <c r="M4" s="8"/>
      <c r="N4" s="3"/>
      <c r="O4" s="3"/>
      <c r="P4" s="3"/>
      <c r="Q4" s="3" t="s">
        <v>25</v>
      </c>
      <c r="R4" s="3" t="s">
        <v>26</v>
      </c>
      <c r="S4" s="3"/>
      <c r="T4" s="8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6"/>
      <c r="AJ4" s="3"/>
    </row>
    <row r="5" spans="1:43" ht="15" hidden="1" customHeight="1" thickBot="1" x14ac:dyDescent="0.25">
      <c r="B5" s="7" t="s">
        <v>28</v>
      </c>
      <c r="C5" s="4">
        <f t="array" ref="C5:C80">_xll.GetLogicBookInstruments(D2,"n")</f>
        <v>34</v>
      </c>
      <c r="D5" s="7" t="s">
        <v>14</v>
      </c>
      <c r="E5" s="7" t="s">
        <v>8</v>
      </c>
      <c r="F5" s="7" t="s">
        <v>9</v>
      </c>
      <c r="G5" s="7" t="s">
        <v>10</v>
      </c>
      <c r="H5" s="7" t="s">
        <v>11</v>
      </c>
      <c r="I5" s="7" t="s">
        <v>12</v>
      </c>
      <c r="J5" s="7" t="s">
        <v>13</v>
      </c>
      <c r="K5" s="7" t="s">
        <v>15</v>
      </c>
      <c r="L5" s="7" t="s">
        <v>17</v>
      </c>
      <c r="M5" s="7" t="s">
        <v>62</v>
      </c>
      <c r="N5" s="7" t="s">
        <v>238</v>
      </c>
      <c r="O5" s="7" t="s">
        <v>16</v>
      </c>
      <c r="P5" s="4"/>
      <c r="Q5" s="7" t="s">
        <v>23</v>
      </c>
      <c r="R5" s="7" t="s">
        <v>24</v>
      </c>
      <c r="S5" s="4"/>
      <c r="T5" s="7" t="s">
        <v>20</v>
      </c>
      <c r="U5" s="7"/>
      <c r="V5" s="7" t="s">
        <v>21</v>
      </c>
      <c r="W5" s="7" t="s">
        <v>22</v>
      </c>
      <c r="X5" s="7" t="s">
        <v>21</v>
      </c>
      <c r="Y5" s="7" t="s">
        <v>22</v>
      </c>
      <c r="Z5" s="7"/>
      <c r="AA5" s="7" t="s">
        <v>35</v>
      </c>
      <c r="AB5" s="7" t="s">
        <v>31</v>
      </c>
      <c r="AC5" s="7" t="s">
        <v>32</v>
      </c>
      <c r="AD5" s="7" t="s">
        <v>33</v>
      </c>
      <c r="AE5" s="7" t="s">
        <v>34</v>
      </c>
      <c r="AF5" s="7" t="s">
        <v>36</v>
      </c>
      <c r="AG5" s="7" t="s">
        <v>30</v>
      </c>
      <c r="AH5" s="18"/>
      <c r="AI5" s="17"/>
      <c r="AJ5" s="18"/>
    </row>
    <row r="6" spans="1:43" ht="15.75" x14ac:dyDescent="0.25">
      <c r="A6" s="2" t="s">
        <v>59</v>
      </c>
      <c r="B6" s="19">
        <f ca="1">IF(C6=0,NA(),MAX(_xll.xlBondValueDate(D6,$B$2),I6))</f>
        <v>41631</v>
      </c>
      <c r="C6" s="20" t="str">
        <v>DE0001135242</v>
      </c>
      <c r="D6" s="86" t="str">
        <f t="array" ref="D6:N6">_xll.BondInfo(C6,$D$5:$N$5)</f>
        <v>BUND</v>
      </c>
      <c r="E6" s="20">
        <v>4.25</v>
      </c>
      <c r="F6" s="87">
        <v>41643</v>
      </c>
      <c r="G6" s="19">
        <v>37925</v>
      </c>
      <c r="H6" s="19">
        <v>38356</v>
      </c>
      <c r="I6" s="19">
        <v>37925</v>
      </c>
      <c r="J6" s="20">
        <v>99.66</v>
      </c>
      <c r="K6" s="20" t="str">
        <v>DE113524=</v>
      </c>
      <c r="L6" s="20" t="str">
        <v>N</v>
      </c>
      <c r="M6" s="20" t="str">
        <v>ED1954228</v>
      </c>
      <c r="N6" s="20" t="str">
        <v>DBR</v>
      </c>
      <c r="O6" s="21">
        <f>_xll.BondOutstanding(C6)</f>
        <v>24000000000</v>
      </c>
      <c r="P6" s="25">
        <f ca="1">_xll.xlBondYieldSensCustom(D6,E6,F6,G6,H6,I6,J6,B6,Q6,$AM$2,$AN$2,$AO$2,$AP$2,$AQ$2,"y")</f>
        <v>6.100364225503814E-3</v>
      </c>
      <c r="Q6" s="26">
        <f>_xll.RtGet("IDN",$K6,IF(OR($D6="BTP,$E11=""CTZ"),Q$5,Q$4))</f>
        <v>100.11499999999999</v>
      </c>
      <c r="R6" s="27">
        <f>_xll.RtGet("IDN",$K6,IF(OR($D6="BTP,$E11=""CTZ"),R$5,R$4))</f>
        <v>100.155</v>
      </c>
      <c r="S6" s="28">
        <f ca="1">_xll.xlBondYieldSensCustom(D6,E6,F6,G6,H6,I6,J6,B6,R6,$AM$2,$AN$2,$AO$2,$AP$2,$AQ$2,"y")</f>
        <v>-3.7669233552016165E-3</v>
      </c>
      <c r="T6" s="23">
        <f t="shared" ref="T6:T37" si="0">AVERAGE(Q6:R6)</f>
        <v>100.13499999999999</v>
      </c>
      <c r="U6" s="83">
        <f ca="1">_xll.xlBondYieldSensCustom(D6,E6,F6,G6,H6,I6,J6,B6,T6,$AM$2,$AN$2,$AO$2,$AP$2,$AQ$2,"y")</f>
        <v>1.1657738921871108E-3</v>
      </c>
      <c r="V6" s="23"/>
      <c r="W6" s="23">
        <f t="shared" ref="W6:W37" si="1">IF(ISNUMBER(V6),V6,T6)</f>
        <v>100.13499999999999</v>
      </c>
      <c r="X6" s="22">
        <v>1.58E-3</v>
      </c>
      <c r="Y6" s="22">
        <f t="shared" ref="Y6:Y37" si="2">IF(ISNUMBER(X6),X6,AH6)</f>
        <v>1.58E-3</v>
      </c>
      <c r="Z6" s="23">
        <f ca="1">_xll.xlBondPriceCustom(D6,E6,F6,G6,H6,I6,J6,B6,Y6,$AM$2,$AN$2,$AO$2,$AP$2,$AQ$2)</f>
        <v>100.13332083762725</v>
      </c>
      <c r="AA6" s="20">
        <f t="array" aca="1" ref="AA6:AG6" ca="1">_xll.xlBondYieldSens(D6,E6,F6,G6,H6,I6,J6,B6,W6,$AA$5&amp;$AB$5&amp;$AC$5&amp;$AD$5&amp;$AE$5&amp;$AF$5&amp;$AG$5)</f>
        <v>4.11027397260274</v>
      </c>
      <c r="AB6" s="20">
        <f ca="1"/>
        <v>3.2875221906454352E-2</v>
      </c>
      <c r="AC6" s="20">
        <f ca="1"/>
        <v>-3.2873731551707912E-2</v>
      </c>
      <c r="AD6" s="20">
        <f ca="1"/>
        <v>2.1616584267257654E-5</v>
      </c>
      <c r="AE6" s="20">
        <f ca="1"/>
        <v>2.1614624393112148E-5</v>
      </c>
      <c r="AF6" s="20">
        <f ca="1"/>
        <v>3.4270865148045004E-2</v>
      </c>
      <c r="AG6" s="24">
        <f ca="1"/>
        <v>1.3789593957130031E-3</v>
      </c>
      <c r="AH6" s="22">
        <f ca="1">_xll.xlBondYieldSensCustom(D6,E6,F6,G6,H6,I6,J6,B6,W6,$AM$2,$AN$2,$AO$2,$AP$2,$AQ$2,"y")</f>
        <v>1.1657738921871108E-3</v>
      </c>
      <c r="AI6" s="22">
        <f ca="1">IF(TRUE,_xll.xlShmInterpRateFwd("EONIA",_xll.xlDateSettle("target",$B$2,2),0,4,$F6),"")</f>
        <v>2.3468705616055061E-3</v>
      </c>
      <c r="AJ6" s="85">
        <f t="shared" ref="AJ6:AJ37" ca="1" si="3">$Y6-$AI6</f>
        <v>-7.6687056160550603E-4</v>
      </c>
      <c r="AO6" s="84"/>
    </row>
    <row r="7" spans="1:43" ht="15.75" x14ac:dyDescent="0.25">
      <c r="A7" s="2" t="s">
        <v>60</v>
      </c>
      <c r="B7" s="19">
        <f ca="1">MAX(_xll.xlBondValueDate(D7,$B$2),I7)</f>
        <v>41631</v>
      </c>
      <c r="C7" s="20" t="str">
        <v>DE0001119865</v>
      </c>
      <c r="D7" s="86" t="str">
        <f t="array" ref="D7:N7">_xll.BondInfo(C7,$D$5:$N$5)</f>
        <v>BUND</v>
      </c>
      <c r="E7" s="20">
        <v>0</v>
      </c>
      <c r="F7" s="87">
        <v>41654</v>
      </c>
      <c r="G7" s="19">
        <v>41465</v>
      </c>
      <c r="H7" s="19">
        <v>41654</v>
      </c>
      <c r="I7" s="19">
        <v>41465</v>
      </c>
      <c r="J7" s="20">
        <v>100.00190000000001</v>
      </c>
      <c r="K7" s="20" t="str">
        <v>DE111986=</v>
      </c>
      <c r="L7" s="20" t="str">
        <v>N</v>
      </c>
      <c r="M7" s="20" t="str">
        <v>EJ7391125</v>
      </c>
      <c r="N7" s="20" t="str">
        <v>BUBILL</v>
      </c>
      <c r="O7" s="21">
        <f>_xll.BondOutstanding(C7)</f>
        <v>4000000000</v>
      </c>
      <c r="P7" s="25">
        <f ca="1">_xll.xlBondYieldSensCustom(D7,E7,F7,G7,H7,I7,J7,B7,Q7,$AM$2,$AN$2,$AO$2,$AP$2,$AQ$2,"y")</f>
        <v>4.6957930488281244E-4</v>
      </c>
      <c r="Q7" s="26">
        <f>_xll.RtGet("IDN",$K7,IF(OR($D7="BTP,$E11=""CTZ"),Q$5,Q$4))</f>
        <v>99.997</v>
      </c>
      <c r="R7" s="27">
        <f>_xll.RtGet("IDN",$K7,IF(OR($D7="BTP,$E11=""CTZ"),R$5,R$4))</f>
        <v>99.998000000000005</v>
      </c>
      <c r="S7" s="28">
        <f ca="1">_xll.xlBondYieldSensCustom(D7,E7,F7,G7,H7,I7,J7,B7,R7,$AM$2,$AN$2,$AO$2,$AP$2,$AQ$2,"y")</f>
        <v>3.1304973925464549E-4</v>
      </c>
      <c r="T7" s="23">
        <f t="shared" si="0"/>
        <v>99.997500000000002</v>
      </c>
      <c r="U7" s="83">
        <f ca="1">_xll.xlBondYieldSensCustom(D7,E7,F7,G7,H7,I7,J7,B7,T7,$AM$2,$AN$2,$AO$2,$AP$2,$AQ$2,"y")</f>
        <v>3.9131413067796376E-4</v>
      </c>
      <c r="V7" s="23"/>
      <c r="W7" s="23">
        <f t="shared" si="1"/>
        <v>99.997500000000002</v>
      </c>
      <c r="X7" s="22"/>
      <c r="Y7" s="22">
        <f t="shared" ca="1" si="2"/>
        <v>3.9131413067796376E-4</v>
      </c>
      <c r="Z7" s="23">
        <f ca="1">_xll.xlBondPriceCustom(D7,E7,F7,G7,H7,I7,J7,B7,Y7,$AM$2,$AN$2,$AO$2,$AP$2,$AQ$2)</f>
        <v>99.997500000000002</v>
      </c>
      <c r="AA7" s="20">
        <f t="array" aca="1" ref="AA7:AG7" ca="1">_xll.xlBondYieldSens(D7,E7,F7,G7,H7,I7,J7,B7,W7,$AA$5&amp;$AB$5&amp;$AC$5&amp;$AD$5&amp;$AE$5&amp;$AF$5&amp;$AG$5)</f>
        <v>0</v>
      </c>
      <c r="AB7" s="20">
        <f ca="1"/>
        <v>6.3887291666666679E-2</v>
      </c>
      <c r="AC7" s="20">
        <f ca="1"/>
        <v>-6.3885694484375019E-2</v>
      </c>
      <c r="AD7" s="20">
        <f ca="1"/>
        <v>8.1633761574074091E-5</v>
      </c>
      <c r="AE7" s="20">
        <f ca="1"/>
        <v>8.1629679937016508E-5</v>
      </c>
      <c r="AF7" s="20">
        <f ca="1"/>
        <v>6.3885694486032207E-2</v>
      </c>
      <c r="AG7" s="24">
        <f ca="1"/>
        <v>3.9131413067796376E-4</v>
      </c>
      <c r="AH7" s="22">
        <f ca="1">_xll.xlBondYieldSensCustom(D7,E7,F7,G7,H7,I7,J7,B7,W7,$AM$2,$AN$2,$AO$2,$AP$2,$AQ$2,"y")</f>
        <v>3.9131413067796376E-4</v>
      </c>
      <c r="AI7" s="22">
        <f ca="1">IF(TRUE,_xll.xlShmInterpRateFwd("EONIA",_xll.xlDateSettle("target",$B$2,2),0,4,$F7),"")</f>
        <v>2.0738594485800702E-3</v>
      </c>
      <c r="AJ7" s="85">
        <f t="shared" ca="1" si="3"/>
        <v>-1.6825453179021065E-3</v>
      </c>
      <c r="AO7" s="84"/>
    </row>
    <row r="8" spans="1:43" ht="15.75" x14ac:dyDescent="0.25">
      <c r="A8" s="2" t="s">
        <v>61</v>
      </c>
      <c r="B8" s="19">
        <f ca="1">MAX(_xll.xlBondValueDate(D8,$B$2),I8)</f>
        <v>41631</v>
      </c>
      <c r="C8" s="20" t="str">
        <v>DE0001119758</v>
      </c>
      <c r="D8" s="86" t="str">
        <f t="array" ref="D8:N8">_xll.BondInfo(C8,$D$5:$N$5)</f>
        <v>BUND</v>
      </c>
      <c r="E8" s="20">
        <v>0</v>
      </c>
      <c r="F8" s="87">
        <v>41668</v>
      </c>
      <c r="G8" s="19">
        <v>41304</v>
      </c>
      <c r="H8" s="19">
        <v>41668</v>
      </c>
      <c r="I8" s="19">
        <v>41304</v>
      </c>
      <c r="J8" s="20">
        <v>99.866799999999998</v>
      </c>
      <c r="K8" s="20" t="str">
        <v>DE111975=</v>
      </c>
      <c r="L8" s="20" t="str">
        <v>N</v>
      </c>
      <c r="M8" s="20" t="str">
        <v>EJ5227966</v>
      </c>
      <c r="N8" s="20" t="str">
        <v>BUBILL</v>
      </c>
      <c r="O8" s="21">
        <f>_xll.BondOutstanding(C8)</f>
        <v>3000000000</v>
      </c>
      <c r="P8" s="25">
        <f ca="1">_xll.xlBondYieldSensCustom(D8,E8,F8,G8,H8,I8,J8,B8,Q8,$AM$2,$AN$2,$AO$2,$AP$2,$AQ$2,"y")</f>
        <v>1.2650293187340827E-3</v>
      </c>
      <c r="Q8" s="26">
        <f>_xll.RtGet("IDN",$K8,IF(OR($D8="BTP,$E11=""CTZ"),Q$5,Q$4))</f>
        <v>99.986999999999995</v>
      </c>
      <c r="R8" s="27">
        <f>_xll.RtGet("IDN",$K8,IF(OR($D8="BTP,$E11=""CTZ"),R$5,R$4))</f>
        <v>100.003</v>
      </c>
      <c r="S8" s="28">
        <f ca="1">_xll.xlBondYieldSensCustom(D8,E8,F8,G8,H8,I8,J8,B8,R8,$AM$2,$AN$2,$AO$2,$AP$2,$AQ$2,"y")</f>
        <v>-2.9188313539773539E-4</v>
      </c>
      <c r="T8" s="23">
        <f t="shared" si="0"/>
        <v>99.995000000000005</v>
      </c>
      <c r="U8" s="83">
        <f ca="1">_xll.xlBondYieldSensCustom(D8,E8,F8,G8,H8,I8,J8,B8,T8,$AM$2,$AN$2,$AO$2,$AP$2,$AQ$2,"y")</f>
        <v>4.8651081202585357E-4</v>
      </c>
      <c r="V8" s="23"/>
      <c r="W8" s="23">
        <f t="shared" si="1"/>
        <v>99.995000000000005</v>
      </c>
      <c r="X8" s="22"/>
      <c r="Y8" s="22">
        <f t="shared" ca="1" si="2"/>
        <v>4.8651081202585357E-4</v>
      </c>
      <c r="Z8" s="23">
        <f ca="1">_xll.xlBondPriceCustom(D8,E8,F8,G8,H8,I8,J8,B8,Y8,$AM$2,$AN$2,$AO$2,$AP$2,$AQ$2)</f>
        <v>99.995000000000005</v>
      </c>
      <c r="AA8" s="20">
        <f t="array" aca="1" ref="AA8:AG8" ca="1">_xll.xlBondYieldSens(D8,E8,F8,G8,H8,I8,J8,B8,W8,$AA$5&amp;$AB$5&amp;$AC$5&amp;$AD$5&amp;$AE$5&amp;$AF$5&amp;$AG$5)</f>
        <v>0</v>
      </c>
      <c r="AB8" s="20">
        <f ca="1"/>
        <v>0.10277263888888889</v>
      </c>
      <c r="AC8" s="20">
        <f ca="1"/>
        <v>-0.10276750025694446</v>
      </c>
      <c r="AD8" s="20">
        <f ca="1"/>
        <v>2.1125486882716052E-4</v>
      </c>
      <c r="AE8" s="20">
        <f ca="1"/>
        <v>2.1123374386841504E-4</v>
      </c>
      <c r="AF8" s="20">
        <f ca="1"/>
        <v>0.1027675002674755</v>
      </c>
      <c r="AG8" s="24">
        <f ca="1"/>
        <v>4.8651081202585357E-4</v>
      </c>
      <c r="AH8" s="22">
        <f ca="1">_xll.xlBondYieldSensCustom(D8,E8,F8,G8,H8,I8,J8,B8,W8,$AM$2,$AN$2,$AO$2,$AP$2,$AQ$2,"y")</f>
        <v>4.8651081202585357E-4</v>
      </c>
      <c r="AI8" s="22">
        <f ca="1">IF(TRUE,_xll.xlShmInterpRateFwd("EONIA",_xll.xlDateSettle("target",$B$2,2),0,4,$F8),"")</f>
        <v>1.9462237075414642E-3</v>
      </c>
      <c r="AJ8" s="85">
        <f t="shared" ca="1" si="3"/>
        <v>-1.4597128955156106E-3</v>
      </c>
      <c r="AO8" s="84"/>
    </row>
    <row r="9" spans="1:43" ht="15.75" x14ac:dyDescent="0.25">
      <c r="A9" s="2" t="s">
        <v>52</v>
      </c>
      <c r="B9" s="19">
        <f ca="1">MAX(_xll.xlBondValueDate(D9,$B$2),I9)</f>
        <v>41631</v>
      </c>
      <c r="C9" s="20" t="str">
        <v>DE0001119881</v>
      </c>
      <c r="D9" s="86" t="str">
        <f t="array" ref="D9:N9">_xll.BondInfo(C9,$D$5:$N$5)</f>
        <v>BUND</v>
      </c>
      <c r="E9" s="20">
        <v>0</v>
      </c>
      <c r="F9" s="87">
        <v>41693</v>
      </c>
      <c r="G9" s="19">
        <v>41500</v>
      </c>
      <c r="H9" s="19">
        <v>41693</v>
      </c>
      <c r="I9" s="19">
        <v>41500</v>
      </c>
      <c r="J9" s="20">
        <v>99.989000000000004</v>
      </c>
      <c r="K9" s="20" t="str">
        <v>DE111988=</v>
      </c>
      <c r="L9" s="20" t="str">
        <v>N</v>
      </c>
      <c r="M9" s="20" t="str">
        <v>EJ7794864</v>
      </c>
      <c r="N9" s="20" t="str">
        <v>BUBILL</v>
      </c>
      <c r="O9" s="21">
        <f>_xll.BondOutstanding(C9)</f>
        <v>4000000000</v>
      </c>
      <c r="P9" s="25">
        <f ca="1">_xll.xlBondYieldSensCustom(D9,E9,F9,G9,H9,I9,J9,B9,Q9,$AM$2,$AN$2,$AO$2,$AP$2,$AQ$2,"y")</f>
        <v>1.0859206106303024E-3</v>
      </c>
      <c r="Q9" s="26">
        <f>_xll.RtGet("IDN",$K9,IF(OR($D9="BTP,$E11=""CTZ"),Q$5,Q$4))</f>
        <v>99.980999999999995</v>
      </c>
      <c r="R9" s="27">
        <f>_xll.RtGet("IDN",$K9,IF(OR($D9="BTP,$E11=""CTZ"),R$5,R$4))</f>
        <v>100</v>
      </c>
      <c r="S9" s="28">
        <f ca="1">_xll.xlBondYieldSensCustom(D9,E9,F9,G9,H9,I9,J9,B9,R9,$AM$2,$AN$2,$AO$2,$AP$2,$AQ$2,"y")</f>
        <v>0</v>
      </c>
      <c r="T9" s="23">
        <f t="shared" si="0"/>
        <v>99.990499999999997</v>
      </c>
      <c r="U9" s="83">
        <f ca="1">_xll.xlBondYieldSensCustom(D9,E9,F9,G9,H9,I9,J9,B9,T9,$AM$2,$AN$2,$AO$2,$AP$2,$AQ$2,"y")</f>
        <v>5.4290871918613202E-4</v>
      </c>
      <c r="V9" s="23"/>
      <c r="W9" s="23">
        <f t="shared" si="1"/>
        <v>99.990499999999997</v>
      </c>
      <c r="X9" s="22"/>
      <c r="Y9" s="22">
        <f t="shared" ca="1" si="2"/>
        <v>5.4290871918613202E-4</v>
      </c>
      <c r="Z9" s="23">
        <f ca="1">_xll.xlBondPriceCustom(D9,E9,F9,G9,H9,I9,J9,B9,Y9,$AM$2,$AN$2,$AO$2,$AP$2,$AQ$2)</f>
        <v>99.990499999999997</v>
      </c>
      <c r="AA9" s="20">
        <f t="array" aca="1" ref="AA9:AG9" ca="1">_xll.xlBondYieldSens(D9,E9,F9,G9,H9,I9,J9,B9,W9,$AA$5&amp;$AB$5&amp;$AC$5&amp;$AD$5&amp;$AE$5&amp;$AF$5&amp;$AG$5)</f>
        <v>0</v>
      </c>
      <c r="AB9" s="20">
        <f ca="1"/>
        <v>0.17220586111111108</v>
      </c>
      <c r="AC9" s="20">
        <f ca="1"/>
        <v>-0.17218950155430551</v>
      </c>
      <c r="AD9" s="20">
        <f ca="1"/>
        <v>5.9315352160493819E-4</v>
      </c>
      <c r="AE9" s="20">
        <f ca="1"/>
        <v>5.9304082778904367E-4</v>
      </c>
      <c r="AF9" s="20">
        <f ca="1"/>
        <v>0.17218950160398094</v>
      </c>
      <c r="AG9" s="24">
        <f ca="1"/>
        <v>5.5166531143106953E-4</v>
      </c>
      <c r="AH9" s="22">
        <f ca="1">_xll.xlBondYieldSensCustom(D9,E9,F9,G9,H9,I9,J9,B9,W9,$AM$2,$AN$2,$AO$2,$AP$2,$AQ$2,"y")</f>
        <v>5.4290871918613202E-4</v>
      </c>
      <c r="AI9" s="22">
        <f ca="1">IF(TRUE,_xll.xlShmInterpRateFwd("EONIA",_xll.xlDateSettle("target",$B$2,2),0,4,$F9),"")</f>
        <v>1.832540126931259E-3</v>
      </c>
      <c r="AJ9" s="85">
        <f t="shared" ca="1" si="3"/>
        <v>-1.289631407745127E-3</v>
      </c>
      <c r="AO9" s="84"/>
    </row>
    <row r="10" spans="1:43" ht="15.75" x14ac:dyDescent="0.25">
      <c r="A10" s="2" t="s">
        <v>53</v>
      </c>
      <c r="B10" s="19">
        <f ca="1">MAX(_xll.xlBondValueDate(D10,$B$2),I10)</f>
        <v>41631</v>
      </c>
      <c r="C10" s="20" t="str">
        <v>DE0001119774</v>
      </c>
      <c r="D10" s="86" t="str">
        <f t="array" ref="D10:N10">_xll.BondInfo(C10,$D$5:$N$5)</f>
        <v>BUND</v>
      </c>
      <c r="E10" s="20">
        <v>0</v>
      </c>
      <c r="F10" s="87">
        <v>41696</v>
      </c>
      <c r="G10" s="19">
        <v>41332</v>
      </c>
      <c r="H10" s="19">
        <v>41696</v>
      </c>
      <c r="I10" s="19">
        <v>41332</v>
      </c>
      <c r="J10" s="20">
        <v>99.964299999999994</v>
      </c>
      <c r="K10" s="20" t="str">
        <v>DE111977=</v>
      </c>
      <c r="L10" s="20" t="str">
        <v>N</v>
      </c>
      <c r="M10" s="20" t="str">
        <v>EJ5587815</v>
      </c>
      <c r="N10" s="20" t="str">
        <v>BUBILL</v>
      </c>
      <c r="O10" s="21">
        <f>_xll.BondOutstanding(C10)</f>
        <v>3000000000</v>
      </c>
      <c r="P10" s="25">
        <f ca="1">_xll.xlBondYieldSensCustom(D10,E10,F10,G10,H10,I10,J10,B10,Q10,$AM$2,$AN$2,$AO$2,$AP$2,$AQ$2,"y")</f>
        <v>1.2741392058630051E-3</v>
      </c>
      <c r="Q10" s="26">
        <f>_xll.RtGet("IDN",$K10,IF(OR($D10="BTP,$E11=""CTZ"),Q$5,Q$4))</f>
        <v>99.977000000000004</v>
      </c>
      <c r="R10" s="27">
        <f>_xll.RtGet("IDN",$K10,IF(OR($D10="BTP,$E11=""CTZ"),R$5,R$4))</f>
        <v>100.015</v>
      </c>
      <c r="S10" s="28">
        <f ca="1">_xll.xlBondYieldSensCustom(D10,E10,F10,G10,H10,I10,J10,B10,R10,$AM$2,$AN$2,$AO$2,$AP$2,$AQ$2,"y")</f>
        <v>-8.3064463407433152E-4</v>
      </c>
      <c r="T10" s="23">
        <f t="shared" si="0"/>
        <v>99.996000000000009</v>
      </c>
      <c r="U10" s="83">
        <f ca="1">_xll.xlBondYieldSensCustom(D10,E10,F10,G10,H10,I10,J10,B10,T10,$AM$2,$AN$2,$AO$2,$AP$2,$AQ$2,"y")</f>
        <v>2.2154732343082628E-4</v>
      </c>
      <c r="V10" s="23"/>
      <c r="W10" s="23">
        <f t="shared" si="1"/>
        <v>99.996000000000009</v>
      </c>
      <c r="X10" s="22"/>
      <c r="Y10" s="22">
        <f t="shared" ca="1" si="2"/>
        <v>2.2154732343082628E-4</v>
      </c>
      <c r="Z10" s="23">
        <f ca="1">_xll.xlBondPriceCustom(D10,E10,F10,G10,H10,I10,J10,B10,Y10,$AM$2,$AN$2,$AO$2,$AP$2,$AQ$2)</f>
        <v>99.996000000000009</v>
      </c>
      <c r="AA10" s="20">
        <f t="array" aca="1" ref="AA10:AG10" ca="1">_xll.xlBondYieldSens(D10,E10,F10,G10,H10,I10,J10,B10,W10,$AA$5&amp;$AB$5&amp;$AC$5&amp;$AD$5&amp;$AE$5&amp;$AF$5&amp;$AG$5)</f>
        <v>0</v>
      </c>
      <c r="AB10" s="20">
        <f ca="1"/>
        <v>0.18054833333333331</v>
      </c>
      <c r="AC10" s="20">
        <f ca="1"/>
        <v>-0.18054111140000001</v>
      </c>
      <c r="AD10" s="20">
        <f ca="1"/>
        <v>6.5198009259259259E-4</v>
      </c>
      <c r="AE10" s="20">
        <f ca="1"/>
        <v>6.5192793522835348E-4</v>
      </c>
      <c r="AF10" s="20">
        <f ca="1"/>
        <v>0.18054111145957563</v>
      </c>
      <c r="AG10" s="24">
        <f ca="1"/>
        <v>2.2154732343082628E-4</v>
      </c>
      <c r="AH10" s="22">
        <f ca="1">_xll.xlBondYieldSensCustom(D10,E10,F10,G10,H10,I10,J10,B10,W10,$AM$2,$AN$2,$AO$2,$AP$2,$AQ$2,"y")</f>
        <v>2.2154732343082628E-4</v>
      </c>
      <c r="AI10" s="22">
        <f ca="1">IF(TRUE,_xll.xlShmInterpRateFwd("EONIA",_xll.xlDateSettle("target",$B$2,2),0,4,$F10),"")</f>
        <v>1.8250675749096449E-3</v>
      </c>
      <c r="AJ10" s="85">
        <f t="shared" ca="1" si="3"/>
        <v>-1.6035202514788187E-3</v>
      </c>
      <c r="AO10" s="84"/>
    </row>
    <row r="11" spans="1:43" ht="15.75" x14ac:dyDescent="0.25">
      <c r="A11" s="2" t="s">
        <v>56</v>
      </c>
      <c r="B11" s="19">
        <f ca="1">MAX(_xll.xlBondValueDate(D11,$B$2),I11)</f>
        <v>41631</v>
      </c>
      <c r="C11" s="20" t="str">
        <v>DE0001119907</v>
      </c>
      <c r="D11" s="86" t="str">
        <f t="array" ref="D11:N11">_xll.BondInfo(C11,$D$5:$N$5)</f>
        <v>BUND</v>
      </c>
      <c r="E11" s="20">
        <v>0</v>
      </c>
      <c r="F11" s="87">
        <v>41710</v>
      </c>
      <c r="G11" s="19">
        <v>41528</v>
      </c>
      <c r="H11" s="19">
        <v>41710</v>
      </c>
      <c r="I11" s="19">
        <v>41528</v>
      </c>
      <c r="J11" s="20">
        <v>99.976699999999994</v>
      </c>
      <c r="K11" s="20" t="str">
        <v>DE111990=</v>
      </c>
      <c r="L11" s="20" t="str">
        <v>Y</v>
      </c>
      <c r="M11" s="20" t="str">
        <v>EJ8131157</v>
      </c>
      <c r="N11" s="20" t="str">
        <v>BUBILL</v>
      </c>
      <c r="O11" s="21">
        <f>_xll.BondOutstanding(C11)</f>
        <v>3000000000</v>
      </c>
      <c r="P11" s="25">
        <f ca="1">_xll.xlBondYieldSensCustom(D11,E11,F11,G11,H11,I11,J11,B11,Q11,$AM$2,$AN$2,$AO$2,$AP$2,$AQ$2,"y")</f>
        <v>9.1157472000709199E-4</v>
      </c>
      <c r="Q11" s="26">
        <f>_xll.RtGet("IDN",$K11,IF(OR($D11="BTP,$E11=""CTZ"),Q$5,Q$4))</f>
        <v>99.98</v>
      </c>
      <c r="R11" s="27">
        <f>_xll.RtGet("IDN",$K11,IF(OR($D11="BTP,$E11=""CTZ"),R$5,R$4))</f>
        <v>99.983999999999995</v>
      </c>
      <c r="S11" s="28">
        <f ca="1">_xll.xlBondYieldSensCustom(D11,E11,F11,G11,H11,I11,J11,B11,R11,$AM$2,$AN$2,$AO$2,$AP$2,$AQ$2,"y")</f>
        <v>7.2923060094735501E-4</v>
      </c>
      <c r="T11" s="23">
        <f t="shared" si="0"/>
        <v>99.981999999999999</v>
      </c>
      <c r="U11" s="83">
        <f ca="1">_xll.xlBondYieldSensCustom(D11,E11,F11,G11,H11,I11,J11,B11,T11,$AM$2,$AN$2,$AO$2,$AP$2,$AQ$2,"y")</f>
        <v>8.204008367356494E-4</v>
      </c>
      <c r="V11" s="23"/>
      <c r="W11" s="23">
        <f t="shared" si="1"/>
        <v>99.981999999999999</v>
      </c>
      <c r="X11" s="22"/>
      <c r="Y11" s="22">
        <f t="shared" ca="1" si="2"/>
        <v>8.204008367356494E-4</v>
      </c>
      <c r="Z11" s="23">
        <f ca="1">_xll.xlBondPriceCustom(D11,E11,F11,G11,H11,I11,J11,B11,Y11,$AM$2,$AN$2,$AO$2,$AP$2,$AQ$2)</f>
        <v>99.981999999999388</v>
      </c>
      <c r="AA11" s="20">
        <f t="array" aca="1" ref="AA11:AG11" ca="1">_xll.xlBondYieldSens(D11,E11,F11,G11,H11,I11,J11,B11,W11,$AA$5&amp;$AB$5&amp;$AC$5&amp;$AD$5&amp;$AE$5&amp;$AF$5&amp;$AG$5)</f>
        <v>0</v>
      </c>
      <c r="AB11" s="20">
        <f ca="1"/>
        <v>0.21940494444444444</v>
      </c>
      <c r="AC11" s="20">
        <f ca="1"/>
        <v>-0.21936545155444445</v>
      </c>
      <c r="AD11" s="20">
        <f ca="1"/>
        <v>9.6294392283950627E-4</v>
      </c>
      <c r="AE11" s="20">
        <f ca="1"/>
        <v>9.6259729422666727E-4</v>
      </c>
      <c r="AF11" s="20">
        <f ca="1"/>
        <v>0.21936545166028054</v>
      </c>
      <c r="AG11" s="24">
        <f ca="1"/>
        <v>8.204008367356494E-4</v>
      </c>
      <c r="AH11" s="22">
        <f ca="1">_xll.xlBondYieldSensCustom(D11,E11,F11,G11,H11,I11,J11,B11,W11,$AM$2,$AN$2,$AO$2,$AP$2,$AQ$2,"y")</f>
        <v>8.204008367356494E-4</v>
      </c>
      <c r="AI11" s="22">
        <f ca="1">IF(TRUE,_xll.xlShmInterpRateFwd("EONIA",_xll.xlDateSettle("target",$B$2,2),0,4,$F11),"")</f>
        <v>1.7900682358321415E-3</v>
      </c>
      <c r="AJ11" s="85">
        <f t="shared" ca="1" si="3"/>
        <v>-9.6966739909649209E-4</v>
      </c>
      <c r="AO11" s="84"/>
    </row>
    <row r="12" spans="1:43" ht="15.75" x14ac:dyDescent="0.25">
      <c r="A12" s="2" t="s">
        <v>55</v>
      </c>
      <c r="B12" s="19">
        <f ca="1">MAX(_xll.xlBondValueDate(D12,$B$2),I12)</f>
        <v>41631</v>
      </c>
      <c r="C12" s="20" t="str">
        <v>DE0001137370</v>
      </c>
      <c r="D12" s="86" t="str">
        <f t="array" ref="D12:N12">_xll.BondInfo(C12,$D$5:$N$5)</f>
        <v>BUND</v>
      </c>
      <c r="E12" s="20">
        <v>0.25</v>
      </c>
      <c r="F12" s="87">
        <v>41712</v>
      </c>
      <c r="G12" s="19">
        <v>40963</v>
      </c>
      <c r="H12" s="19">
        <v>41347</v>
      </c>
      <c r="I12" s="19">
        <v>40963</v>
      </c>
      <c r="J12" s="20">
        <v>99.995999999999995</v>
      </c>
      <c r="K12" s="20" t="str">
        <v>DE113737=</v>
      </c>
      <c r="L12" s="20" t="str">
        <v>N</v>
      </c>
      <c r="M12" s="20" t="str">
        <v>EJ0285480</v>
      </c>
      <c r="N12" s="20" t="str">
        <v>BKO</v>
      </c>
      <c r="O12" s="21">
        <f>_xll.BondOutstanding(C12)</f>
        <v>15000000000</v>
      </c>
      <c r="P12" s="25">
        <f ca="1">_xll.xlBondYieldSensCustom(D12,E12,F12,G12,H12,I12,J12,B12,Q12,$AM$2,$AN$2,$AO$2,$AP$2,$AQ$2,"y")</f>
        <v>2.283442606813053E-3</v>
      </c>
      <c r="Q12" s="26">
        <f>_xll.RtGet("IDN",$K12,IF(OR($D12="BTP,$E11=""CTZ"),Q$5,Q$4))</f>
        <v>100.004</v>
      </c>
      <c r="R12" s="27">
        <f>_xll.RtGet("IDN",$K12,IF(OR($D12="BTP,$E11=""CTZ"),R$5,R$4))</f>
        <v>100.054</v>
      </c>
      <c r="S12" s="28">
        <f ca="1">_xll.xlBondYieldSensCustom(D12,E12,F12,G12,H12,I12,J12,B12,R12,$AM$2,$AN$2,$AO$2,$AP$2,$AQ$2,"y")</f>
        <v>6.5590438945381697E-5</v>
      </c>
      <c r="T12" s="23">
        <f t="shared" si="0"/>
        <v>100.029</v>
      </c>
      <c r="U12" s="83">
        <f ca="1">_xll.xlBondYieldSensCustom(D12,E12,F12,G12,H12,I12,J12,B12,T12,$AM$2,$AN$2,$AO$2,$AP$2,$AQ$2,"y")</f>
        <v>1.1742400661684423E-3</v>
      </c>
      <c r="V12" s="23"/>
      <c r="W12" s="23">
        <f t="shared" si="1"/>
        <v>100.029</v>
      </c>
      <c r="X12" s="22"/>
      <c r="Y12" s="22">
        <f t="shared" ca="1" si="2"/>
        <v>1.1742400661684423E-3</v>
      </c>
      <c r="Z12" s="23">
        <f ca="1">_xll.xlBondPriceCustom(D12,E12,F12,G12,H12,I12,J12,B12,Y12,$AM$2,$AN$2,$AO$2,$AP$2,$AQ$2)</f>
        <v>100.02899999554101</v>
      </c>
      <c r="AA12" s="20">
        <f t="array" aca="1" ref="AA12:AG12" ca="1">_xll.xlBondYieldSens(D12,E12,F12,G12,H12,I12,J12,B12,W12,$AA$5&amp;$AB$5&amp;$AC$5&amp;$AD$5&amp;$AE$5&amp;$AF$5&amp;$AG$5)</f>
        <v>0.19452054794520549</v>
      </c>
      <c r="AB12" s="20">
        <f ca="1"/>
        <v>0.22185922805463304</v>
      </c>
      <c r="AC12" s="20">
        <f ca="1"/>
        <v>-0.22180066335363147</v>
      </c>
      <c r="AD12" s="20">
        <f ca="1"/>
        <v>9.8469027246165901E-4</v>
      </c>
      <c r="AE12" s="20">
        <f ca="1"/>
        <v>9.8417047907284447E-4</v>
      </c>
      <c r="AF12" s="20">
        <f ca="1"/>
        <v>0.2223550931120144</v>
      </c>
      <c r="AG12" s="24">
        <f ca="1"/>
        <v>1.1905489480933847E-3</v>
      </c>
      <c r="AH12" s="22">
        <f ca="1">_xll.xlBondYieldSensCustom(D12,E12,F12,G12,H12,I12,J12,B12,W12,$AM$2,$AN$2,$AO$2,$AP$2,$AQ$2,"y")</f>
        <v>1.1742400661684423E-3</v>
      </c>
      <c r="AI12" s="22">
        <f ca="1">IF(TRUE,_xll.xlShmInterpRateFwd("EONIA",_xll.xlDateSettle("target",$B$2,2),0,4,$F12),"")</f>
        <v>1.7850549895828596E-3</v>
      </c>
      <c r="AJ12" s="85">
        <f t="shared" ca="1" si="3"/>
        <v>-6.108149234144173E-4</v>
      </c>
      <c r="AO12" s="84"/>
    </row>
    <row r="13" spans="1:43" ht="15.75" x14ac:dyDescent="0.25">
      <c r="A13" s="2" t="s">
        <v>54</v>
      </c>
      <c r="B13" s="19">
        <f ca="1">MAX(_xll.xlBondValueDate(D13,$B$2),I13)</f>
        <v>41631</v>
      </c>
      <c r="C13" s="20" t="str">
        <v>DE0001119790</v>
      </c>
      <c r="D13" s="86" t="str">
        <f t="array" ref="D13:N13">_xll.BondInfo(C13,$D$5:$N$5)</f>
        <v>BUND</v>
      </c>
      <c r="E13" s="20">
        <v>0</v>
      </c>
      <c r="F13" s="87">
        <v>41724</v>
      </c>
      <c r="G13" s="19">
        <v>41360</v>
      </c>
      <c r="H13" s="19">
        <v>41724</v>
      </c>
      <c r="I13" s="19">
        <v>41360</v>
      </c>
      <c r="J13" s="20">
        <v>99.983199999999997</v>
      </c>
      <c r="K13" s="20" t="str">
        <v>DE111979=</v>
      </c>
      <c r="L13" s="20" t="str">
        <v>N</v>
      </c>
      <c r="M13" s="20" t="str">
        <v>EJ5962869</v>
      </c>
      <c r="N13" s="20" t="str">
        <v>BUBILL</v>
      </c>
      <c r="O13" s="21">
        <f>_xll.BondOutstanding(C13)</f>
        <v>3000000000</v>
      </c>
      <c r="P13" s="25">
        <f ca="1">_xll.xlBondYieldSensCustom(D13,E13,F13,G13,H13,I13,J13,B13,Q13,$AM$2,$AN$2,$AO$2,$AP$2,$AQ$2,"y")</f>
        <v>9.6798393146701653E-4</v>
      </c>
      <c r="Q13" s="26">
        <f>_xll.RtGet("IDN",$K13,IF(OR($D13="BTP,$E11=""CTZ"),Q$5,Q$4))</f>
        <v>99.974999999999994</v>
      </c>
      <c r="R13" s="27">
        <f>_xll.RtGet("IDN",$K13,IF(OR($D13="BTP,$E11=""CTZ"),R$5,R$4))</f>
        <v>99.98</v>
      </c>
      <c r="S13" s="28">
        <f ca="1">_xll.xlBondYieldSensCustom(D13,E13,F13,G13,H13,I13,J13,B13,R13,$AM$2,$AN$2,$AO$2,$AP$2,$AQ$2,"y")</f>
        <v>7.7434841807054043E-4</v>
      </c>
      <c r="T13" s="23">
        <f t="shared" si="0"/>
        <v>99.977499999999992</v>
      </c>
      <c r="U13" s="83">
        <f ca="1">_xll.xlBondYieldSensCustom(D13,E13,F13,G13,H13,I13,J13,B13,T13,$AM$2,$AN$2,$AO$2,$AP$2,$AQ$2,"y")</f>
        <v>8.7116375378020762E-4</v>
      </c>
      <c r="V13" s="23"/>
      <c r="W13" s="23">
        <f t="shared" si="1"/>
        <v>99.977499999999992</v>
      </c>
      <c r="X13" s="22"/>
      <c r="Y13" s="22">
        <f t="shared" ca="1" si="2"/>
        <v>8.7116375378020762E-4</v>
      </c>
      <c r="Z13" s="23">
        <f ca="1">_xll.xlBondPriceCustom(D13,E13,F13,G13,H13,I13,J13,B13,Y13,$AM$2,$AN$2,$AO$2,$AP$2,$AQ$2)</f>
        <v>99.977499999999992</v>
      </c>
      <c r="AA13" s="20">
        <f t="array" aca="1" ref="AA13:AG13" ca="1">_xll.xlBondYieldSens(D13,E13,F13,G13,H13,I13,J13,B13,W13,$AA$5&amp;$AB$5&amp;$AC$5&amp;$AD$5&amp;$AE$5&amp;$AF$5&amp;$AG$5)</f>
        <v>0</v>
      </c>
      <c r="AB13" s="20">
        <f ca="1"/>
        <v>0.25827520833333334</v>
      </c>
      <c r="AC13" s="20">
        <f ca="1"/>
        <v>-0.25821709641145835</v>
      </c>
      <c r="AD13" s="20">
        <f ca="1"/>
        <v>1.3344219097222224E-3</v>
      </c>
      <c r="AE13" s="20">
        <f ca="1"/>
        <v>1.3338214874179563E-3</v>
      </c>
      <c r="AF13" s="20">
        <f ca="1"/>
        <v>0.25821709658444547</v>
      </c>
      <c r="AG13" s="24">
        <f ca="1"/>
        <v>8.7116375378020762E-4</v>
      </c>
      <c r="AH13" s="22">
        <f ca="1">_xll.xlBondYieldSensCustom(D13,E13,F13,G13,H13,I13,J13,B13,W13,$AM$2,$AN$2,$AO$2,$AP$2,$AQ$2,"y")</f>
        <v>8.7116375378020762E-4</v>
      </c>
      <c r="AI13" s="22">
        <f ca="1">IF(TRUE,_xll.xlShmInterpRateFwd("EONIA",_xll.xlDateSettle("target",$B$2,2),0,4,$F13),"")</f>
        <v>1.7573139108828927E-3</v>
      </c>
      <c r="AJ13" s="85">
        <f t="shared" ca="1" si="3"/>
        <v>-8.8615015710268507E-4</v>
      </c>
      <c r="AO13" s="84"/>
    </row>
    <row r="14" spans="1:43" ht="15.75" x14ac:dyDescent="0.25">
      <c r="A14" s="2" t="s">
        <v>101</v>
      </c>
      <c r="B14" s="19">
        <f ca="1">MAX(_xll.xlBondValueDate(D14,$B$2),I14)</f>
        <v>41631</v>
      </c>
      <c r="C14" s="20" t="str">
        <v>DE0001141547</v>
      </c>
      <c r="D14" s="86" t="str">
        <f t="array" ref="D14:N14">_xll.BondInfo(C14,$D$5:$N$5)</f>
        <v>BUND</v>
      </c>
      <c r="E14" s="20">
        <v>2.25</v>
      </c>
      <c r="F14" s="87">
        <v>41740</v>
      </c>
      <c r="G14" s="19">
        <v>39899</v>
      </c>
      <c r="H14" s="19">
        <v>40279</v>
      </c>
      <c r="I14" s="19">
        <v>39899</v>
      </c>
      <c r="J14" s="20">
        <v>99.2</v>
      </c>
      <c r="K14" s="20" t="str">
        <v>DE114154=</v>
      </c>
      <c r="L14" s="20" t="str">
        <v>N</v>
      </c>
      <c r="M14" s="20" t="str">
        <v>EH7614611</v>
      </c>
      <c r="N14" s="20" t="str">
        <v>OBL</v>
      </c>
      <c r="O14" s="21">
        <f>_xll.BondOutstanding(C14)</f>
        <v>19000000000</v>
      </c>
      <c r="P14" s="25">
        <f ca="1">_xll.xlBondYieldSensCustom(D14,E14,F14,G14,H14,I14,J14,B14,Q14,$AM$2,$AN$2,$AO$2,$AP$2,$AQ$2,"y")</f>
        <v>1.7101702433650959E-3</v>
      </c>
      <c r="Q14" s="26">
        <f>_xll.RtGet("IDN",$K14,IF(OR($D14="BTP,$E11=""CTZ"),Q$5,Q$4))</f>
        <v>100.619</v>
      </c>
      <c r="R14" s="27">
        <f>_xll.RtGet("IDN",$K14,IF(OR($D14="BTP,$E11=""CTZ"),R$5,R$4))</f>
        <v>100.639</v>
      </c>
      <c r="S14" s="28">
        <f ca="1">_xll.xlBondYieldSensCustom(D14,E14,F14,G14,H14,I14,J14,B14,R14,$AM$2,$AN$2,$AO$2,$AP$2,$AQ$2,"y")</f>
        <v>1.0636124895606128E-3</v>
      </c>
      <c r="T14" s="23">
        <f t="shared" si="0"/>
        <v>100.62899999999999</v>
      </c>
      <c r="U14" s="83">
        <f ca="1">_xll.xlBondYieldSensCustom(D14,E14,F14,G14,H14,I14,J14,B14,T14,$AM$2,$AN$2,$AO$2,$AP$2,$AQ$2,"y")</f>
        <v>1.3868597378762573E-3</v>
      </c>
      <c r="V14" s="23"/>
      <c r="W14" s="23">
        <f t="shared" si="1"/>
        <v>100.62899999999999</v>
      </c>
      <c r="X14" s="22"/>
      <c r="Y14" s="22">
        <f t="shared" ca="1" si="2"/>
        <v>1.3868597378762573E-3</v>
      </c>
      <c r="Z14" s="23">
        <f ca="1">_xll.xlBondPriceCustom(D14,E14,F14,G14,H14,I14,J14,B14,Y14,$AM$2,$AN$2,$AO$2,$AP$2,$AQ$2)</f>
        <v>100.62900000070022</v>
      </c>
      <c r="AA14" s="20">
        <f t="array" aca="1" ref="AA14:AG14" ca="1">_xll.xlBondYieldSens(D14,E14,F14,G14,H14,I14,J14,B14,W14,$AA$5&amp;$AB$5&amp;$AC$5&amp;$AD$5&amp;$AE$5&amp;$AF$5&amp;$AG$5)</f>
        <v>1.5780821917808219</v>
      </c>
      <c r="AB14" s="20">
        <f ca="1"/>
        <v>0.29850478699731597</v>
      </c>
      <c r="AC14" s="20">
        <f ca="1"/>
        <v>-0.29837948962398386</v>
      </c>
      <c r="AD14" s="20">
        <f ca="1"/>
        <v>1.7828505086415036E-3</v>
      </c>
      <c r="AE14" s="20">
        <f ca="1"/>
        <v>1.7813541198915034E-3</v>
      </c>
      <c r="AF14" s="20">
        <f ca="1"/>
        <v>0.30509303812138455</v>
      </c>
      <c r="AG14" s="24">
        <f ca="1"/>
        <v>1.4061216792657164E-3</v>
      </c>
      <c r="AH14" s="22">
        <f ca="1">_xll.xlBondYieldSensCustom(D14,E14,F14,G14,H14,I14,J14,B14,W14,$AM$2,$AN$2,$AO$2,$AP$2,$AQ$2,"y")</f>
        <v>1.3868597378762573E-3</v>
      </c>
      <c r="AI14" s="22">
        <f ca="1">IF(TRUE,_xll.xlShmInterpRateFwd("EONIA",_xll.xlDateSettle("target",$B$2,2),0,4,$F14),"")</f>
        <v>1.7233863779952962E-3</v>
      </c>
      <c r="AJ14" s="85">
        <f t="shared" ca="1" si="3"/>
        <v>-3.3652664011903891E-4</v>
      </c>
      <c r="AO14" s="84"/>
    </row>
    <row r="15" spans="1:43" ht="15.75" x14ac:dyDescent="0.25">
      <c r="A15" s="2" t="s">
        <v>235</v>
      </c>
      <c r="B15" s="19">
        <f ca="1">MAX(_xll.xlBondValueDate(D15,$B$2),I15)</f>
        <v>41631</v>
      </c>
      <c r="C15" s="20" t="str">
        <v>DE0001119923</v>
      </c>
      <c r="D15" s="86" t="str">
        <f t="array" ref="D15:N15">_xll.BondInfo(C15,$D$5:$N$5)</f>
        <v>BUND</v>
      </c>
      <c r="E15" s="20">
        <v>0</v>
      </c>
      <c r="F15" s="87">
        <v>41745</v>
      </c>
      <c r="G15" s="19">
        <v>41563</v>
      </c>
      <c r="H15" s="19">
        <v>41745</v>
      </c>
      <c r="I15" s="19">
        <v>41563</v>
      </c>
      <c r="J15" s="20">
        <v>99.981700000000004</v>
      </c>
      <c r="K15" s="20" t="str">
        <v>DE111992=</v>
      </c>
      <c r="L15" s="20" t="str">
        <v>N</v>
      </c>
      <c r="M15" s="20" t="str">
        <v>EJ8696282</v>
      </c>
      <c r="N15" s="20" t="str">
        <v>BUBILL</v>
      </c>
      <c r="O15" s="21">
        <f>_xll.BondOutstanding(C15)</f>
        <v>3000000000</v>
      </c>
      <c r="P15" s="25">
        <f ca="1">_xll.xlBondYieldSensCustom(D15,E15,F15,G15,H15,I15,J15,B15,Q15,$AM$2,$AN$2,$AO$2,$AP$2,$AQ$2,"y")</f>
        <v>1.0740493872898795E-3</v>
      </c>
      <c r="Q15" s="26">
        <f>_xll.RtGet("IDN",$K15,IF(OR($D15="BTP,$E11=""CTZ"),Q$5,Q$4))</f>
        <v>99.965999999999994</v>
      </c>
      <c r="R15" s="27">
        <f>_xll.RtGet("IDN",$K15,IF(OR($D15="BTP,$E11=""CTZ"),R$5,R$4))</f>
        <v>99.971999999999994</v>
      </c>
      <c r="S15" s="28">
        <f ca="1">_xll.xlBondYieldSensCustom(D15,E15,F15,G15,H15,I15,J15,B15,R15,$AM$2,$AN$2,$AO$2,$AP$2,$AQ$2,"y")</f>
        <v>8.8445817460451538E-4</v>
      </c>
      <c r="T15" s="23">
        <f t="shared" si="0"/>
        <v>99.968999999999994</v>
      </c>
      <c r="U15" s="83">
        <f ca="1">_xll.xlBondYieldSensCustom(D15,E15,F15,G15,H15,I15,J15,B15,T15,$AM$2,$AN$2,$AO$2,$AP$2,$AQ$2,"y")</f>
        <v>9.7925093621170937E-4</v>
      </c>
      <c r="V15" s="23"/>
      <c r="W15" s="23">
        <f t="shared" si="1"/>
        <v>99.968999999999994</v>
      </c>
      <c r="X15" s="22"/>
      <c r="Y15" s="22">
        <f t="shared" ca="1" si="2"/>
        <v>9.7925093621170937E-4</v>
      </c>
      <c r="Z15" s="23">
        <f ca="1">_xll.xlBondPriceCustom(D15,E15,F15,G15,H15,I15,J15,B15,Y15,$AM$2,$AN$2,$AO$2,$AP$2,$AQ$2)</f>
        <v>99.96899999999998</v>
      </c>
      <c r="AA15" s="20">
        <f t="array" aca="1" ref="AA15:AG15" ca="1">_xll.xlBondYieldSens(D15,E15,F15,G15,H15,I15,J15,B15,W15,$AA$5&amp;$AB$5&amp;$AC$5&amp;$AD$5&amp;$AE$5&amp;$AF$5&amp;$AG$5)</f>
        <v>0</v>
      </c>
      <c r="AB15" s="20">
        <f ca="1"/>
        <v>0.31656849999999992</v>
      </c>
      <c r="AC15" s="20">
        <f ca="1"/>
        <v>-0.31647036376499987</v>
      </c>
      <c r="AD15" s="20">
        <f ca="1"/>
        <v>2.0049338333333329E-3</v>
      </c>
      <c r="AE15" s="20">
        <f ca="1"/>
        <v>2.0036909670308072E-3</v>
      </c>
      <c r="AF15" s="20">
        <f ca="1"/>
        <v>0.31647036408273266</v>
      </c>
      <c r="AG15" s="24">
        <f ca="1"/>
        <v>9.7925093621170937E-4</v>
      </c>
      <c r="AH15" s="22">
        <f ca="1">_xll.xlBondYieldSensCustom(D15,E15,F15,G15,H15,I15,J15,B15,W15,$AM$2,$AN$2,$AO$2,$AP$2,$AQ$2,"y")</f>
        <v>9.7925093621170937E-4</v>
      </c>
      <c r="AI15" s="22">
        <f ca="1">IF(TRUE,_xll.xlShmInterpRateFwd("EONIA",_xll.xlDateSettle("target",$B$2,2),0,4,$F15),"")</f>
        <v>1.7127613260669785E-3</v>
      </c>
      <c r="AJ15" s="85">
        <f t="shared" ca="1" si="3"/>
        <v>-7.335103898552691E-4</v>
      </c>
      <c r="AO15" s="84"/>
    </row>
    <row r="16" spans="1:43" ht="15.75" x14ac:dyDescent="0.25">
      <c r="A16" s="2" t="s">
        <v>236</v>
      </c>
      <c r="B16" s="19">
        <f ca="1">MAX(_xll.xlBondValueDate(D16,$B$2),I16)</f>
        <v>41631</v>
      </c>
      <c r="C16" s="20" t="str">
        <v>DE0001119816</v>
      </c>
      <c r="D16" s="86" t="str">
        <f t="array" ref="D16:N16">_xll.BondInfo(C16,$D$5:$N$5)</f>
        <v>BUND</v>
      </c>
      <c r="E16" s="20">
        <v>0</v>
      </c>
      <c r="F16" s="87">
        <v>41759</v>
      </c>
      <c r="G16" s="19">
        <v>41396</v>
      </c>
      <c r="H16" s="19">
        <v>41759</v>
      </c>
      <c r="I16" s="19">
        <v>41396</v>
      </c>
      <c r="J16" s="20">
        <v>99.998199999999997</v>
      </c>
      <c r="K16" s="20" t="str">
        <v>DE111981=</v>
      </c>
      <c r="L16" s="20" t="str">
        <v>N</v>
      </c>
      <c r="M16" s="20" t="str">
        <v>EJ6454965</v>
      </c>
      <c r="N16" s="20" t="str">
        <v>BUBILL</v>
      </c>
      <c r="O16" s="21">
        <f>_xll.BondOutstanding(C16)</f>
        <v>3000000000</v>
      </c>
      <c r="P16" s="25">
        <f ca="1">_xll.xlBondYieldSensCustom(D16,E16,F16,G16,H16,I16,J16,B16,Q16,$AM$2,$AN$2,$AO$2,$AP$2,$AQ$2,"y")</f>
        <v>1.1535979751697151E-3</v>
      </c>
      <c r="Q16" s="26">
        <f>_xll.RtGet("IDN",$K16,IF(OR($D16="BTP,$E11=""CTZ"),Q$5,Q$4))</f>
        <v>99.959000000000003</v>
      </c>
      <c r="R16" s="27">
        <f>_xll.RtGet("IDN",$K16,IF(OR($D16="BTP,$E11=""CTZ"),R$5,R$4))</f>
        <v>99.965999999999994</v>
      </c>
      <c r="S16" s="28">
        <f ca="1">_xll.xlBondYieldSensCustom(D16,E16,F16,G16,H16,I16,J16,B16,R16,$AM$2,$AN$2,$AO$2,$AP$2,$AQ$2,"y")</f>
        <v>9.5657523555194024E-4</v>
      </c>
      <c r="T16" s="23">
        <f t="shared" si="0"/>
        <v>99.962500000000006</v>
      </c>
      <c r="U16" s="83">
        <f ca="1">_xll.xlBondYieldSensCustom(D16,E16,F16,G16,H16,I16,J16,B16,T16,$AM$2,$AN$2,$AO$2,$AP$2,$AQ$2,"y")</f>
        <v>1.0550831561834811E-3</v>
      </c>
      <c r="V16" s="23"/>
      <c r="W16" s="23">
        <f t="shared" si="1"/>
        <v>99.962500000000006</v>
      </c>
      <c r="X16" s="22"/>
      <c r="Y16" s="22">
        <f t="shared" ca="1" si="2"/>
        <v>1.0550831561834811E-3</v>
      </c>
      <c r="Z16" s="23">
        <f ca="1">_xll.xlBondPriceCustom(D16,E16,F16,G16,H16,I16,J16,B16,Y16,$AM$2,$AN$2,$AO$2,$AP$2,$AQ$2)</f>
        <v>99.962500000000006</v>
      </c>
      <c r="AA16" s="20">
        <f t="array" aca="1" ref="AA16:AG16" ca="1">_xll.xlBondYieldSens(D16,E16,F16,G16,H16,I16,J16,B16,W16,$AA$5&amp;$AB$5&amp;$AC$5&amp;$AD$5&amp;$AE$5&amp;$AF$5&amp;$AG$5)</f>
        <v>0</v>
      </c>
      <c r="AB16" s="20">
        <f ca="1"/>
        <v>0.35542222222222219</v>
      </c>
      <c r="AC16" s="20">
        <f ca="1"/>
        <v>-0.35528893888888885</v>
      </c>
      <c r="AD16" s="20">
        <f ca="1"/>
        <v>2.5274469135802471E-3</v>
      </c>
      <c r="AE16" s="20">
        <f ca="1"/>
        <v>2.5255516838172836E-3</v>
      </c>
      <c r="AF16" s="20">
        <f ca="1"/>
        <v>0.35528893933758354</v>
      </c>
      <c r="AG16" s="24">
        <f ca="1"/>
        <v>1.0550831561834811E-3</v>
      </c>
      <c r="AH16" s="22">
        <f ca="1">_xll.xlBondYieldSensCustom(D16,E16,F16,G16,H16,I16,J16,B16,W16,$AM$2,$AN$2,$AO$2,$AP$2,$AQ$2,"y")</f>
        <v>1.0550831561834811E-3</v>
      </c>
      <c r="AI16" s="22">
        <f ca="1">IF(TRUE,_xll.xlShmInterpRateFwd("EONIA",_xll.xlDateSettle("target",$B$2,2),0,4,$F16),"")</f>
        <v>1.6857381355233423E-3</v>
      </c>
      <c r="AJ16" s="85">
        <f t="shared" ca="1" si="3"/>
        <v>-6.3065497933986118E-4</v>
      </c>
      <c r="AO16" s="84"/>
    </row>
    <row r="17" spans="1:41" ht="15.75" x14ac:dyDescent="0.25">
      <c r="A17" s="2" t="s">
        <v>237</v>
      </c>
      <c r="B17" s="19">
        <f ca="1">MAX(_xll.xlBondValueDate(D17,$B$2),I17)</f>
        <v>41631</v>
      </c>
      <c r="C17" s="20" t="str">
        <v>DE0001119949</v>
      </c>
      <c r="D17" s="86" t="str">
        <f t="array" ref="D17:N17">_xll.BondInfo(C17,$D$5:$N$5)</f>
        <v>BUND</v>
      </c>
      <c r="E17" s="20">
        <v>0</v>
      </c>
      <c r="F17" s="87">
        <v>41773</v>
      </c>
      <c r="G17" s="19">
        <v>41591</v>
      </c>
      <c r="H17" s="19">
        <v>41773</v>
      </c>
      <c r="I17" s="19">
        <v>41591</v>
      </c>
      <c r="J17" s="20">
        <v>99.981099999999998</v>
      </c>
      <c r="K17" s="20" t="str">
        <v>DE111994=</v>
      </c>
      <c r="L17" s="20" t="str">
        <v>N</v>
      </c>
      <c r="M17" s="20" t="str">
        <v>EJ9158118</v>
      </c>
      <c r="N17" s="20" t="str">
        <v>BUBILL</v>
      </c>
      <c r="O17" s="21">
        <f>_xll.BondOutstanding(C17)</f>
        <v>3000000000</v>
      </c>
      <c r="P17" s="25">
        <f ca="1">_xll.xlBondYieldSensCustom(D17,E17,F17,G17,H17,I17,J17,B17,Q17,$AM$2,$AN$2,$AO$2,$AP$2,$AQ$2,"y")</f>
        <v>1.2682397536798483E-3</v>
      </c>
      <c r="Q17" s="26">
        <f>_xll.RtGet("IDN",$K17,IF(OR($D17="BTP,$E11=""CTZ"),Q$5,Q$4))</f>
        <v>99.95</v>
      </c>
      <c r="R17" s="27">
        <f>_xll.RtGet("IDN",$K17,IF(OR($D17="BTP,$E11=""CTZ"),R$5,R$4))</f>
        <v>99.957999999999998</v>
      </c>
      <c r="S17" s="28">
        <f ca="1">_xll.xlBondYieldSensCustom(D17,E17,F17,G17,H17,I17,J17,B17,R17,$AM$2,$AN$2,$AO$2,$AP$2,$AQ$2,"y")</f>
        <v>1.065236131569759E-3</v>
      </c>
      <c r="T17" s="23">
        <f t="shared" si="0"/>
        <v>99.954000000000008</v>
      </c>
      <c r="U17" s="83">
        <f ca="1">_xll.xlBondYieldSensCustom(D17,E17,F17,G17,H17,I17,J17,B17,T17,$AM$2,$AN$2,$AO$2,$AP$2,$AQ$2,"y")</f>
        <v>1.1667338806833163E-3</v>
      </c>
      <c r="V17" s="23"/>
      <c r="W17" s="23">
        <f t="shared" si="1"/>
        <v>99.954000000000008</v>
      </c>
      <c r="X17" s="22"/>
      <c r="Y17" s="22">
        <f t="shared" ca="1" si="2"/>
        <v>1.1667338806833163E-3</v>
      </c>
      <c r="Z17" s="23">
        <f ca="1">_xll.xlBondPriceCustom(D17,E17,F17,G17,H17,I17,J17,B17,Y17,$AM$2,$AN$2,$AO$2,$AP$2,$AQ$2)</f>
        <v>99.954000000000022</v>
      </c>
      <c r="AA17" s="20">
        <f t="array" aca="1" ref="AA17:AG17" ca="1">_xll.xlBondYieldSens(D17,E17,F17,G17,H17,I17,J17,B17,W17,$AA$5&amp;$AB$5&amp;$AC$5&amp;$AD$5&amp;$AE$5&amp;$AF$5&amp;$AG$5)</f>
        <v>0</v>
      </c>
      <c r="AB17" s="20">
        <f ca="1"/>
        <v>0.39426300000000003</v>
      </c>
      <c r="AC17" s="20">
        <f ca="1"/>
        <v>-0.3940816390200001</v>
      </c>
      <c r="AD17" s="20">
        <f ca="1"/>
        <v>3.1102970000000001E-3</v>
      </c>
      <c r="AE17" s="20">
        <f ca="1"/>
        <v>3.1074361848988465E-3</v>
      </c>
      <c r="AF17" s="20">
        <f ca="1"/>
        <v>0.3940816396330149</v>
      </c>
      <c r="AG17" s="24">
        <f ca="1"/>
        <v>1.1667338806833163E-3</v>
      </c>
      <c r="AH17" s="22">
        <f ca="1">_xll.xlBondYieldSensCustom(D17,E17,F17,G17,H17,I17,J17,B17,W17,$AM$2,$AN$2,$AO$2,$AP$2,$AQ$2,"y")</f>
        <v>1.1667338806833163E-3</v>
      </c>
      <c r="AI17" s="22">
        <f ca="1">IF(TRUE,_xll.xlShmInterpRateFwd("EONIA",_xll.xlDateSettle("target",$B$2,2),0,4,$F17),"")</f>
        <v>1.6607321533843925E-3</v>
      </c>
      <c r="AJ17" s="85">
        <f t="shared" ca="1" si="3"/>
        <v>-4.9399827270107618E-4</v>
      </c>
      <c r="AO17" s="84"/>
    </row>
    <row r="18" spans="1:41" ht="15.75" x14ac:dyDescent="0.25">
      <c r="A18" s="2" t="s">
        <v>45</v>
      </c>
      <c r="B18" s="19">
        <f ca="1">MAX(_xll.xlBondValueDate(D18,$B$2),I18)</f>
        <v>41631</v>
      </c>
      <c r="C18" s="20" t="str">
        <v>DE0001119832</v>
      </c>
      <c r="D18" s="86" t="str">
        <f t="array" ref="D18:N18">_xll.BondInfo(C18,$D$5:$N$5)</f>
        <v>BUND</v>
      </c>
      <c r="E18" s="20">
        <v>0</v>
      </c>
      <c r="F18" s="87">
        <v>41787</v>
      </c>
      <c r="G18" s="19">
        <v>41423</v>
      </c>
      <c r="H18" s="19">
        <v>41787</v>
      </c>
      <c r="I18" s="19">
        <v>41423</v>
      </c>
      <c r="J18" s="20">
        <v>99.998900000000006</v>
      </c>
      <c r="K18" s="20" t="str">
        <v>DE111983=</v>
      </c>
      <c r="L18" s="20" t="str">
        <v>N</v>
      </c>
      <c r="M18" s="20" t="str">
        <v>EJ6846988</v>
      </c>
      <c r="N18" s="20" t="str">
        <v>BUBILL</v>
      </c>
      <c r="O18" s="21">
        <f>_xll.BondOutstanding(C18)</f>
        <v>3000000000</v>
      </c>
      <c r="P18" s="25">
        <f ca="1">_xll.xlBondYieldSensCustom(D18,E18,F18,G18,H18,I18,J18,B18,Q18,$AM$2,$AN$2,$AO$2,$AP$2,$AQ$2,"y")</f>
        <v>1.0851253935504003E-3</v>
      </c>
      <c r="Q18" s="26">
        <f>_xll.RtGet("IDN",$K18,IF(OR($D18="BTP,$E11=""CTZ"),Q$5,Q$4))</f>
        <v>99.953000000000003</v>
      </c>
      <c r="R18" s="27">
        <f>_xll.RtGet("IDN",$K18,IF(OR($D18="BTP,$E11=""CTZ"),R$5,R$4))</f>
        <v>99.962000000000003</v>
      </c>
      <c r="S18" s="28">
        <f ca="1">_xll.xlBondYieldSensCustom(D18,E18,F18,G18,H18,I18,J18,B18,R18,$AM$2,$AN$2,$AO$2,$AP$2,$AQ$2,"y")</f>
        <v>8.7725643436791065E-4</v>
      </c>
      <c r="T18" s="23">
        <f t="shared" si="0"/>
        <v>99.95750000000001</v>
      </c>
      <c r="U18" s="83">
        <f ca="1">_xll.xlBondYieldSensCustom(D18,E18,F18,G18,H18,I18,J18,B18,T18,$AM$2,$AN$2,$AO$2,$AP$2,$AQ$2,"y")</f>
        <v>9.811862349186672E-4</v>
      </c>
      <c r="V18" s="23"/>
      <c r="W18" s="23">
        <f t="shared" si="1"/>
        <v>99.95750000000001</v>
      </c>
      <c r="X18" s="22"/>
      <c r="Y18" s="22">
        <f t="shared" ca="1" si="2"/>
        <v>9.811862349186672E-4</v>
      </c>
      <c r="Z18" s="23">
        <f ca="1">_xll.xlBondPriceCustom(D18,E18,F18,G18,H18,I18,J18,B18,Y18,$AM$2,$AN$2,$AO$2,$AP$2,$AQ$2)</f>
        <v>99.957500000000024</v>
      </c>
      <c r="AA18" s="20">
        <f t="array" aca="1" ref="AA18:AG18" ca="1">_xll.xlBondYieldSens(D18,E18,F18,G18,H18,I18,J18,B18,W18,$AA$5&amp;$AB$5&amp;$AC$5&amp;$AD$5&amp;$AE$5&amp;$AF$5&amp;$AG$5)</f>
        <v>0</v>
      </c>
      <c r="AB18" s="20">
        <f ca="1"/>
        <v>0.43314916666666675</v>
      </c>
      <c r="AC18" s="20">
        <f ca="1"/>
        <v>-0.43296507827083347</v>
      </c>
      <c r="AD18" s="20">
        <f ca="1"/>
        <v>3.7539594444444451E-3</v>
      </c>
      <c r="AE18" s="20">
        <f ca="1"/>
        <v>3.7507692569755929E-3</v>
      </c>
      <c r="AF18" s="20">
        <f ca="1"/>
        <v>0.43296507908436865</v>
      </c>
      <c r="AG18" s="24">
        <f ca="1"/>
        <v>9.811862349186672E-4</v>
      </c>
      <c r="AH18" s="22">
        <f ca="1">_xll.xlBondYieldSensCustom(D18,E18,F18,G18,H18,I18,J18,B18,W18,$AM$2,$AN$2,$AO$2,$AP$2,$AQ$2,"y")</f>
        <v>9.811862349186672E-4</v>
      </c>
      <c r="AI18" s="22">
        <f ca="1">IF(TRUE,_xll.xlShmInterpRateFwd("EONIA",_xll.xlDateSettle("target",$B$2,2),0,4,$F18),"")</f>
        <v>1.6396992207463222E-3</v>
      </c>
      <c r="AJ18" s="85">
        <f t="shared" ca="1" si="3"/>
        <v>-6.5851298582765496E-4</v>
      </c>
      <c r="AO18" s="84"/>
    </row>
    <row r="19" spans="1:41" ht="15.75" x14ac:dyDescent="0.25">
      <c r="A19" s="2" t="s">
        <v>45</v>
      </c>
      <c r="B19" s="19">
        <f ca="1">MAX(_xll.xlBondValueDate(D19,$B$2),I19)</f>
        <v>41631</v>
      </c>
      <c r="C19" s="20" t="str">
        <v>DE0001137388</v>
      </c>
      <c r="D19" s="86" t="str">
        <f t="array" ref="D19:N19">_xll.BondInfo(C19,$D$5:$N$5)</f>
        <v>BUND</v>
      </c>
      <c r="E19" s="20">
        <v>0</v>
      </c>
      <c r="F19" s="87">
        <v>41803</v>
      </c>
      <c r="G19" s="19">
        <v>41054</v>
      </c>
      <c r="H19" s="19">
        <v>41438</v>
      </c>
      <c r="I19" s="19">
        <v>41054</v>
      </c>
      <c r="J19" s="20">
        <v>99.864999999999995</v>
      </c>
      <c r="K19" s="20" t="str">
        <v>DE113738=</v>
      </c>
      <c r="L19" s="20" t="str">
        <v>N</v>
      </c>
      <c r="M19" s="20" t="str">
        <v>EJ1991250</v>
      </c>
      <c r="N19" s="20" t="str">
        <v>BKO</v>
      </c>
      <c r="O19" s="21">
        <f>_xll.BondOutstanding(C19)</f>
        <v>15000000000</v>
      </c>
      <c r="P19" s="25">
        <f ca="1">_xll.xlBondYieldSensCustom(D19,E19,F19,G19,H19,I19,J19,B19,Q19,$AM$2,$AN$2,$AO$2,$AP$2,$AQ$2,"y")</f>
        <v>1.3823076719005711E-3</v>
      </c>
      <c r="Q19" s="26">
        <f>_xll.RtGet("IDN",$K19,IF(OR($D19="BTP,$E11=""CTZ"),Q$5,Q$4))</f>
        <v>99.933999999999997</v>
      </c>
      <c r="R19" s="27">
        <f>_xll.RtGet("IDN",$K19,IF(OR($D19="BTP,$E11=""CTZ"),R$5,R$4))</f>
        <v>99.948999999999998</v>
      </c>
      <c r="S19" s="28">
        <f ca="1">_xll.xlBondYieldSensCustom(D19,E19,F19,G19,H19,I19,J19,B19,R19,$AM$2,$AN$2,$AO$2,$AP$2,$AQ$2,"y")</f>
        <v>1.0679865335831054E-3</v>
      </c>
      <c r="T19" s="23">
        <f t="shared" si="0"/>
        <v>99.941499999999991</v>
      </c>
      <c r="U19" s="83">
        <f ca="1">_xll.xlBondYieldSensCustom(D19,E19,F19,G19,H19,I19,J19,B19,T19,$AM$2,$AN$2,$AO$2,$AP$2,$AQ$2,"y")</f>
        <v>1.2251353088068417E-3</v>
      </c>
      <c r="V19" s="23"/>
      <c r="W19" s="23">
        <f t="shared" si="1"/>
        <v>99.941499999999991</v>
      </c>
      <c r="X19" s="22"/>
      <c r="Y19" s="22">
        <f t="shared" ca="1" si="2"/>
        <v>1.2251353088068417E-3</v>
      </c>
      <c r="Z19" s="23">
        <f ca="1">_xll.xlBondPriceCustom(D19,E19,F19,G19,H19,I19,J19,B19,Y19,$AM$2,$AN$2,$AO$2,$AP$2,$AQ$2)</f>
        <v>99.941499999999991</v>
      </c>
      <c r="AA19" s="20">
        <f t="array" aca="1" ref="AA19:AG19" ca="1">_xll.xlBondYieldSens(D19,E19,F19,G19,H19,I19,J19,B19,W19,$AA$5&amp;$AB$5&amp;$AC$5&amp;$AD$5&amp;$AE$5&amp;$AF$5&amp;$AG$5)</f>
        <v>0</v>
      </c>
      <c r="AB19" s="20">
        <f ca="1"/>
        <v>0.47749827777777776</v>
      </c>
      <c r="AC19" s="20">
        <f ca="1"/>
        <v>-0.47721894128527775</v>
      </c>
      <c r="AD19" s="20">
        <f ca="1"/>
        <v>4.5627613209876542E-3</v>
      </c>
      <c r="AE19" s="20">
        <f ca="1"/>
        <v>4.5574244517330919E-3</v>
      </c>
      <c r="AF19" s="20">
        <f ca="1"/>
        <v>0.47721894237469087</v>
      </c>
      <c r="AG19" s="24">
        <f ca="1"/>
        <v>1.2251353088068417E-3</v>
      </c>
      <c r="AH19" s="22">
        <f ca="1">_xll.xlBondYieldSensCustom(D19,E19,F19,G19,H19,I19,J19,B19,W19,$AM$2,$AN$2,$AO$2,$AP$2,$AQ$2,"y")</f>
        <v>1.2251353088068417E-3</v>
      </c>
      <c r="AI19" s="22">
        <f ca="1">IF(TRUE,_xll.xlShmInterpRateFwd("EONIA",_xll.xlDateSettle("target",$B$2,2),0,4,$F19),"")</f>
        <v>1.619050422805949E-3</v>
      </c>
      <c r="AJ19" s="85">
        <f t="shared" ca="1" si="3"/>
        <v>-3.9391511399910735E-4</v>
      </c>
      <c r="AO19" s="84"/>
    </row>
    <row r="20" spans="1:41" ht="15.75" x14ac:dyDescent="0.25">
      <c r="A20" s="2" t="s">
        <v>46</v>
      </c>
      <c r="B20" s="19">
        <f ca="1">MAX(_xll.xlBondValueDate(D20,$B$2),I20)</f>
        <v>41631</v>
      </c>
      <c r="C20" s="20" t="str">
        <v>DE0001119857</v>
      </c>
      <c r="D20" s="86" t="str">
        <f t="array" ref="D20:N20">_xll.BondInfo(C20,$D$5:$N$5)</f>
        <v>BUND</v>
      </c>
      <c r="E20" s="20">
        <v>0</v>
      </c>
      <c r="F20" s="87">
        <v>41815</v>
      </c>
      <c r="G20" s="19">
        <v>41451</v>
      </c>
      <c r="H20" s="19">
        <v>41815</v>
      </c>
      <c r="I20" s="19">
        <v>41451</v>
      </c>
      <c r="J20" s="20">
        <v>99.875900000000001</v>
      </c>
      <c r="K20" s="20" t="str">
        <v>DE111985=</v>
      </c>
      <c r="L20" s="20" t="str">
        <v>Y</v>
      </c>
      <c r="M20" s="20" t="str">
        <v>EJ7205663</v>
      </c>
      <c r="N20" s="20" t="str">
        <v>BUBILL</v>
      </c>
      <c r="O20" s="21">
        <f>_xll.BondOutstanding(C20)</f>
        <v>3000000000</v>
      </c>
      <c r="P20" s="25">
        <f ca="1">_xll.xlBondYieldSensCustom(D20,E20,F20,G20,H20,I20,J20,B20,Q20,$AM$2,$AN$2,$AO$2,$AP$2,$AQ$2,"y")</f>
        <v>1.2333857286612351E-3</v>
      </c>
      <c r="Q20" s="26">
        <f>_xll.RtGet("IDN",$K20,IF(OR($D20="BTP,$E11=""CTZ"),Q$5,Q$4))</f>
        <v>99.936999999999998</v>
      </c>
      <c r="R20" s="27">
        <f>_xll.RtGet("IDN",$K20,IF(OR($D20="BTP,$E11=""CTZ"),R$5,R$4))</f>
        <v>99.947999999999993</v>
      </c>
      <c r="S20" s="28">
        <f ca="1">_xll.xlBondYieldSensCustom(D20,E20,F20,G20,H20,I20,J20,B20,R20,$AM$2,$AN$2,$AO$2,$AP$2,$AQ$2,"y")</f>
        <v>1.0179206230720439E-3</v>
      </c>
      <c r="T20" s="23">
        <f t="shared" si="0"/>
        <v>99.942499999999995</v>
      </c>
      <c r="U20" s="83">
        <f ca="1">_xll.xlBondYieldSensCustom(D20,E20,F20,G20,H20,I20,J20,B20,T20,$AM$2,$AN$2,$AO$2,$AP$2,$AQ$2,"y")</f>
        <v>1.1256472471671518E-3</v>
      </c>
      <c r="V20" s="23"/>
      <c r="W20" s="23">
        <f t="shared" si="1"/>
        <v>99.942499999999995</v>
      </c>
      <c r="X20" s="22"/>
      <c r="Y20" s="22">
        <f t="shared" ca="1" si="2"/>
        <v>1.1256472471671518E-3</v>
      </c>
      <c r="Z20" s="23">
        <f ca="1">_xll.xlBondPriceCustom(D20,E20,F20,G20,H20,I20,J20,B20,Y20,$AM$2,$AN$2,$AO$2,$AP$2,$AQ$2)</f>
        <v>99.942499999999995</v>
      </c>
      <c r="AA20" s="20">
        <f t="array" aca="1" ref="AA20:AG20" ca="1">_xll.xlBondYieldSens(D20,E20,F20,G20,H20,I20,J20,B20,W20,$AA$5&amp;$AB$5&amp;$AC$5&amp;$AD$5&amp;$AE$5&amp;$AF$5&amp;$AG$5)</f>
        <v>0</v>
      </c>
      <c r="AB20" s="20">
        <f ca="1"/>
        <v>0.51081722222222214</v>
      </c>
      <c r="AC20" s="20">
        <f ca="1"/>
        <v>-0.51052350231944432</v>
      </c>
      <c r="AD20" s="20">
        <f ca="1"/>
        <v>5.2216871604938266E-3</v>
      </c>
      <c r="AE20" s="20">
        <f ca="1"/>
        <v>5.2156839466795755E-3</v>
      </c>
      <c r="AF20" s="20">
        <f ca="1"/>
        <v>0.510523503650262</v>
      </c>
      <c r="AG20" s="24">
        <f ca="1"/>
        <v>1.1256472471671518E-3</v>
      </c>
      <c r="AH20" s="22">
        <f ca="1">_xll.xlBondYieldSensCustom(D20,E20,F20,G20,H20,I20,J20,B20,W20,$AM$2,$AN$2,$AO$2,$AP$2,$AQ$2,"y")</f>
        <v>1.1256472471671518E-3</v>
      </c>
      <c r="AI20" s="22">
        <f ca="1">IF(TRUE,_xll.xlShmInterpRateFwd("EONIA",_xll.xlDateSettle("target",$B$2,2),0,4,$F20),"")</f>
        <v>1.6051727948572059E-3</v>
      </c>
      <c r="AJ20" s="85">
        <f t="shared" ca="1" si="3"/>
        <v>-4.7952554769005408E-4</v>
      </c>
      <c r="AO20" s="84"/>
    </row>
    <row r="21" spans="1:41" ht="15.75" x14ac:dyDescent="0.25">
      <c r="A21" s="2" t="s">
        <v>50</v>
      </c>
      <c r="B21" s="19">
        <f ca="1">MAX(_xll.xlBondValueDate(D21,$B$2),I21)</f>
        <v>41631</v>
      </c>
      <c r="C21" s="20" t="str">
        <v>DE0001135259</v>
      </c>
      <c r="D21" s="86" t="str">
        <f t="array" ref="D21:N21">_xll.BondInfo(C21,$D$5:$N$5)</f>
        <v>BUND</v>
      </c>
      <c r="E21" s="20">
        <v>4.25</v>
      </c>
      <c r="F21" s="87">
        <v>41824</v>
      </c>
      <c r="G21" s="19">
        <v>38135</v>
      </c>
      <c r="H21" s="19">
        <v>38537</v>
      </c>
      <c r="I21" s="19">
        <v>38135</v>
      </c>
      <c r="J21" s="20">
        <v>99.23</v>
      </c>
      <c r="K21" s="20" t="str">
        <v>DE113525=</v>
      </c>
      <c r="L21" s="20" t="str">
        <v>N</v>
      </c>
      <c r="M21" s="20" t="str">
        <v>ED4639396</v>
      </c>
      <c r="N21" s="20" t="str">
        <v>DBR</v>
      </c>
      <c r="O21" s="21">
        <f>_xll.BondOutstanding(C21)</f>
        <v>25000000000</v>
      </c>
      <c r="P21" s="25">
        <f ca="1">_xll.xlBondYieldSensCustom(D21,E21,F21,G21,H21,I21,J21,B21,Q21,$AM$2,$AN$2,$AO$2,$AP$2,$AQ$2,"y")</f>
        <v>1.5626053114831256E-3</v>
      </c>
      <c r="Q21" s="26">
        <f>_xll.RtGet("IDN",$K21,IF(OR($D21="BTP,$E11=""CTZ"),Q$5,Q$4))</f>
        <v>102.16</v>
      </c>
      <c r="R21" s="27">
        <f>_xll.RtGet("IDN",$K21,IF(OR($D21="BTP,$E11=""CTZ"),R$5,R$4))</f>
        <v>102.17</v>
      </c>
      <c r="S21" s="28">
        <f ca="1">_xll.xlBondYieldSensCustom(D21,E21,F21,G21,H21,I21,J21,B21,R21,$AM$2,$AN$2,$AO$2,$AP$2,$AQ$2,"y")</f>
        <v>1.3833984870635155E-3</v>
      </c>
      <c r="T21" s="23">
        <f t="shared" si="0"/>
        <v>102.16499999999999</v>
      </c>
      <c r="U21" s="83">
        <f ca="1">_xll.xlBondYieldSensCustom(D21,E21,F21,G21,H21,I21,J21,B21,T21,$AM$2,$AN$2,$AO$2,$AP$2,$AQ$2,"y")</f>
        <v>1.4729976003851689E-3</v>
      </c>
      <c r="V21" s="23"/>
      <c r="W21" s="23">
        <f t="shared" si="1"/>
        <v>102.16499999999999</v>
      </c>
      <c r="X21" s="22"/>
      <c r="Y21" s="22">
        <f t="shared" ca="1" si="2"/>
        <v>1.4729976003851689E-3</v>
      </c>
      <c r="Z21" s="23">
        <f ca="1">_xll.xlBondPriceCustom(D21,E21,F21,G21,H21,I21,J21,B21,Y21,$AM$2,$AN$2,$AO$2,$AP$2,$AQ$2)</f>
        <v>102.16500001197365</v>
      </c>
      <c r="AA21" s="20">
        <f t="array" aca="1" ref="AA21:AG21" ca="1">_xll.xlBondYieldSens(D21,E21,F21,G21,H21,I21,J21,B21,W21,$AA$5&amp;$AB$5&amp;$AC$5&amp;$AD$5&amp;$AE$5&amp;$AF$5&amp;$AG$5)</f>
        <v>2.0027397260273974</v>
      </c>
      <c r="AB21" s="20">
        <f ca="1"/>
        <v>0.52834981227145839</v>
      </c>
      <c r="AC21" s="20">
        <f ca="1"/>
        <v>-0.52793283060341523</v>
      </c>
      <c r="AD21" s="20">
        <f ca="1"/>
        <v>5.5874802064872046E-3</v>
      </c>
      <c r="AE21" s="20">
        <f ca="1"/>
        <v>5.5786642388250818E-3</v>
      </c>
      <c r="AF21" s="20">
        <f ca="1"/>
        <v>0.55037014033985088</v>
      </c>
      <c r="AG21" s="24">
        <f ca="1"/>
        <v>1.4934558968891579E-3</v>
      </c>
      <c r="AH21" s="22">
        <f ca="1">_xll.xlBondYieldSensCustom(D21,E21,F21,G21,H21,I21,J21,B21,W21,$AM$2,$AN$2,$AO$2,$AP$2,$AQ$2,"y")</f>
        <v>1.4729976003851689E-3</v>
      </c>
      <c r="AI21" s="22">
        <f ca="1">IF(TRUE,_xll.xlShmInterpRateFwd("EONIA",_xll.xlDateSettle("target",$B$2,2),0,4,$F21),"")</f>
        <v>1.5964717500789166E-3</v>
      </c>
      <c r="AJ21" s="85">
        <f t="shared" ca="1" si="3"/>
        <v>-1.2347414969374778E-4</v>
      </c>
      <c r="AO21" s="84"/>
    </row>
    <row r="22" spans="1:41" ht="15.75" x14ac:dyDescent="0.25">
      <c r="A22" s="2" t="s">
        <v>48</v>
      </c>
      <c r="B22" s="19">
        <f ca="1">MAX(_xll.xlBondValueDate(D22,$B$2),I22)</f>
        <v>41631</v>
      </c>
      <c r="C22" s="20" t="str">
        <v>DE0001119873</v>
      </c>
      <c r="D22" s="86" t="str">
        <f t="array" ref="D22:N22">_xll.BondInfo(C22,$D$5:$N$5)</f>
        <v>BUND</v>
      </c>
      <c r="E22" s="20">
        <v>0</v>
      </c>
      <c r="F22" s="87">
        <v>41843</v>
      </c>
      <c r="G22" s="19">
        <v>41479</v>
      </c>
      <c r="H22" s="19">
        <v>41843</v>
      </c>
      <c r="I22" s="19">
        <v>41479</v>
      </c>
      <c r="J22" s="20">
        <v>99.948099999999997</v>
      </c>
      <c r="K22" s="20" t="str">
        <v>DE111987=</v>
      </c>
      <c r="L22" s="20" t="str">
        <v>N</v>
      </c>
      <c r="M22" s="20" t="str">
        <v>EJ7543873</v>
      </c>
      <c r="N22" s="20" t="str">
        <v>BUBILL</v>
      </c>
      <c r="O22" s="21">
        <f>_xll.BondOutstanding(C22)</f>
        <v>3000000000</v>
      </c>
      <c r="P22" s="25">
        <f ca="1">_xll.xlBondYieldSensCustom(D22,E22,F22,G22,H22,I22,J22,B22,Q22,$AM$2,$AN$2,$AO$2,$AP$2,$AQ$2,"y")</f>
        <v>1.3595782286206042E-3</v>
      </c>
      <c r="Q22" s="26">
        <f>_xll.RtGet("IDN",$K22,IF(OR($D22="BTP,$E11=""CTZ"),Q$5,Q$4))</f>
        <v>99.92</v>
      </c>
      <c r="R22" s="27">
        <f>_xll.RtGet("IDN",$K22,IF(OR($D22="BTP,$E11=""CTZ"),R$5,R$4))</f>
        <v>99.932000000000002</v>
      </c>
      <c r="S22" s="28">
        <f ca="1">_xll.xlBondYieldSensCustom(D22,E22,F22,G22,H22,I22,J22,B22,R22,$AM$2,$AN$2,$AO$2,$AP$2,$AQ$2,"y")</f>
        <v>1.1555027229836823E-3</v>
      </c>
      <c r="T22" s="23">
        <f t="shared" si="0"/>
        <v>99.926000000000002</v>
      </c>
      <c r="U22" s="83">
        <f ca="1">_xll.xlBondYieldSensCustom(D22,E22,F22,G22,H22,I22,J22,B22,T22,$AM$2,$AN$2,$AO$2,$AP$2,$AQ$2,"y")</f>
        <v>1.2575343490030752E-3</v>
      </c>
      <c r="V22" s="23"/>
      <c r="W22" s="23">
        <f t="shared" si="1"/>
        <v>99.926000000000002</v>
      </c>
      <c r="X22" s="22"/>
      <c r="Y22" s="22">
        <f t="shared" ca="1" si="2"/>
        <v>1.2575343490030752E-3</v>
      </c>
      <c r="Z22" s="23">
        <f ca="1">_xll.xlBondPriceCustom(D22,E22,F22,G22,H22,I22,J22,B22,Y22,$AM$2,$AN$2,$AO$2,$AP$2,$AQ$2)</f>
        <v>99.926000000000002</v>
      </c>
      <c r="AA22" s="20">
        <f t="array" aca="1" ref="AA22:AG22" ca="1">_xll.xlBondYieldSens(D22,E22,F22,G22,H22,I22,J22,B22,W22,$AA$5&amp;$AB$5&amp;$AC$5&amp;$AD$5&amp;$AE$5&amp;$AF$5&amp;$AG$5)</f>
        <v>0</v>
      </c>
      <c r="AB22" s="20">
        <f ca="1"/>
        <v>0.5884531111111112</v>
      </c>
      <c r="AC22" s="20">
        <f ca="1"/>
        <v>-0.58801765580888898</v>
      </c>
      <c r="AD22" s="20">
        <f ca="1"/>
        <v>6.9306699753086433E-3</v>
      </c>
      <c r="AE22" s="20">
        <f ca="1"/>
        <v>6.9204163789800665E-3</v>
      </c>
      <c r="AF22" s="20">
        <f ca="1"/>
        <v>0.58801765784437521</v>
      </c>
      <c r="AG22" s="24">
        <f ca="1"/>
        <v>1.2575343490030752E-3</v>
      </c>
      <c r="AH22" s="22">
        <f ca="1">_xll.xlBondYieldSensCustom(D22,E22,F22,G22,H22,I22,J22,B22,W22,$AM$2,$AN$2,$AO$2,$AP$2,$AQ$2,"y")</f>
        <v>1.2575343490030752E-3</v>
      </c>
      <c r="AI22" s="22">
        <f ca="1">IF(TRUE,_xll.xlShmInterpRateFwd("EONIA",_xll.xlDateSettle("target",$B$2,2),0,4,$F22),"")</f>
        <v>1.5786705523932172E-3</v>
      </c>
      <c r="AJ22" s="85">
        <f t="shared" ca="1" si="3"/>
        <v>-3.2113620339014205E-4</v>
      </c>
      <c r="AO22" s="84"/>
    </row>
    <row r="23" spans="1:41" ht="15.75" x14ac:dyDescent="0.25">
      <c r="A23" s="2" t="s">
        <v>58</v>
      </c>
      <c r="B23" s="19">
        <f ca="1">MAX(_xll.xlBondValueDate(D23,$B$2),I23)</f>
        <v>41631</v>
      </c>
      <c r="C23" s="20" t="str">
        <v>DE0001119899</v>
      </c>
      <c r="D23" s="86" t="str">
        <f t="array" ref="D23:N23">_xll.BondInfo(C23,$D$5:$N$5)</f>
        <v>BUND</v>
      </c>
      <c r="E23" s="20">
        <v>0</v>
      </c>
      <c r="F23" s="87">
        <v>41878</v>
      </c>
      <c r="G23" s="19">
        <v>41514</v>
      </c>
      <c r="H23" s="19">
        <v>41878</v>
      </c>
      <c r="I23" s="19">
        <v>41514</v>
      </c>
      <c r="J23" s="20">
        <v>99.902000000000001</v>
      </c>
      <c r="K23" s="20" t="str">
        <v>DE111989=</v>
      </c>
      <c r="L23" s="20" t="str">
        <v>N</v>
      </c>
      <c r="M23" s="20" t="str">
        <v>EJ7969730</v>
      </c>
      <c r="N23" s="20" t="str">
        <v>BUBILL</v>
      </c>
      <c r="O23" s="21">
        <f>_xll.BondOutstanding(C23)</f>
        <v>3000000000</v>
      </c>
      <c r="P23" s="25">
        <f ca="1">_xll.xlBondYieldSensCustom(D23,E23,F23,G23,H23,I23,J23,B23,Q23,$AM$2,$AN$2,$AO$2,$AP$2,$AQ$2,"y")</f>
        <v>1.4005347967916057E-3</v>
      </c>
      <c r="Q23" s="26">
        <f>_xll.RtGet("IDN",$K23,IF(OR($D23="BTP,$E11=""CTZ"),Q$5,Q$4))</f>
        <v>99.903999999999996</v>
      </c>
      <c r="R23" s="27">
        <f>_xll.RtGet("IDN",$K23,IF(OR($D23="BTP,$E11=""CTZ"),R$5,R$4))</f>
        <v>99.918000000000006</v>
      </c>
      <c r="S23" s="28">
        <f ca="1">_xll.xlBondYieldSensCustom(D23,E23,F23,G23,H23,I23,J23,B23,R23,$AM$2,$AN$2,$AO$2,$AP$2,$AQ$2,"y")</f>
        <v>1.1961225208720328E-3</v>
      </c>
      <c r="T23" s="23">
        <f t="shared" si="0"/>
        <v>99.911000000000001</v>
      </c>
      <c r="U23" s="83">
        <f ca="1">_xll.xlBondYieldSensCustom(D23,E23,F23,G23,H23,I23,J23,B23,T23,$AM$2,$AN$2,$AO$2,$AP$2,$AQ$2,"y")</f>
        <v>1.2983214980361237E-3</v>
      </c>
      <c r="V23" s="23"/>
      <c r="W23" s="23">
        <f t="shared" si="1"/>
        <v>99.911000000000001</v>
      </c>
      <c r="X23" s="22"/>
      <c r="Y23" s="22">
        <f t="shared" ca="1" si="2"/>
        <v>1.2983214980361237E-3</v>
      </c>
      <c r="Z23" s="23">
        <f ca="1">_xll.xlBondPriceCustom(D23,E23,F23,G23,H23,I23,J23,B23,Y23,$AM$2,$AN$2,$AO$2,$AP$2,$AQ$2)</f>
        <v>99.911000000000001</v>
      </c>
      <c r="AA23" s="20">
        <f t="array" aca="1" ref="AA23:AG23" ca="1">_xll.xlBondYieldSens(D23,E23,F23,G23,H23,I23,J23,B23,W23,$AA$5&amp;$AB$5&amp;$AC$5&amp;$AD$5&amp;$AE$5&amp;$AF$5&amp;$AG$5)</f>
        <v>0</v>
      </c>
      <c r="AB23" s="20">
        <f ca="1"/>
        <v>0.68550047222222221</v>
      </c>
      <c r="AC23" s="20">
        <f ca="1"/>
        <v>-0.68489037680194442</v>
      </c>
      <c r="AD23" s="20">
        <f ca="1"/>
        <v>9.4065898132716062E-3</v>
      </c>
      <c r="AE23" s="20">
        <f ca="1"/>
        <v>9.3898535343637721E-3</v>
      </c>
      <c r="AF23" s="20">
        <f ca="1"/>
        <v>0.68489038001970926</v>
      </c>
      <c r="AG23" s="24">
        <f ca="1"/>
        <v>1.2983214980361237E-3</v>
      </c>
      <c r="AH23" s="22">
        <f ca="1">_xll.xlBondYieldSensCustom(D23,E23,F23,G23,H23,I23,J23,B23,W23,$AM$2,$AN$2,$AO$2,$AP$2,$AQ$2,"y")</f>
        <v>1.2983214980361237E-3</v>
      </c>
      <c r="AI23" s="22">
        <f ca="1">IF(TRUE,_xll.xlShmInterpRateFwd("EONIA",_xll.xlDateSettle("target",$B$2,2),0,4,$F23),"")</f>
        <v>1.5557664107427329E-3</v>
      </c>
      <c r="AJ23" s="85">
        <f t="shared" ca="1" si="3"/>
        <v>-2.5744491270660919E-4</v>
      </c>
      <c r="AO23" s="84"/>
    </row>
    <row r="24" spans="1:41" ht="15.75" x14ac:dyDescent="0.25">
      <c r="A24" s="2" t="s">
        <v>51</v>
      </c>
      <c r="B24" s="19">
        <f ca="1">MAX(_xll.xlBondValueDate(D24,$B$2),I24)</f>
        <v>41631</v>
      </c>
      <c r="C24" s="20" t="str">
        <v>DE0001137396</v>
      </c>
      <c r="D24" s="86" t="str">
        <f t="array" ref="D24:N24">_xll.BondInfo(C24,$D$5:$N$5)</f>
        <v>BUND</v>
      </c>
      <c r="E24" s="20">
        <v>0</v>
      </c>
      <c r="F24" s="87">
        <v>41894</v>
      </c>
      <c r="G24" s="19">
        <v>41145</v>
      </c>
      <c r="H24" s="19">
        <v>41529</v>
      </c>
      <c r="I24" s="19">
        <v>41145</v>
      </c>
      <c r="J24" s="20">
        <v>99.994</v>
      </c>
      <c r="K24" s="20" t="str">
        <v>DE113739=</v>
      </c>
      <c r="L24" s="20" t="str">
        <v>N</v>
      </c>
      <c r="M24" s="20" t="str">
        <v>EJ3241548</v>
      </c>
      <c r="N24" s="20" t="str">
        <v>BKO</v>
      </c>
      <c r="O24" s="21">
        <f>_xll.BondOutstanding(C24)</f>
        <v>15000000000</v>
      </c>
      <c r="P24" s="25">
        <f ca="1">_xll.xlBondYieldSensCustom(D24,E24,F24,G24,H24,I24,J24,B24,Q24,$AM$2,$AN$2,$AO$2,$AP$2,$AQ$2,"y")</f>
        <v>1.6582802834015458E-3</v>
      </c>
      <c r="Q24" s="26">
        <f>_xll.RtGet("IDN",$K24,IF(OR($D24="BTP,$E11=""CTZ"),Q$5,Q$4))</f>
        <v>99.879000000000005</v>
      </c>
      <c r="R24" s="27">
        <f>_xll.RtGet("IDN",$K24,IF(OR($D24="BTP,$E11=""CTZ"),R$5,R$4))</f>
        <v>99.918999999999997</v>
      </c>
      <c r="S24" s="28">
        <f ca="1">_xll.xlBondYieldSensCustom(D24,E24,F24,G24,H24,I24,J24,B24,R24,$AM$2,$AN$2,$AO$2,$AP$2,$AQ$2,"y")</f>
        <v>1.1096440588216341E-3</v>
      </c>
      <c r="T24" s="23">
        <f t="shared" si="0"/>
        <v>99.899000000000001</v>
      </c>
      <c r="U24" s="83">
        <f ca="1">_xll.xlBondYieldSensCustom(D24,E24,F24,G24,H24,I24,J24,B24,T24,$AM$2,$AN$2,$AO$2,$AP$2,$AQ$2,"y")</f>
        <v>1.3839072520278235E-3</v>
      </c>
      <c r="V24" s="23"/>
      <c r="W24" s="23">
        <f t="shared" si="1"/>
        <v>99.899000000000001</v>
      </c>
      <c r="X24" s="22"/>
      <c r="Y24" s="22">
        <f t="shared" ca="1" si="2"/>
        <v>1.3839072520278235E-3</v>
      </c>
      <c r="Z24" s="23">
        <f ca="1">_xll.xlBondPriceCustom(D24,E24,F24,G24,H24,I24,J24,B24,Y24,$AM$2,$AN$2,$AO$2,$AP$2,$AQ$2)</f>
        <v>99.899000000000015</v>
      </c>
      <c r="AA24" s="20">
        <f t="array" aca="1" ref="AA24:AG24" ca="1">_xll.xlBondYieldSens(D24,E24,F24,G24,H24,I24,J24,B24,W24,$AA$5&amp;$AB$5&amp;$AC$5&amp;$AD$5&amp;$AE$5&amp;$AF$5&amp;$AG$5)</f>
        <v>0</v>
      </c>
      <c r="AB24" s="20">
        <f ca="1"/>
        <v>0.72981769444444444</v>
      </c>
      <c r="AC24" s="20">
        <f ca="1"/>
        <v>-0.72908057857305564</v>
      </c>
      <c r="AD24" s="20">
        <f ca="1"/>
        <v>1.0663447424382714E-2</v>
      </c>
      <c r="AE24" s="20">
        <f ca="1"/>
        <v>1.064191813836818E-2</v>
      </c>
      <c r="AF24" s="20">
        <f ca="1"/>
        <v>0.72908058245602092</v>
      </c>
      <c r="AG24" s="24">
        <f ca="1"/>
        <v>1.3839072520278235E-3</v>
      </c>
      <c r="AH24" s="22">
        <f ca="1">_xll.xlBondYieldSensCustom(D24,E24,F24,G24,H24,I24,J24,B24,W24,$AM$2,$AN$2,$AO$2,$AP$2,$AQ$2,"y")</f>
        <v>1.3839072520278235E-3</v>
      </c>
      <c r="AI24" s="22">
        <f ca="1">IF(TRUE,_xll.xlShmInterpRateFwd("EONIA",_xll.xlDateSettle("target",$B$2,2),0,4,$F24),"")</f>
        <v>1.5460711327365364E-3</v>
      </c>
      <c r="AJ24" s="85">
        <f t="shared" ca="1" si="3"/>
        <v>-1.6216388070871288E-4</v>
      </c>
      <c r="AO24" s="84"/>
    </row>
    <row r="25" spans="1:41" ht="15.75" x14ac:dyDescent="0.25">
      <c r="A25" s="2" t="s">
        <v>49</v>
      </c>
      <c r="B25" s="19">
        <f ca="1">MAX(_xll.xlBondValueDate(D25,$B$2),I25)</f>
        <v>41631</v>
      </c>
      <c r="C25" s="20" t="str">
        <v>DE0001119915</v>
      </c>
      <c r="D25" s="86" t="str">
        <f t="array" ref="D25:N25">_xll.BondInfo(C25,$D$5:$N$5)</f>
        <v>BUND</v>
      </c>
      <c r="E25" s="20">
        <v>0</v>
      </c>
      <c r="F25" s="87">
        <v>41906</v>
      </c>
      <c r="G25" s="19">
        <v>41542</v>
      </c>
      <c r="H25" s="19">
        <v>41906</v>
      </c>
      <c r="I25" s="19">
        <v>41542</v>
      </c>
      <c r="J25" s="20">
        <v>99.904899999999998</v>
      </c>
      <c r="K25" s="20" t="str">
        <v>DE111991=</v>
      </c>
      <c r="L25" s="20" t="str">
        <v>N</v>
      </c>
      <c r="M25" s="20" t="str">
        <v>EJ8352852</v>
      </c>
      <c r="N25" s="20" t="str">
        <v>BUBILL</v>
      </c>
      <c r="O25" s="21">
        <f>_xll.BondOutstanding(C25)</f>
        <v>3000000000</v>
      </c>
      <c r="P25" s="25">
        <f ca="1">_xll.xlBondYieldSensCustom(D25,E25,F25,G25,H25,I25,J25,B25,Q25,$AM$2,$AN$2,$AO$2,$AP$2,$AQ$2,"y")</f>
        <v>1.4415857443188236E-3</v>
      </c>
      <c r="Q25" s="26">
        <f>_xll.RtGet("IDN",$K25,IF(OR($D25="BTP,$E11=""CTZ"),Q$5,Q$4))</f>
        <v>99.89</v>
      </c>
      <c r="R25" s="27">
        <f>_xll.RtGet("IDN",$K25,IF(OR($D25="BTP,$E11=""CTZ"),R$5,R$4))</f>
        <v>99.906000000000006</v>
      </c>
      <c r="S25" s="28">
        <f ca="1">_xll.xlBondYieldSensCustom(D25,E25,F25,G25,H25,I25,J25,B25,R25,$AM$2,$AN$2,$AO$2,$AP$2,$AQ$2,"y")</f>
        <v>1.2317032556056389E-3</v>
      </c>
      <c r="T25" s="23">
        <f t="shared" si="0"/>
        <v>99.897999999999996</v>
      </c>
      <c r="U25" s="83">
        <f ca="1">_xll.xlBondYieldSensCustom(D25,E25,F25,G25,H25,I25,J25,B25,T25,$AM$2,$AN$2,$AO$2,$AP$2,$AQ$2,"y")</f>
        <v>1.3366360960907417E-3</v>
      </c>
      <c r="V25" s="23"/>
      <c r="W25" s="23">
        <f t="shared" si="1"/>
        <v>99.897999999999996</v>
      </c>
      <c r="X25" s="22"/>
      <c r="Y25" s="22">
        <f t="shared" ca="1" si="2"/>
        <v>1.3366360960907417E-3</v>
      </c>
      <c r="Z25" s="23">
        <f ca="1">_xll.xlBondPriceCustom(D25,E25,F25,G25,H25,I25,J25,B25,Y25,$AM$2,$AN$2,$AO$2,$AP$2,$AQ$2)</f>
        <v>99.897999999999996</v>
      </c>
      <c r="AA25" s="20">
        <f t="array" aca="1" ref="AA25:AG25" ca="1">_xll.xlBondYieldSens(D25,E25,F25,G25,H25,I25,J25,B25,W25,$AA$5&amp;$AB$5&amp;$AC$5&amp;$AD$5&amp;$AE$5&amp;$AF$5&amp;$AG$5)</f>
        <v>0</v>
      </c>
      <c r="AB25" s="20">
        <f ca="1"/>
        <v>0.76310972222222229</v>
      </c>
      <c r="AC25" s="20">
        <f ca="1"/>
        <v>-0.76233135030555566</v>
      </c>
      <c r="AD25" s="20">
        <f ca="1"/>
        <v>1.1658620756172839E-2</v>
      </c>
      <c r="AE25" s="20">
        <f ca="1"/>
        <v>1.1634849299459279E-2</v>
      </c>
      <c r="AF25" s="20">
        <f ca="1"/>
        <v>0.76233135474410574</v>
      </c>
      <c r="AG25" s="24">
        <f ca="1"/>
        <v>1.3366360960907417E-3</v>
      </c>
      <c r="AH25" s="22">
        <f ca="1">_xll.xlBondYieldSensCustom(D25,E25,F25,G25,H25,I25,J25,B25,W25,$AM$2,$AN$2,$AO$2,$AP$2,$AQ$2,"y")</f>
        <v>1.3366360960907417E-3</v>
      </c>
      <c r="AI25" s="22">
        <f ca="1">IF(TRUE,_xll.xlShmInterpRateFwd("EONIA",_xll.xlDateSettle("target",$B$2,2),0,4,$F25),"")</f>
        <v>1.5392878202896815E-3</v>
      </c>
      <c r="AJ25" s="85">
        <f t="shared" ca="1" si="3"/>
        <v>-2.0265172419893984E-4</v>
      </c>
      <c r="AO25" s="84"/>
    </row>
    <row r="26" spans="1:41" ht="15.75" x14ac:dyDescent="0.25">
      <c r="A26" s="2" t="s">
        <v>47</v>
      </c>
      <c r="B26" s="19">
        <f ca="1">MAX(_xll.xlBondValueDate(D26,$B$2),I26)</f>
        <v>41631</v>
      </c>
      <c r="C26" s="20" t="str">
        <v>DE0001141554</v>
      </c>
      <c r="D26" s="86" t="str">
        <f t="array" ref="D26:N26">_xll.BondInfo(C26,$D$5:$N$5)</f>
        <v>BUND</v>
      </c>
      <c r="E26" s="20">
        <v>2.5</v>
      </c>
      <c r="F26" s="87">
        <v>41922</v>
      </c>
      <c r="G26" s="19">
        <v>40081</v>
      </c>
      <c r="H26" s="19">
        <v>40461</v>
      </c>
      <c r="I26" s="19">
        <v>40081</v>
      </c>
      <c r="J26" s="20">
        <v>99.81</v>
      </c>
      <c r="K26" s="20" t="str">
        <v>DE114155=</v>
      </c>
      <c r="L26" s="20" t="str">
        <v>N</v>
      </c>
      <c r="M26" s="20" t="str">
        <v>EH9756840</v>
      </c>
      <c r="N26" s="20" t="str">
        <v>OBL</v>
      </c>
      <c r="O26" s="21">
        <f>_xll.BondOutstanding(C26)</f>
        <v>17000000000</v>
      </c>
      <c r="P26" s="25">
        <f ca="1">_xll.xlBondYieldSensCustom(D26,E26,F26,G26,H26,I26,J26,B26,Q26,$AM$2,$AN$2,$AO$2,$AP$2,$AQ$2,"y")</f>
        <v>1.5486374347289771E-3</v>
      </c>
      <c r="Q26" s="26">
        <f>_xll.RtGet("IDN",$K26,IF(OR($D26="BTP,$E11=""CTZ"),Q$5,Q$4))</f>
        <v>101.86499999999999</v>
      </c>
      <c r="R26" s="27">
        <f>_xll.RtGet("IDN",$K26,IF(OR($D26="BTP,$E11=""CTZ"),R$5,R$4))</f>
        <v>101.91200000000001</v>
      </c>
      <c r="S26" s="28">
        <f ca="1">_xll.xlBondYieldSensCustom(D26,E26,F26,G26,H26,I26,J26,B26,R26,$AM$2,$AN$2,$AO$2,$AP$2,$AQ$2,"y")</f>
        <v>9.8021589767927422E-4</v>
      </c>
      <c r="T26" s="23">
        <f t="shared" si="0"/>
        <v>101.88849999999999</v>
      </c>
      <c r="U26" s="83">
        <f ca="1">_xll.xlBondYieldSensCustom(D26,E26,F26,G26,H26,I26,J26,B26,T26,$AM$2,$AN$2,$AO$2,$AP$2,$AQ$2,"y")</f>
        <v>1.2643614620358283E-3</v>
      </c>
      <c r="V26" s="23"/>
      <c r="W26" s="23">
        <f t="shared" si="1"/>
        <v>101.88849999999999</v>
      </c>
      <c r="X26" s="22"/>
      <c r="Y26" s="22">
        <f t="shared" ca="1" si="2"/>
        <v>1.2643614620358283E-3</v>
      </c>
      <c r="Z26" s="23">
        <f ca="1">_xll.xlBondPriceCustom(D26,E26,F26,G26,H26,I26,J26,B26,Y26,$AM$2,$AN$2,$AO$2,$AP$2,$AQ$2)</f>
        <v>101.88850002527343</v>
      </c>
      <c r="AA26" s="20">
        <f t="array" aca="1" ref="AA26:AG26" ca="1">_xll.xlBondYieldSens(D26,E26,F26,G26,H26,I26,J26,B26,W26,$AA$5&amp;$AB$5&amp;$AC$5&amp;$AD$5&amp;$AE$5&amp;$AF$5&amp;$AG$5)</f>
        <v>0.50684931506849318</v>
      </c>
      <c r="AB26" s="20">
        <f ca="1"/>
        <v>0.79644609533270905</v>
      </c>
      <c r="AC26" s="20">
        <f ca="1"/>
        <v>-0.79563274814883966</v>
      </c>
      <c r="AD26" s="20">
        <f ca="1"/>
        <v>1.2699496643387306E-2</v>
      </c>
      <c r="AE26" s="20">
        <f ca="1"/>
        <v>1.2673571911639521E-2</v>
      </c>
      <c r="AF26" s="20">
        <f ca="1"/>
        <v>0.81552396156254758</v>
      </c>
      <c r="AG26" s="24">
        <f ca="1"/>
        <v>1.2819220415792136E-3</v>
      </c>
      <c r="AH26" s="22">
        <f ca="1">_xll.xlBondYieldSensCustom(D26,E26,F26,G26,H26,I26,J26,B26,W26,$AM$2,$AN$2,$AO$2,$AP$2,$AQ$2,"y")</f>
        <v>1.2643614620358283E-3</v>
      </c>
      <c r="AI26" s="22">
        <f ca="1">IF(TRUE,_xll.xlShmInterpRateFwd("EONIA",_xll.xlDateSettle("target",$B$2,2),0,4,$F26),"")</f>
        <v>1.533578336269786E-3</v>
      </c>
      <c r="AJ26" s="85">
        <f t="shared" ca="1" si="3"/>
        <v>-2.6921687423395765E-4</v>
      </c>
      <c r="AO26" s="84"/>
    </row>
    <row r="27" spans="1:41" ht="15.75" x14ac:dyDescent="0.25">
      <c r="A27" s="2" t="s">
        <v>234</v>
      </c>
      <c r="B27" s="19">
        <f ca="1">MAX(_xll.xlBondValueDate(D27,$B$2),I27)</f>
        <v>41631</v>
      </c>
      <c r="C27" s="20" t="str">
        <v>DE0001119931</v>
      </c>
      <c r="D27" s="86" t="str">
        <f t="array" ref="D27:N27">_xll.BondInfo(C27,$D$5:$N$5)</f>
        <v>BUND</v>
      </c>
      <c r="E27" s="20">
        <v>0</v>
      </c>
      <c r="F27" s="87">
        <v>41941</v>
      </c>
      <c r="G27" s="19">
        <v>41577</v>
      </c>
      <c r="H27" s="19">
        <v>41941</v>
      </c>
      <c r="I27" s="19">
        <v>41577</v>
      </c>
      <c r="J27" s="20">
        <v>99.89</v>
      </c>
      <c r="K27" s="20" t="str">
        <v>DE111993=</v>
      </c>
      <c r="L27" s="20" t="str">
        <v>N</v>
      </c>
      <c r="M27" s="20" t="str">
        <v>EJ8923363</v>
      </c>
      <c r="N27" s="20" t="str">
        <v>BUBILL</v>
      </c>
      <c r="O27" s="21">
        <f>_xll.BondOutstanding(C27)</f>
        <v>3000000000</v>
      </c>
      <c r="P27" s="25">
        <f ca="1">_xll.xlBondYieldSensCustom(D27,E27,F27,G27,H27,I27,J27,B27,Q27,$AM$2,$AN$2,$AO$2,$AP$2,$AQ$2,"y")</f>
        <v>1.4650717969158886E-3</v>
      </c>
      <c r="Q27" s="26">
        <f>_xll.RtGet("IDN",$K27,IF(OR($D27="BTP,$E11=""CTZ"),Q$5,Q$4))</f>
        <v>99.873999999999995</v>
      </c>
      <c r="R27" s="27">
        <f>_xll.RtGet("IDN",$K27,IF(OR($D27="BTP,$E11=""CTZ"),R$5,R$4))</f>
        <v>99.891000000000005</v>
      </c>
      <c r="S27" s="28">
        <f ca="1">_xll.xlBondYieldSensCustom(D27,E27,F27,G27,H27,I27,J27,B27,R27,$AM$2,$AN$2,$AO$2,$AP$2,$AQ$2,"y")</f>
        <v>1.2671876861907541E-3</v>
      </c>
      <c r="T27" s="23">
        <f t="shared" si="0"/>
        <v>99.882499999999993</v>
      </c>
      <c r="U27" s="83">
        <f ca="1">_xll.xlBondYieldSensCustom(D27,E27,F27,G27,H27,I27,J27,B27,T27,$AM$2,$AN$2,$AO$2,$AP$2,$AQ$2,"y")</f>
        <v>1.3661213215852438E-3</v>
      </c>
      <c r="V27" s="23"/>
      <c r="W27" s="23">
        <f t="shared" si="1"/>
        <v>99.882499999999993</v>
      </c>
      <c r="X27" s="22"/>
      <c r="Y27" s="22">
        <f t="shared" ca="1" si="2"/>
        <v>1.3661213215852438E-3</v>
      </c>
      <c r="Z27" s="23">
        <f ca="1">_xll.xlBondPriceCustom(D27,E27,F27,G27,H27,I27,J27,B27,Y27,$AM$2,$AN$2,$AO$2,$AP$2,$AQ$2)</f>
        <v>99.882499999999979</v>
      </c>
      <c r="AA27" s="20">
        <f t="array" aca="1" ref="AA27:AG27" ca="1">_xll.xlBondYieldSens(D27,E27,F27,G27,H27,I27,J27,B27,W27,$AA$5&amp;$AB$5&amp;$AC$5&amp;$AD$5&amp;$AE$5&amp;$AF$5&amp;$AG$5)</f>
        <v>0</v>
      </c>
      <c r="AB27" s="20">
        <f ca="1"/>
        <v>0.86009930555555547</v>
      </c>
      <c r="AC27" s="20">
        <f ca="1"/>
        <v>-0.85908868887152756</v>
      </c>
      <c r="AD27" s="20">
        <f ca="1"/>
        <v>1.4812821373456788E-2</v>
      </c>
      <c r="AE27" s="20">
        <f ca="1"/>
        <v>1.4778031694180672E-2</v>
      </c>
      <c r="AF27" s="20">
        <f ca="1"/>
        <v>0.85908869522555165</v>
      </c>
      <c r="AG27" s="24">
        <f ca="1"/>
        <v>1.3661213215852438E-3</v>
      </c>
      <c r="AH27" s="22">
        <f ca="1">_xll.xlBondYieldSensCustom(D27,E27,F27,G27,H27,I27,J27,B27,W27,$AM$2,$AN$2,$AO$2,$AP$2,$AQ$2,"y")</f>
        <v>1.3661213215852438E-3</v>
      </c>
      <c r="AI27" s="22">
        <f ca="1">IF(TRUE,_xll.xlShmInterpRateFwd("EONIA",_xll.xlDateSettle("target",$B$2,2),0,4,$F27),"")</f>
        <v>1.5271028286355224E-3</v>
      </c>
      <c r="AJ27" s="85">
        <f t="shared" ca="1" si="3"/>
        <v>-1.6098150705027865E-4</v>
      </c>
      <c r="AO27" s="84"/>
    </row>
    <row r="28" spans="1:41" ht="15.75" x14ac:dyDescent="0.25">
      <c r="A28" s="2"/>
      <c r="B28" s="19">
        <f ca="1">MAX(_xll.xlBondValueDate(D28,$B$2),I28)</f>
        <v>41631</v>
      </c>
      <c r="C28" s="20" t="str">
        <v>DE0001119956</v>
      </c>
      <c r="D28" s="86" t="str">
        <f t="array" ref="D28:N28">_xll.BondInfo(C28,$D$5:$N$5)</f>
        <v>BUND</v>
      </c>
      <c r="E28" s="20">
        <v>0</v>
      </c>
      <c r="F28" s="87">
        <v>41969</v>
      </c>
      <c r="G28" s="19">
        <v>41605</v>
      </c>
      <c r="H28" s="19">
        <v>41969</v>
      </c>
      <c r="I28" s="19">
        <v>41605</v>
      </c>
      <c r="J28" s="20">
        <v>99.907499999999999</v>
      </c>
      <c r="K28" s="20" t="str">
        <v>DE111995=</v>
      </c>
      <c r="L28" s="20" t="str">
        <v>Y</v>
      </c>
      <c r="M28" s="20" t="str">
        <v>EJ9410410</v>
      </c>
      <c r="N28" s="20" t="str">
        <v>BUBILL</v>
      </c>
      <c r="O28" s="21">
        <f>_xll.BondOutstanding(C28)</f>
        <v>3000000000</v>
      </c>
      <c r="P28" s="25">
        <f ca="1">_xll.xlBondYieldSensCustom(D28,E28,F28,G28,H28,I28,J28,B28,Q28,$AM$2,$AN$2,$AO$2,$AP$2,$AQ$2,"y")</f>
        <v>1.5679854119283914E-3</v>
      </c>
      <c r="Q28" s="26">
        <f>_xll.RtGet("IDN",$K28,IF(OR($D28="BTP,$E11=""CTZ"),Q$5,Q$4))</f>
        <v>99.852999999999994</v>
      </c>
      <c r="R28" s="27">
        <f>_xll.RtGet("IDN",$K28,IF(OR($D28="BTP,$E11=""CTZ"),R$5,R$4))</f>
        <v>99.872</v>
      </c>
      <c r="S28" s="28">
        <f ca="1">_xll.xlBondYieldSensCustom(D28,E28,F28,G28,H28,I28,J28,B28,R28,$AM$2,$AN$2,$AO$2,$AP$2,$AQ$2,"y")</f>
        <v>1.3650608874032286E-3</v>
      </c>
      <c r="T28" s="23">
        <f t="shared" si="0"/>
        <v>99.862499999999997</v>
      </c>
      <c r="U28" s="83">
        <f ca="1">_xll.xlBondYieldSensCustom(D28,E28,F28,G28,H28,I28,J28,B28,T28,$AM$2,$AN$2,$AO$2,$AP$2,$AQ$2,"y")</f>
        <v>1.4665134974791861E-3</v>
      </c>
      <c r="V28" s="23"/>
      <c r="W28" s="23">
        <f t="shared" si="1"/>
        <v>99.862499999999997</v>
      </c>
      <c r="X28" s="22"/>
      <c r="Y28" s="22">
        <f t="shared" ca="1" si="2"/>
        <v>1.4665134974791861E-3</v>
      </c>
      <c r="Z28" s="23">
        <f ca="1">_xll.xlBondPriceCustom(D28,E28,F28,G28,H28,I28,J28,B28,Y28,$AM$2,$AN$2,$AO$2,$AP$2,$AQ$2)</f>
        <v>99.862499999999997</v>
      </c>
      <c r="AA28" s="20">
        <f t="array" aca="1" ref="AA28:AG28" ca="1">_xll.xlBondYieldSens(D28,E28,F28,G28,H28,I28,J28,B28,W28,$AA$5&amp;$AB$5&amp;$AC$5&amp;$AD$5&amp;$AE$5&amp;$AF$5&amp;$AG$5)</f>
        <v>0</v>
      </c>
      <c r="AB28" s="20">
        <f ca="1"/>
        <v>0.9375979166666667</v>
      </c>
      <c r="AC28" s="20">
        <f ca="1"/>
        <v>-0.93630871953125006</v>
      </c>
      <c r="AD28" s="20">
        <f ca="1"/>
        <v>1.7606005324074074E-2</v>
      </c>
      <c r="AE28" s="20">
        <f ca="1"/>
        <v>1.7557622095786686E-2</v>
      </c>
      <c r="AF28" s="20">
        <f ca="1"/>
        <v>0.93630872776131469</v>
      </c>
      <c r="AG28" s="24">
        <f ca="1"/>
        <v>1.4665134974791861E-3</v>
      </c>
      <c r="AH28" s="22">
        <f ca="1">_xll.xlBondYieldSensCustom(D28,E28,F28,G28,H28,I28,J28,B28,W28,$AM$2,$AN$2,$AO$2,$AP$2,$AQ$2,"y")</f>
        <v>1.4665134974791861E-3</v>
      </c>
      <c r="AI28" s="22">
        <f ca="1">IF(TRUE,_xll.xlShmInterpRateFwd("EONIA",_xll.xlDateSettle("target",$B$2,2),0,4,$F28),"")</f>
        <v>1.5181286978002649E-3</v>
      </c>
      <c r="AJ28" s="85">
        <f t="shared" ca="1" si="3"/>
        <v>-5.1615200321078816E-5</v>
      </c>
      <c r="AO28" s="84"/>
    </row>
    <row r="29" spans="1:41" ht="15.75" x14ac:dyDescent="0.25">
      <c r="A29" s="2"/>
      <c r="B29" s="19">
        <f ca="1">MAX(_xll.xlBondValueDate(D29,$B$2),I29)</f>
        <v>41631</v>
      </c>
      <c r="C29" s="20" t="str">
        <v>DE0001137404</v>
      </c>
      <c r="D29" s="86" t="str">
        <f t="array" ref="D29:N29">_xll.BondInfo(C29,$D$5:$N$5)</f>
        <v>BUND</v>
      </c>
      <c r="E29" s="20">
        <v>0</v>
      </c>
      <c r="F29" s="87">
        <v>41985</v>
      </c>
      <c r="G29" s="19">
        <v>41229</v>
      </c>
      <c r="H29" s="19">
        <v>41620</v>
      </c>
      <c r="I29" s="19">
        <v>41229</v>
      </c>
      <c r="J29" s="20">
        <v>100.048</v>
      </c>
      <c r="K29" s="20" t="str">
        <v>DE113740=</v>
      </c>
      <c r="L29" s="20" t="str">
        <v>N</v>
      </c>
      <c r="M29" s="20" t="str">
        <v>EJ4338772</v>
      </c>
      <c r="N29" s="20" t="str">
        <v>BKO</v>
      </c>
      <c r="O29" s="21">
        <f>_xll.BondOutstanding(C29)</f>
        <v>14000000000</v>
      </c>
      <c r="P29" s="25">
        <f ca="1">_xll.xlBondYieldSensCustom(D29,E29,F29,G29,H29,I29,J29,B29,Q29,$AM$2,$AN$2,$AO$2,$AP$2,$AQ$2,"y")</f>
        <v>1.6297262059973866E-3</v>
      </c>
      <c r="Q29" s="26">
        <f>_xll.RtGet("IDN",$K29,IF(OR($D29="BTP,$E11=""CTZ"),Q$5,Q$4))</f>
        <v>99.84</v>
      </c>
      <c r="R29" s="27">
        <f>_xll.RtGet("IDN",$K29,IF(OR($D29="BTP,$E11=""CTZ"),R$5,R$4))</f>
        <v>99.86</v>
      </c>
      <c r="S29" s="28">
        <f ca="1">_xll.xlBondYieldSensCustom(D29,E29,F29,G29,H29,I29,J29,B29,R29,$AM$2,$AN$2,$AO$2,$AP$2,$AQ$2,"y")</f>
        <v>1.4257248283118629E-3</v>
      </c>
      <c r="T29" s="23">
        <f t="shared" si="0"/>
        <v>99.85</v>
      </c>
      <c r="U29" s="83">
        <f ca="1">_xll.xlBondYieldSensCustom(D29,E29,F29,G29,H29,I29,J29,B29,T29,$AM$2,$AN$2,$AO$2,$AP$2,$AQ$2,"y")</f>
        <v>1.5277153017662552E-3</v>
      </c>
      <c r="V29" s="23"/>
      <c r="W29" s="23">
        <f t="shared" si="1"/>
        <v>99.85</v>
      </c>
      <c r="X29" s="22"/>
      <c r="Y29" s="22">
        <f t="shared" ca="1" si="2"/>
        <v>1.5277153017662552E-3</v>
      </c>
      <c r="Z29" s="23">
        <f ca="1">_xll.xlBondPriceCustom(D29,E29,F29,G29,H29,I29,J29,B29,Y29,$AM$2,$AN$2,$AO$2,$AP$2,$AQ$2)</f>
        <v>99.85</v>
      </c>
      <c r="AA29" s="20">
        <f t="array" aca="1" ref="AA29:AG29" ca="1">_xll.xlBondYieldSens(D29,E29,F29,G29,H29,I29,J29,B29,W29,$AA$5&amp;$AB$5&amp;$AC$5&amp;$AD$5&amp;$AE$5&amp;$AF$5&amp;$AG$5)</f>
        <v>0</v>
      </c>
      <c r="AB29" s="20">
        <f ca="1"/>
        <v>0.98185833333333328</v>
      </c>
      <c r="AC29" s="20">
        <f ca="1"/>
        <v>-0.98038554583333326</v>
      </c>
      <c r="AD29" s="20">
        <f ca="1"/>
        <v>1.9309880555555554E-2</v>
      </c>
      <c r="AE29" s="20">
        <f ca="1"/>
        <v>1.9251994361120135E-2</v>
      </c>
      <c r="AF29" s="20">
        <f ca="1"/>
        <v>0.98038555528461302</v>
      </c>
      <c r="AG29" s="24">
        <f ca="1"/>
        <v>1.5277153017662552E-3</v>
      </c>
      <c r="AH29" s="22">
        <f ca="1">_xll.xlBondYieldSensCustom(D29,E29,F29,G29,H29,I29,J29,B29,W29,$AM$2,$AN$2,$AO$2,$AP$2,$AQ$2,"y")</f>
        <v>1.5277153017662552E-3</v>
      </c>
      <c r="AI29" s="22">
        <f ca="1">IF(TRUE,_xll.xlShmInterpRateFwd("EONIA",_xll.xlDateSettle("target",$B$2,2),0,4,$F29),"")</f>
        <v>1.5131299935251328E-3</v>
      </c>
      <c r="AJ29" s="85">
        <f t="shared" ca="1" si="3"/>
        <v>1.4585308241122415E-5</v>
      </c>
      <c r="AO29" s="84"/>
    </row>
    <row r="30" spans="1:41" ht="15.75" x14ac:dyDescent="0.25">
      <c r="A30" s="2"/>
      <c r="B30" s="19">
        <f ca="1">MAX(_xll.xlBondValueDate(D30,$B$2),I30)</f>
        <v>41631</v>
      </c>
      <c r="C30" s="20" t="str">
        <v>DE0001135267</v>
      </c>
      <c r="D30" s="86" t="str">
        <f t="array" ref="D30:N30">_xll.BondInfo(C30,$D$5:$N$5)</f>
        <v>BUND</v>
      </c>
      <c r="E30" s="20">
        <v>3.75</v>
      </c>
      <c r="F30" s="87">
        <v>42008</v>
      </c>
      <c r="G30" s="19">
        <v>38317</v>
      </c>
      <c r="H30" s="19">
        <v>38721</v>
      </c>
      <c r="I30" s="19">
        <v>38317</v>
      </c>
      <c r="J30" s="20">
        <v>99.76</v>
      </c>
      <c r="K30" s="20" t="str">
        <v>DE113526=</v>
      </c>
      <c r="L30" s="20" t="str">
        <v>N</v>
      </c>
      <c r="M30" s="20" t="str">
        <v>ED6982216</v>
      </c>
      <c r="N30" s="20" t="str">
        <v>DBR</v>
      </c>
      <c r="O30" s="21">
        <f>_xll.BondOutstanding(C30)</f>
        <v>23000000000</v>
      </c>
      <c r="P30" s="25">
        <f ca="1">_xll.xlBondYieldSensCustom(D30,E30,F30,G30,H30,I30,J30,B30,Q30,$AM$2,$AN$2,$AO$2,$AP$2,$AQ$2,"y")</f>
        <v>1.5912310027442061E-3</v>
      </c>
      <c r="Q30" s="26">
        <f>_xll.RtGet("IDN",$K30,IF(OR($D30="BTP,$E11=""CTZ"),Q$5,Q$4))</f>
        <v>103.7</v>
      </c>
      <c r="R30" s="27">
        <f>_xll.RtGet("IDN",$K30,IF(OR($D30="BTP,$E11=""CTZ"),R$5,R$4))</f>
        <v>103.72</v>
      </c>
      <c r="S30" s="28">
        <f ca="1">_xll.xlBondYieldSensCustom(D30,E30,F30,G30,H30,I30,J30,B30,R30,$AM$2,$AN$2,$AO$2,$AP$2,$AQ$2,"y")</f>
        <v>1.4073084236727249E-3</v>
      </c>
      <c r="T30" s="23">
        <f t="shared" si="0"/>
        <v>103.71000000000001</v>
      </c>
      <c r="U30" s="83">
        <f ca="1">_xll.xlBondYieldSensCustom(D30,E30,F30,G30,H30,I30,J30,B30,T30,$AM$2,$AN$2,$AO$2,$AP$2,$AQ$2,"y")</f>
        <v>1.4992608715922728E-3</v>
      </c>
      <c r="V30" s="23"/>
      <c r="W30" s="23">
        <f t="shared" si="1"/>
        <v>103.71000000000001</v>
      </c>
      <c r="X30" s="22"/>
      <c r="Y30" s="22">
        <f t="shared" ca="1" si="2"/>
        <v>1.4992608715922728E-3</v>
      </c>
      <c r="Z30" s="23">
        <f ca="1">_xll.xlBondPriceCustom(D30,E30,F30,G30,H30,I30,J30,B30,Y30,$AM$2,$AN$2,$AO$2,$AP$2,$AQ$2)</f>
        <v>103.71000001772792</v>
      </c>
      <c r="AA30" s="20">
        <f t="array" aca="1" ref="AA30:AG30" ca="1">_xll.xlBondYieldSens(D30,E30,F30,G30,H30,I30,J30,B30,W30,$AA$5&amp;$AB$5&amp;$AC$5&amp;$AD$5&amp;$AE$5&amp;$AF$5&amp;$AG$5)</f>
        <v>3.6267123287671232</v>
      </c>
      <c r="AB30" s="20">
        <f ca="1"/>
        <v>0.99794167350825402</v>
      </c>
      <c r="AC30" s="20">
        <f ca="1"/>
        <v>-0.99642275987058315</v>
      </c>
      <c r="AD30" s="20">
        <f ca="1"/>
        <v>2.027543839115831E-2</v>
      </c>
      <c r="AE30" s="20">
        <f ca="1"/>
        <v>2.0213765041422679E-2</v>
      </c>
      <c r="AF30" s="20">
        <f ca="1"/>
        <v>1.069527442256657</v>
      </c>
      <c r="AG30" s="24">
        <f ca="1"/>
        <v>1.5243666927866883E-3</v>
      </c>
      <c r="AH30" s="22">
        <f ca="1">_xll.xlBondYieldSensCustom(D30,E30,F30,G30,H30,I30,J30,B30,W30,$AM$2,$AN$2,$AO$2,$AP$2,$AQ$2,"y")</f>
        <v>1.4992608715922728E-3</v>
      </c>
      <c r="AI30" s="22">
        <f ca="1">IF(TRUE,_xll.xlShmInterpRateFwd("EONIA",_xll.xlDateSettle("target",$B$2,2),0,4,$F30),"")</f>
        <v>1.5100833499159718E-3</v>
      </c>
      <c r="AJ30" s="85">
        <f t="shared" ca="1" si="3"/>
        <v>-1.0822478323698967E-5</v>
      </c>
      <c r="AO30" s="84"/>
    </row>
    <row r="31" spans="1:41" ht="15.75" x14ac:dyDescent="0.25">
      <c r="A31" s="2"/>
      <c r="B31" s="19">
        <f ca="1">MAX(_xll.xlBondValueDate(D31,$B$2),I31)</f>
        <v>41631</v>
      </c>
      <c r="C31" s="20" t="str">
        <v>DE0001141562</v>
      </c>
      <c r="D31" s="86" t="str">
        <f t="array" ref="D31:N31">_xll.BondInfo(C31,$D$5:$N$5)</f>
        <v>BUND</v>
      </c>
      <c r="E31" s="20">
        <v>2.5</v>
      </c>
      <c r="F31" s="87">
        <v>42062</v>
      </c>
      <c r="G31" s="19">
        <v>40193</v>
      </c>
      <c r="H31" s="19">
        <v>40601</v>
      </c>
      <c r="I31" s="19">
        <v>40193</v>
      </c>
      <c r="J31" s="20">
        <v>100.23</v>
      </c>
      <c r="K31" s="20" t="str">
        <v>DE114156=</v>
      </c>
      <c r="L31" s="20" t="str">
        <v>N</v>
      </c>
      <c r="M31" s="20" t="str">
        <v>EI0991030</v>
      </c>
      <c r="N31" s="20" t="str">
        <v>OBL</v>
      </c>
      <c r="O31" s="21">
        <f>_xll.BondOutstanding(C31)</f>
        <v>17000000000</v>
      </c>
      <c r="P31" s="25">
        <f ca="1">_xll.xlBondYieldSensCustom(D31,E31,F31,G31,H31,I31,J31,B31,Q31,$AM$2,$AN$2,$AO$2,$AP$2,$AQ$2,"y")</f>
        <v>1.7251372486514309E-3</v>
      </c>
      <c r="Q31" s="26">
        <f>_xll.RtGet("IDN",$K31,IF(OR($D31="BTP,$E11=""CTZ"),Q$5,Q$4))</f>
        <v>102.74</v>
      </c>
      <c r="R31" s="27">
        <f>_xll.RtGet("IDN",$K31,IF(OR($D31="BTP,$E11=""CTZ"),R$5,R$4))</f>
        <v>102.75</v>
      </c>
      <c r="S31" s="28">
        <f ca="1">_xll.xlBondYieldSensCustom(D31,E31,F31,G31,H31,I31,J31,B31,R31,$AM$2,$AN$2,$AO$2,$AP$2,$AQ$2,"y")</f>
        <v>1.6436227799541438E-3</v>
      </c>
      <c r="T31" s="23">
        <f t="shared" si="0"/>
        <v>102.745</v>
      </c>
      <c r="U31" s="83">
        <f ca="1">_xll.xlBondYieldSensCustom(D31,E31,F31,G31,H31,I31,J31,B31,T31,$AM$2,$AN$2,$AO$2,$AP$2,$AQ$2,"y")</f>
        <v>1.6843771736221695E-3</v>
      </c>
      <c r="V31" s="23"/>
      <c r="W31" s="23">
        <f t="shared" si="1"/>
        <v>102.745</v>
      </c>
      <c r="X31" s="22"/>
      <c r="Y31" s="22">
        <f t="shared" ca="1" si="2"/>
        <v>1.6843771736221695E-3</v>
      </c>
      <c r="Z31" s="23">
        <f ca="1">_xll.xlBondPriceCustom(D31,E31,F31,G31,H31,I31,J31,B31,Y31,$AM$2,$AN$2,$AO$2,$AP$2,$AQ$2)</f>
        <v>102.74500019843941</v>
      </c>
      <c r="AA31" s="20">
        <f t="array" aca="1" ref="AA31:AG31" ca="1">_xll.xlBondYieldSens(D31,E31,F31,G31,H31,I31,J31,B31,W31,$AA$5&amp;$AB$5&amp;$AC$5&amp;$AD$5&amp;$AE$5&amp;$AF$5&amp;$AG$5)</f>
        <v>2.047945205479452</v>
      </c>
      <c r="AB31" s="20">
        <f ca="1"/>
        <v>1.1569727084733028</v>
      </c>
      <c r="AC31" s="20">
        <f ca="1"/>
        <v>-1.1550005278072151</v>
      </c>
      <c r="AD31" s="20">
        <f ca="1"/>
        <v>2.5188389811743681E-2</v>
      </c>
      <c r="AE31" s="20">
        <f ca="1"/>
        <v>2.5102590525340428E-2</v>
      </c>
      <c r="AF31" s="20">
        <f ca="1"/>
        <v>1.2103590842016843</v>
      </c>
      <c r="AG31" s="24">
        <f ca="1"/>
        <v>1.7075148989507509E-3</v>
      </c>
      <c r="AH31" s="22">
        <f ca="1">_xll.xlBondYieldSensCustom(D31,E31,F31,G31,H31,I31,J31,B31,W31,$AM$2,$AN$2,$AO$2,$AP$2,$AQ$2,"y")</f>
        <v>1.6843771736221695E-3</v>
      </c>
      <c r="AI31" s="22">
        <f ca="1">IF(TRUE,_xll.xlShmInterpRateFwd("EONIA",_xll.xlDateSettle("target",$B$2,2),0,4,$F31),"")</f>
        <v>1.5103538941212123E-3</v>
      </c>
      <c r="AJ31" s="85">
        <f t="shared" ca="1" si="3"/>
        <v>1.7402327950095725E-4</v>
      </c>
      <c r="AO31" s="84"/>
    </row>
    <row r="32" spans="1:41" ht="15.75" x14ac:dyDescent="0.25">
      <c r="A32" s="2"/>
      <c r="B32" s="19">
        <f ca="1">MAX(_xll.xlBondValueDate(D32,$B$2),I32)</f>
        <v>41631</v>
      </c>
      <c r="C32" s="20" t="str">
        <v>DE0001137412</v>
      </c>
      <c r="D32" s="86" t="str">
        <f t="array" ref="D32:N32">_xll.BondInfo(C32,$D$5:$N$5)</f>
        <v>BUND</v>
      </c>
      <c r="E32" s="20">
        <v>0.25</v>
      </c>
      <c r="F32" s="87">
        <v>42076</v>
      </c>
      <c r="G32" s="19">
        <v>41320</v>
      </c>
      <c r="H32" s="19">
        <v>41711</v>
      </c>
      <c r="I32" s="19">
        <v>41320</v>
      </c>
      <c r="J32" s="20">
        <v>100.075</v>
      </c>
      <c r="K32" s="20" t="str">
        <v/>
      </c>
      <c r="L32" s="20" t="str">
        <v>N</v>
      </c>
      <c r="M32" s="20" t="str">
        <v>EJ5448760</v>
      </c>
      <c r="N32" s="20" t="str">
        <v>BKO</v>
      </c>
      <c r="O32" s="21">
        <f>_xll.BondOutstanding(C32)</f>
        <v>15000000000</v>
      </c>
      <c r="P32" s="25" t="e">
        <f>_xll.xlBondYieldSensCustom(D32,E32,F32,G32,H32,I32,J32,B32,Q32,$AM$2,$AN$2,$AO$2,$AP$2,$AQ$2,"y")</f>
        <v>#NUM!</v>
      </c>
      <c r="Q32" s="26" t="str">
        <f>_xll.RtGet("IDN",$K32,IF(OR($D32="BTP,$E11=""CTZ"),Q$5,Q$4))</f>
        <v>#N/A No instrument defined.</v>
      </c>
      <c r="R32" s="27" t="str">
        <f>_xll.RtGet("IDN",$K32,IF(OR($D32="BTP,$E11=""CTZ"),R$5,R$4))</f>
        <v>#N/A No instrument defined.</v>
      </c>
      <c r="S32" s="28" t="e">
        <f>_xll.xlBondYieldSensCustom(D32,E32,F32,G32,H32,I32,J32,B32,R32,$AM$2,$AN$2,$AO$2,$AP$2,$AQ$2,"y")</f>
        <v>#NUM!</v>
      </c>
      <c r="T32" s="23" t="e">
        <f t="shared" si="0"/>
        <v>#DIV/0!</v>
      </c>
      <c r="U32" s="83" t="e">
        <f>_xll.xlBondYieldSensCustom(D32,E32,F32,G32,H32,I32,J32,B32,T32,$AM$2,$AN$2,$AO$2,$AP$2,$AQ$2,"y")</f>
        <v>#NUM!</v>
      </c>
      <c r="V32" s="23"/>
      <c r="W32" s="23" t="e">
        <f t="shared" si="1"/>
        <v>#DIV/0!</v>
      </c>
      <c r="X32" s="22"/>
      <c r="Y32" s="22" t="e">
        <f t="shared" si="2"/>
        <v>#NUM!</v>
      </c>
      <c r="Z32" s="23" t="e">
        <f>_xll.xlBondPriceCustom(D32,E32,F32,G32,H32,I32,J32,B32,Y32,$AM$2,$AN$2,$AO$2,$AP$2,$AQ$2)</f>
        <v>#NUM!</v>
      </c>
      <c r="AA32" s="20" t="e">
        <f t="array" ref="AA32:AG32">_xll.xlBondYieldSens(D32,E32,F32,G32,H32,I32,J32,B32,W32,$AA$5&amp;$AB$5&amp;$AC$5&amp;$AD$5&amp;$AE$5&amp;$AF$5&amp;$AG$5)</f>
        <v>#NUM!</v>
      </c>
      <c r="AB32" s="20" t="e">
        <v>#NUM!</v>
      </c>
      <c r="AC32" s="20" t="e">
        <v>#NUM!</v>
      </c>
      <c r="AD32" s="20" t="e">
        <v>#NUM!</v>
      </c>
      <c r="AE32" s="20" t="e">
        <v>#NUM!</v>
      </c>
      <c r="AF32" s="20" t="e">
        <v>#NUM!</v>
      </c>
      <c r="AG32" s="24" t="e">
        <v>#NUM!</v>
      </c>
      <c r="AH32" s="22" t="e">
        <f>_xll.xlBondYieldSensCustom(D32,E32,F32,G32,H32,I32,J32,B32,W32,$AM$2,$AN$2,$AO$2,$AP$2,$AQ$2,"y")</f>
        <v>#NUM!</v>
      </c>
      <c r="AI32" s="22">
        <f ca="1">IF(TRUE,_xll.xlShmInterpRateFwd("EONIA",_xll.xlDateSettle("target",$B$2,2),0,4,$F32),"")</f>
        <v>1.5104111515666303E-3</v>
      </c>
      <c r="AJ32" s="85" t="e">
        <f t="shared" ca="1" si="3"/>
        <v>#NUM!</v>
      </c>
      <c r="AO32" s="84"/>
    </row>
    <row r="33" spans="1:41" ht="15.75" x14ac:dyDescent="0.25">
      <c r="A33" s="2"/>
      <c r="B33" s="19">
        <f ca="1">MAX(_xll.xlBondValueDate(D33,$B$2),I33)</f>
        <v>41631</v>
      </c>
      <c r="C33" s="20" t="str">
        <v>DE0001141570</v>
      </c>
      <c r="D33" s="86" t="str">
        <f t="array" ref="D33:N33">_xll.BondInfo(C33,$D$5:$N$5)</f>
        <v>BUND</v>
      </c>
      <c r="E33" s="20">
        <v>2.25</v>
      </c>
      <c r="F33" s="87">
        <v>42104</v>
      </c>
      <c r="G33" s="19">
        <v>40278</v>
      </c>
      <c r="H33" s="19">
        <v>40643</v>
      </c>
      <c r="I33" s="19">
        <v>40284</v>
      </c>
      <c r="J33" s="20">
        <v>100.28</v>
      </c>
      <c r="K33" s="20" t="str">
        <v>DE114157=</v>
      </c>
      <c r="L33" s="20" t="str">
        <v>N</v>
      </c>
      <c r="M33" s="20" t="str">
        <v>EI2130769</v>
      </c>
      <c r="N33" s="20" t="str">
        <v>OBL</v>
      </c>
      <c r="O33" s="21">
        <f>_xll.BondOutstanding(C33)</f>
        <v>19000000000</v>
      </c>
      <c r="P33" s="25">
        <f ca="1">_xll.xlBondYieldSensCustom(D33,E33,F33,G33,H33,I33,J33,B33,Q33,$AM$2,$AN$2,$AO$2,$AP$2,$AQ$2,"y")</f>
        <v>1.6756650797677339E-3</v>
      </c>
      <c r="Q33" s="26">
        <f>_xll.RtGet("IDN",$K33,IF(OR($D33="BTP,$E11=""CTZ"),Q$5,Q$4))</f>
        <v>102.69</v>
      </c>
      <c r="R33" s="27">
        <f>_xll.RtGet("IDN",$K33,IF(OR($D33="BTP,$E11=""CTZ"),R$5,R$4))</f>
        <v>102.71</v>
      </c>
      <c r="S33" s="28">
        <f ca="1">_xll.xlBondYieldSensCustom(D33,E33,F33,G33,H33,I33,J33,B33,R33,$AM$2,$AN$2,$AO$2,$AP$2,$AQ$2,"y")</f>
        <v>1.5269160506298125E-3</v>
      </c>
      <c r="T33" s="23">
        <f t="shared" si="0"/>
        <v>102.69999999999999</v>
      </c>
      <c r="U33" s="83">
        <f ca="1">_xll.xlBondYieldSensCustom(D33,E33,F33,G33,H33,I33,J33,B33,T33,$AM$2,$AN$2,$AO$2,$AP$2,$AQ$2,"y")</f>
        <v>1.6012840645497836E-3</v>
      </c>
      <c r="V33" s="23"/>
      <c r="W33" s="23">
        <f t="shared" si="1"/>
        <v>102.69999999999999</v>
      </c>
      <c r="X33" s="22"/>
      <c r="Y33" s="22">
        <f t="shared" ca="1" si="2"/>
        <v>1.6012840645497836E-3</v>
      </c>
      <c r="Z33" s="23">
        <f ca="1">_xll.xlBondPriceCustom(D33,E33,F33,G33,H33,I33,J33,B33,Y33,$AM$2,$AN$2,$AO$2,$AP$2,$AQ$2)</f>
        <v>102.69999999953714</v>
      </c>
      <c r="AA33" s="20">
        <f t="array" aca="1" ref="AA33:AG33" ca="1">_xll.xlBondYieldSens(D33,E33,F33,G33,H33,I33,J33,B33,W33,$AA$5&amp;$AB$5&amp;$AC$5&amp;$AD$5&amp;$AE$5&amp;$AF$5&amp;$AG$5)</f>
        <v>1.5842465753424657</v>
      </c>
      <c r="AB33" s="20">
        <f ca="1"/>
        <v>1.2743251161250633</v>
      </c>
      <c r="AC33" s="20">
        <f ca="1"/>
        <v>-1.2722600582034282</v>
      </c>
      <c r="AD33" s="20">
        <f ca="1"/>
        <v>2.9193298506047901E-2</v>
      </c>
      <c r="AE33" s="20">
        <f ca="1"/>
        <v>2.9098759044129348E-2</v>
      </c>
      <c r="AF33" s="20">
        <f ca="1"/>
        <v>1.3267668331643279</v>
      </c>
      <c r="AG33" s="24">
        <f ca="1"/>
        <v>1.623141093120832E-3</v>
      </c>
      <c r="AH33" s="22">
        <f ca="1">_xll.xlBondYieldSensCustom(D33,E33,F33,G33,H33,I33,J33,B33,W33,$AM$2,$AN$2,$AO$2,$AP$2,$AQ$2,"y")</f>
        <v>1.6012840645497836E-3</v>
      </c>
      <c r="AI33" s="22">
        <f ca="1">IF(TRUE,_xll.xlShmInterpRateFwd("EONIA",_xll.xlDateSettle("target",$B$2,2),0,4,$F33),"")</f>
        <v>1.5240819257238717E-3</v>
      </c>
      <c r="AJ33" s="85">
        <f t="shared" ca="1" si="3"/>
        <v>7.7202138825911877E-5</v>
      </c>
    </row>
    <row r="34" spans="1:41" ht="15.75" x14ac:dyDescent="0.25">
      <c r="A34" s="2"/>
      <c r="B34" s="19">
        <f ca="1">MAX(_xll.xlBondValueDate(D34,$B$2),I34)</f>
        <v>41631</v>
      </c>
      <c r="C34" s="20" t="str">
        <v>DE0001137420</v>
      </c>
      <c r="D34" s="86" t="str">
        <f t="array" ref="D34:N34">_xll.BondInfo(C34,$D$5:$N$5)</f>
        <v>BUND</v>
      </c>
      <c r="E34" s="20">
        <v>0</v>
      </c>
      <c r="F34" s="87">
        <v>42167</v>
      </c>
      <c r="G34" s="19">
        <v>41411</v>
      </c>
      <c r="H34" s="19">
        <v>41802</v>
      </c>
      <c r="I34" s="19">
        <v>41411</v>
      </c>
      <c r="J34" s="20">
        <v>99.962000000000003</v>
      </c>
      <c r="K34" s="20" t="str">
        <v>DE113742=</v>
      </c>
      <c r="L34" s="20" t="str">
        <v>N</v>
      </c>
      <c r="M34" s="20" t="str">
        <v>EJ6684397</v>
      </c>
      <c r="N34" s="20" t="str">
        <v>BKO</v>
      </c>
      <c r="O34" s="21">
        <f>_xll.BondOutstanding(C34)</f>
        <v>15000000000</v>
      </c>
      <c r="P34" s="25">
        <f ca="1">_xll.xlBondYieldSensCustom(D34,E34,F34,G34,H34,I34,J34,B34,Q34,$AM$2,$AN$2,$AO$2,$AP$2,$AQ$2,"y")</f>
        <v>1.8386014715696575E-3</v>
      </c>
      <c r="Q34" s="26">
        <f>_xll.RtGet("IDN",$K34,IF(OR($D34="BTP,$E11=""CTZ"),Q$5,Q$4))</f>
        <v>99.727000000000004</v>
      </c>
      <c r="R34" s="27">
        <f>_xll.RtGet("IDN",$K34,IF(OR($D34="BTP,$E11=""CTZ"),R$5,R$4))</f>
        <v>99.747</v>
      </c>
      <c r="S34" s="28">
        <f ca="1">_xll.xlBondYieldSensCustom(D34,E34,F34,G34,H34,I34,J34,B34,R34,$AM$2,$AN$2,$AO$2,$AP$2,$AQ$2,"y")</f>
        <v>1.7035637476247149E-3</v>
      </c>
      <c r="T34" s="23">
        <f t="shared" si="0"/>
        <v>99.736999999999995</v>
      </c>
      <c r="U34" s="83">
        <f ca="1">_xll.xlBondYieldSensCustom(D34,E34,F34,G34,H34,I34,J34,B34,T34,$AM$2,$AN$2,$AO$2,$AP$2,$AQ$2,"y")</f>
        <v>1.7710758399138119E-3</v>
      </c>
      <c r="V34" s="23"/>
      <c r="W34" s="23">
        <f t="shared" si="1"/>
        <v>99.736999999999995</v>
      </c>
      <c r="X34" s="22"/>
      <c r="Y34" s="22">
        <f t="shared" ca="1" si="2"/>
        <v>1.7710758399138119E-3</v>
      </c>
      <c r="Z34" s="23">
        <f ca="1">_xll.xlBondPriceCustom(D34,E34,F34,G34,H34,I34,J34,B34,Y34,$AM$2,$AN$2,$AO$2,$AP$2,$AQ$2)</f>
        <v>99.736999999998943</v>
      </c>
      <c r="AA34" s="20">
        <f t="array" aca="1" ref="AA34:AG34" ca="1">_xll.xlBondYieldSens(D34,E34,F34,G34,H34,I34,J34,B34,W34,$AA$5&amp;$AB$5&amp;$AC$5&amp;$AD$5&amp;$AE$5&amp;$AF$5&amp;$AG$5)</f>
        <v>0</v>
      </c>
      <c r="AB34" s="20">
        <f ca="1"/>
        <v>1.4888888888888889</v>
      </c>
      <c r="AC34" s="20">
        <f ca="1"/>
        <v>-1.4862577519537641</v>
      </c>
      <c r="AD34" s="20">
        <f ca="1"/>
        <v>3.7056790123456793E-2</v>
      </c>
      <c r="AE34" s="20">
        <f ca="1"/>
        <v>3.6925933699578729E-2</v>
      </c>
      <c r="AF34" s="20">
        <f ca="1"/>
        <v>1.4823489154430547</v>
      </c>
      <c r="AG34" s="24">
        <f ca="1"/>
        <v>1.7703099825487304E-3</v>
      </c>
      <c r="AH34" s="22">
        <f ca="1">_xll.xlBondYieldSensCustom(D34,E34,F34,G34,H34,I34,J34,B34,W34,$AM$2,$AN$2,$AO$2,$AP$2,$AQ$2,"y")</f>
        <v>1.7710758399138119E-3</v>
      </c>
      <c r="AI34" s="22">
        <f ca="1">IF(TRUE,_xll.xlShmInterpRateFwd("EONIA",_xll.xlDateSettle("target",$B$2,2),0,4,$F34),"")</f>
        <v>1.5647248000822873E-3</v>
      </c>
      <c r="AJ34" s="85">
        <f t="shared" ca="1" si="3"/>
        <v>2.063510398315246E-4</v>
      </c>
    </row>
    <row r="35" spans="1:41" ht="15.75" x14ac:dyDescent="0.25">
      <c r="A35" s="2"/>
      <c r="B35" s="19">
        <f ca="1">MAX(_xll.xlBondValueDate(D35,$B$2),I35)</f>
        <v>41631</v>
      </c>
      <c r="C35" s="20" t="str">
        <v>DE0001135283</v>
      </c>
      <c r="D35" s="86" t="str">
        <f t="array" ref="D35:N35">_xll.BondInfo(C35,$D$5:$N$5)</f>
        <v>BUND</v>
      </c>
      <c r="E35" s="20">
        <v>3.25</v>
      </c>
      <c r="F35" s="87">
        <v>42189</v>
      </c>
      <c r="G35" s="19">
        <v>38492</v>
      </c>
      <c r="H35" s="19">
        <v>38902</v>
      </c>
      <c r="I35" s="19">
        <v>38492</v>
      </c>
      <c r="J35" s="20">
        <v>99.15</v>
      </c>
      <c r="K35" s="20" t="str">
        <v>DE113528=</v>
      </c>
      <c r="L35" s="20" t="str">
        <v>N</v>
      </c>
      <c r="M35" s="20" t="str">
        <v>ED9366516</v>
      </c>
      <c r="N35" s="20" t="str">
        <v>DBR</v>
      </c>
      <c r="O35" s="21">
        <f>_xll.BondOutstanding(C35)</f>
        <v>21000000000</v>
      </c>
      <c r="P35" s="25">
        <f ca="1">_xll.xlBondYieldSensCustom(D35,E35,F35,G35,H35,I35,J35,B35,Q35,$AM$2,$AN$2,$AO$2,$AP$2,$AQ$2,"y")</f>
        <v>1.9057259440620547E-3</v>
      </c>
      <c r="Q35" s="26">
        <f>_xll.RtGet("IDN",$K35,IF(OR($D35="BTP,$E11=""CTZ"),Q$5,Q$4))</f>
        <v>104.66</v>
      </c>
      <c r="R35" s="27">
        <f>_xll.RtGet("IDN",$K35,IF(OR($D35="BTP,$E11=""CTZ"),R$5,R$4))</f>
        <v>104.68</v>
      </c>
      <c r="S35" s="28">
        <f ca="1">_xll.xlBondYieldSensCustom(D35,E35,F35,G35,H35,I35,J35,B35,R35,$AM$2,$AN$2,$AO$2,$AP$2,$AQ$2,"y")</f>
        <v>1.7818352919011099E-3</v>
      </c>
      <c r="T35" s="23">
        <f t="shared" si="0"/>
        <v>104.67</v>
      </c>
      <c r="U35" s="83">
        <f ca="1">_xll.xlBondYieldSensCustom(D35,E35,F35,G35,H35,I35,J35,B35,T35,$AM$2,$AN$2,$AO$2,$AP$2,$AQ$2,"y")</f>
        <v>1.8437747079283265E-3</v>
      </c>
      <c r="V35" s="23"/>
      <c r="W35" s="23">
        <f t="shared" si="1"/>
        <v>104.67</v>
      </c>
      <c r="X35" s="22"/>
      <c r="Y35" s="22">
        <f t="shared" ca="1" si="2"/>
        <v>1.8437747079283265E-3</v>
      </c>
      <c r="Z35" s="23">
        <f ca="1">_xll.xlBondPriceCustom(D35,E35,F35,G35,H35,I35,J35,B35,Y35,$AM$2,$AN$2,$AO$2,$AP$2,$AQ$2)</f>
        <v>104.66999999889653</v>
      </c>
      <c r="AA35" s="20">
        <f t="array" aca="1" ref="AA35:AG35" ca="1">_xll.xlBondYieldSens(D35,E35,F35,G35,H35,I35,J35,B35,W35,$AA$5&amp;$AB$5&amp;$AC$5&amp;$AD$5&amp;$AE$5&amp;$AF$5&amp;$AG$5)</f>
        <v>1.5315068493150685</v>
      </c>
      <c r="AB35" s="20">
        <f ca="1"/>
        <v>1.498195219121812</v>
      </c>
      <c r="AC35" s="20">
        <f ca="1"/>
        <v>-1.4953911986778903</v>
      </c>
      <c r="AD35" s="20">
        <f ca="1"/>
        <v>3.7724213965627994E-2</v>
      </c>
      <c r="AE35" s="20">
        <f ca="1"/>
        <v>3.7583136918421738E-2</v>
      </c>
      <c r="AF35" s="20">
        <f ca="1"/>
        <v>1.5881280226949457</v>
      </c>
      <c r="AG35" s="24">
        <f ca="1"/>
        <v>1.8751002429191824E-3</v>
      </c>
      <c r="AH35" s="22">
        <f ca="1">_xll.xlBondYieldSensCustom(D35,E35,F35,G35,H35,I35,J35,B35,W35,$AM$2,$AN$2,$AO$2,$AP$2,$AQ$2,"y")</f>
        <v>1.8437747079283265E-3</v>
      </c>
      <c r="AI35" s="22">
        <f ca="1">IF(TRUE,_xll.xlShmInterpRateFwd("EONIA",_xll.xlDateSettle("target",$B$2,2),0,4,$F35),"")</f>
        <v>1.5880333412928872E-3</v>
      </c>
      <c r="AJ35" s="85">
        <f t="shared" ca="1" si="3"/>
        <v>2.5574136663543932E-4</v>
      </c>
    </row>
    <row r="36" spans="1:41" ht="15.75" x14ac:dyDescent="0.25">
      <c r="A36" s="2"/>
      <c r="B36" s="19">
        <f ca="1">MAX(_xll.xlBondValueDate(D36,$B$2),I36)</f>
        <v>41631</v>
      </c>
      <c r="C36" s="20" t="str">
        <v>DE0001137438</v>
      </c>
      <c r="D36" s="86" t="str">
        <f t="array" ref="D36:N36">_xll.BondInfo(C36,$D$5:$N$5)</f>
        <v>BUND</v>
      </c>
      <c r="E36" s="20">
        <v>0.25</v>
      </c>
      <c r="F36" s="87">
        <v>42258</v>
      </c>
      <c r="G36" s="19">
        <v>41509</v>
      </c>
      <c r="H36" s="19">
        <v>41893</v>
      </c>
      <c r="I36" s="19">
        <v>41509</v>
      </c>
      <c r="J36" s="20">
        <v>100.04300000000001</v>
      </c>
      <c r="K36" s="20" t="str">
        <v>DE113743=</v>
      </c>
      <c r="L36" s="20" t="str">
        <v>N</v>
      </c>
      <c r="M36" s="20" t="str">
        <v>EJ7908852</v>
      </c>
      <c r="N36" s="20" t="str">
        <v>BKO</v>
      </c>
      <c r="O36" s="21">
        <f>_xll.BondOutstanding(C36)</f>
        <v>15000000000</v>
      </c>
      <c r="P36" s="25">
        <f ca="1">_xll.xlBondYieldSensCustom(D36,E36,F36,G36,H36,I36,J36,B36,Q36,$AM$2,$AN$2,$AO$2,$AP$2,$AQ$2,"y")</f>
        <v>2.063825465352831E-3</v>
      </c>
      <c r="Q36" s="26">
        <f>_xll.RtGet("IDN",$K36,IF(OR($D36="BTP,$E11=""CTZ"),Q$5,Q$4))</f>
        <v>100.07</v>
      </c>
      <c r="R36" s="27">
        <f>_xll.RtGet("IDN",$K36,IF(OR($D36="BTP,$E11=""CTZ"),R$5,R$4))</f>
        <v>100.09</v>
      </c>
      <c r="S36" s="28">
        <f ca="1">_xll.xlBondYieldSensCustom(D36,E36,F36,G36,H36,I36,J36,B36,R36,$AM$2,$AN$2,$AO$2,$AP$2,$AQ$2,"y")</f>
        <v>1.9486042398794081E-3</v>
      </c>
      <c r="T36" s="23">
        <f t="shared" si="0"/>
        <v>100.08</v>
      </c>
      <c r="U36" s="83">
        <f ca="1">_xll.xlBondYieldSensCustom(D36,E36,F36,G36,H36,I36,J36,B36,T36,$AM$2,$AN$2,$AO$2,$AP$2,$AQ$2,"y")</f>
        <v>2.0062090957117871E-3</v>
      </c>
      <c r="V36" s="23"/>
      <c r="W36" s="23">
        <f t="shared" si="1"/>
        <v>100.08</v>
      </c>
      <c r="X36" s="22"/>
      <c r="Y36" s="22">
        <f t="shared" ca="1" si="2"/>
        <v>2.0062090957117871E-3</v>
      </c>
      <c r="Z36" s="23">
        <f ca="1">_xll.xlBondPriceCustom(D36,E36,F36,G36,H36,I36,J36,B36,Y36,$AM$2,$AN$2,$AO$2,$AP$2,$AQ$2)</f>
        <v>100.08000000453906</v>
      </c>
      <c r="AA36" s="20">
        <f t="array" aca="1" ref="AA36:AG36" ca="1">_xll.xlBondYieldSens(D36,E36,F36,G36,H36,I36,J36,B36,W36,$AA$5&amp;$AB$5&amp;$AC$5&amp;$AD$5&amp;$AE$5&amp;$AF$5&amp;$AG$5)</f>
        <v>8.3561643835616442E-2</v>
      </c>
      <c r="AB36" s="20">
        <f ca="1"/>
        <v>1.7151862013274919</v>
      </c>
      <c r="AC36" s="20">
        <f ca="1"/>
        <v>-1.7117068711276053</v>
      </c>
      <c r="AD36" s="20">
        <f ca="1"/>
        <v>4.6596650494247042E-2</v>
      </c>
      <c r="AE36" s="20">
        <f ca="1"/>
        <v>4.6407795553375611E-2</v>
      </c>
      <c r="AF36" s="20">
        <f ca="1"/>
        <v>1.7145067228675259</v>
      </c>
      <c r="AG36" s="24">
        <f ca="1"/>
        <v>2.0325929026341126E-3</v>
      </c>
      <c r="AH36" s="22">
        <f ca="1">_xll.xlBondYieldSensCustom(D36,E36,F36,G36,H36,I36,J36,B36,W36,$AM$2,$AN$2,$AO$2,$AP$2,$AQ$2,"y")</f>
        <v>2.0062090957117871E-3</v>
      </c>
      <c r="AI36" s="22">
        <f ca="1">IF(TRUE,_xll.xlShmInterpRateFwd("EONIA",_xll.xlDateSettle("target",$B$2,2),0,4,$F36),"")</f>
        <v>1.678771811016637E-3</v>
      </c>
      <c r="AJ36" s="85">
        <f t="shared" ca="1" si="3"/>
        <v>3.2743728469515013E-4</v>
      </c>
    </row>
    <row r="37" spans="1:41" ht="15.75" x14ac:dyDescent="0.25">
      <c r="A37" s="2"/>
      <c r="B37" s="19">
        <f ca="1">MAX(_xll.xlBondValueDate(D37,$B$2),I37)</f>
        <v>41631</v>
      </c>
      <c r="C37" s="20" t="str">
        <v>DE0001141588</v>
      </c>
      <c r="D37" s="86" t="str">
        <f t="array" ref="D37:N37">_xll.BondInfo(C37,$D$5:$N$5)</f>
        <v>BUND</v>
      </c>
      <c r="E37" s="20">
        <v>1.75</v>
      </c>
      <c r="F37" s="87">
        <v>42286</v>
      </c>
      <c r="G37" s="19">
        <v>40445</v>
      </c>
      <c r="H37" s="19">
        <v>40825</v>
      </c>
      <c r="I37" s="19">
        <v>40445</v>
      </c>
      <c r="J37" s="20">
        <v>101.1</v>
      </c>
      <c r="K37" s="20" t="str">
        <v>DE114158=</v>
      </c>
      <c r="L37" s="20" t="str">
        <v>N</v>
      </c>
      <c r="M37" s="20" t="str">
        <v>EI4053506</v>
      </c>
      <c r="N37" s="20" t="str">
        <v>OBL</v>
      </c>
      <c r="O37" s="21">
        <f>_xll.BondOutstanding(C37)</f>
        <v>16000000000</v>
      </c>
      <c r="P37" s="25">
        <f ca="1">_xll.xlBondYieldSensCustom(D37,E37,F37,G37,H37,I37,J37,B37,Q37,$AM$2,$AN$2,$AO$2,$AP$2,$AQ$2,"y")</f>
        <v>1.9928807721475775E-3</v>
      </c>
      <c r="Q37" s="26">
        <f>_xll.RtGet("IDN",$K37,IF(OR($D37="BTP,$E11=""CTZ"),Q$5,Q$4))</f>
        <v>102.77</v>
      </c>
      <c r="R37" s="27">
        <f>_xll.RtGet("IDN",$K37,IF(OR($D37="BTP,$E11=""CTZ"),R$5,R$4))</f>
        <v>102.81</v>
      </c>
      <c r="S37" s="28">
        <f ca="1">_xll.xlBondYieldSensCustom(D37,E37,F37,G37,H37,I37,J37,B37,R37,$AM$2,$AN$2,$AO$2,$AP$2,$AQ$2,"y")</f>
        <v>1.7769803797892079E-3</v>
      </c>
      <c r="T37" s="23">
        <f t="shared" si="0"/>
        <v>102.78999999999999</v>
      </c>
      <c r="U37" s="83">
        <f ca="1">_xll.xlBondYieldSensCustom(D37,E37,F37,G37,H37,I37,J37,B37,T37,$AM$2,$AN$2,$AO$2,$AP$2,$AQ$2,"y")</f>
        <v>1.8849095350339379E-3</v>
      </c>
      <c r="V37" s="23"/>
      <c r="W37" s="23">
        <f t="shared" si="1"/>
        <v>102.78999999999999</v>
      </c>
      <c r="X37" s="22"/>
      <c r="Y37" s="22">
        <f t="shared" ca="1" si="2"/>
        <v>1.8849095350339379E-3</v>
      </c>
      <c r="Z37" s="23">
        <f ca="1">_xll.xlBondPriceCustom(D37,E37,F37,G37,H37,I37,J37,B37,Y37,$AM$2,$AN$2,$AO$2,$AP$2,$AQ$2)</f>
        <v>102.78999999735508</v>
      </c>
      <c r="AA37" s="20">
        <f t="array" aca="1" ref="AA37:AG37" ca="1">_xll.xlBondYieldSens(D37,E37,F37,G37,H37,I37,J37,B37,W37,$AA$5&amp;$AB$5&amp;$AC$5&amp;$AD$5&amp;$AE$5&amp;$AF$5&amp;$AG$5)</f>
        <v>0.3595890410958904</v>
      </c>
      <c r="AB37" s="20">
        <f ca="1"/>
        <v>1.7775805934758115</v>
      </c>
      <c r="AC37" s="20">
        <f ca="1"/>
        <v>-1.774192494913486</v>
      </c>
      <c r="AD37" s="20">
        <f ca="1"/>
        <v>4.9540263521895993E-2</v>
      </c>
      <c r="AE37" s="20">
        <f ca="1"/>
        <v>4.9351594342738156E-2</v>
      </c>
      <c r="AF37" s="20">
        <f ca="1"/>
        <v>1.8300723041299705</v>
      </c>
      <c r="AG37" s="24">
        <f ca="1"/>
        <v>1.9096541171932241E-3</v>
      </c>
      <c r="AH37" s="22">
        <f ca="1">_xll.xlBondYieldSensCustom(D37,E37,F37,G37,H37,I37,J37,B37,W37,$AM$2,$AN$2,$AO$2,$AP$2,$AQ$2,"y")</f>
        <v>1.8849095350339379E-3</v>
      </c>
      <c r="AI37" s="22">
        <f ca="1">IF(TRUE,_xll.xlShmInterpRateFwd("EONIA",_xll.xlDateSettle("target",$B$2,2),0,4,$F37),"")</f>
        <v>1.7287129564509957E-3</v>
      </c>
      <c r="AJ37" s="85">
        <f t="shared" ca="1" si="3"/>
        <v>1.5619657858294213E-4</v>
      </c>
    </row>
    <row r="38" spans="1:41" ht="15.75" x14ac:dyDescent="0.25">
      <c r="A38" s="2"/>
      <c r="B38" s="19">
        <f ca="1">MAX(_xll.xlBondValueDate(D38,$B$2),I38)</f>
        <v>41631</v>
      </c>
      <c r="C38" s="20" t="str">
        <v>DE0001137446</v>
      </c>
      <c r="D38" s="86" t="str">
        <f t="array" ref="D38:N38">_xll.BondInfo(C38,$D$5:$N$5)</f>
        <v>BUND</v>
      </c>
      <c r="E38" s="20">
        <v>0</v>
      </c>
      <c r="F38" s="87">
        <v>42349</v>
      </c>
      <c r="G38" s="19">
        <v>41593</v>
      </c>
      <c r="H38" s="19">
        <v>41984</v>
      </c>
      <c r="I38" s="19">
        <v>41593</v>
      </c>
      <c r="J38" s="20">
        <v>99.793000000000006</v>
      </c>
      <c r="K38" s="20" t="str">
        <v>DE113744=</v>
      </c>
      <c r="L38" s="20" t="str">
        <v>Y</v>
      </c>
      <c r="M38" s="20" t="str">
        <v>EJ9204375</v>
      </c>
      <c r="N38" s="20" t="str">
        <v>BKO</v>
      </c>
      <c r="O38" s="21">
        <f>_xll.BondOutstanding(C38)</f>
        <v>10000000000</v>
      </c>
      <c r="P38" s="25">
        <f ca="1">_xll.xlBondYieldSensCustom(D38,E38,F38,G38,H38,I38,J38,B38,Q38,$AM$2,$AN$2,$AO$2,$AP$2,$AQ$2,"y")</f>
        <v>2.2158779968910452E-3</v>
      </c>
      <c r="Q38" s="26">
        <f>_xll.RtGet("IDN",$K38,IF(OR($D38="BTP,$E11=""CTZ"),Q$5,Q$4))</f>
        <v>99.56</v>
      </c>
      <c r="R38" s="27">
        <f>_xll.RtGet("IDN",$K38,IF(OR($D38="BTP,$E11=""CTZ"),R$5,R$4))</f>
        <v>99.58</v>
      </c>
      <c r="S38" s="28">
        <f ca="1">_xll.xlBondYieldSensCustom(D38,E38,F38,G38,H38,I38,J38,B38,R38,$AM$2,$AN$2,$AO$2,$AP$2,$AQ$2,"y")</f>
        <v>2.1147314542806785E-3</v>
      </c>
      <c r="T38" s="23">
        <f t="shared" ref="T38:T69" si="4">AVERAGE(Q38:R38)</f>
        <v>99.57</v>
      </c>
      <c r="U38" s="83">
        <f ca="1">_xll.xlBondYieldSensCustom(D38,E38,F38,G38,H38,I38,J38,B38,T38,$AM$2,$AN$2,$AO$2,$AP$2,$AQ$2,"y")</f>
        <v>2.1652996464147489E-3</v>
      </c>
      <c r="V38" s="23"/>
      <c r="W38" s="23">
        <f t="shared" ref="W38:W69" si="5">IF(ISNUMBER(V38),V38,T38)</f>
        <v>99.57</v>
      </c>
      <c r="X38" s="22"/>
      <c r="Y38" s="22">
        <f t="shared" ref="Y38:Y69" ca="1" si="6">IF(ISNUMBER(X38),X38,AH38)</f>
        <v>2.1652996464147489E-3</v>
      </c>
      <c r="Z38" s="23">
        <f ca="1">_xll.xlBondPriceCustom(D38,E38,F38,G38,H38,I38,J38,B38,Y38,$AM$2,$AN$2,$AO$2,$AP$2,$AQ$2)</f>
        <v>99.570000000000704</v>
      </c>
      <c r="AA38" s="20">
        <f t="array" aca="1" ref="AA38:AG38" ca="1">_xll.xlBondYieldSens(D38,E38,F38,G38,H38,I38,J38,B38,W38,$AA$5&amp;$AB$5&amp;$AC$5&amp;$AD$5&amp;$AE$5&amp;$AF$5&amp;$AG$5)</f>
        <v>0</v>
      </c>
      <c r="AB38" s="20">
        <f ca="1"/>
        <v>1.9944444444444445</v>
      </c>
      <c r="AC38" s="20">
        <f ca="1"/>
        <v>-1.9901398248871667</v>
      </c>
      <c r="AD38" s="20">
        <f ca="1"/>
        <v>5.9722530864197536E-2</v>
      </c>
      <c r="AE38" s="20">
        <f ca="1"/>
        <v>5.9465010186140282E-2</v>
      </c>
      <c r="AF38" s="20">
        <f ca="1"/>
        <v>1.9815822629780655</v>
      </c>
      <c r="AG38" s="24">
        <f ca="1"/>
        <v>2.1629734244157216E-3</v>
      </c>
      <c r="AH38" s="22">
        <f ca="1">_xll.xlBondYieldSensCustom(D38,E38,F38,G38,H38,I38,J38,B38,W38,$AM$2,$AN$2,$AO$2,$AP$2,$AQ$2,"y")</f>
        <v>2.1652996464147489E-3</v>
      </c>
      <c r="AI38" s="22">
        <f ca="1">IF(TRUE,_xll.xlShmInterpRateFwd("EONIA",_xll.xlDateSettle("target",$B$2,2),0,4,$F38),"")</f>
        <v>1.852668952361301E-3</v>
      </c>
      <c r="AJ38" s="85">
        <f t="shared" ref="AJ38:AJ69" ca="1" si="7">$Y38-$AI38</f>
        <v>3.126306940534479E-4</v>
      </c>
    </row>
    <row r="39" spans="1:41" ht="15.75" x14ac:dyDescent="0.25">
      <c r="A39" s="2"/>
      <c r="B39" s="19">
        <f ca="1">MAX(_xll.xlBondValueDate(D39,$B$2),I39)</f>
        <v>41631</v>
      </c>
      <c r="C39" s="20" t="str">
        <v>DE0001135291</v>
      </c>
      <c r="D39" s="86" t="str">
        <f t="array" ref="D39:N39">_xll.BondInfo(C39,$D$5:$N$5)</f>
        <v>BUND</v>
      </c>
      <c r="E39" s="20">
        <v>3.5</v>
      </c>
      <c r="F39" s="87">
        <v>42373</v>
      </c>
      <c r="G39" s="19">
        <v>38681</v>
      </c>
      <c r="H39" s="19">
        <v>39086</v>
      </c>
      <c r="I39" s="19">
        <v>38681</v>
      </c>
      <c r="J39" s="20">
        <v>100.12</v>
      </c>
      <c r="K39" s="20" t="str">
        <v>DE113529=</v>
      </c>
      <c r="L39" s="20" t="str">
        <v>N</v>
      </c>
      <c r="M39" s="20" t="str">
        <v>EF1729336</v>
      </c>
      <c r="N39" s="20" t="str">
        <v>DBR</v>
      </c>
      <c r="O39" s="21">
        <f>_xll.BondOutstanding(C39)</f>
        <v>23000000000</v>
      </c>
      <c r="P39" s="25">
        <f ca="1">_xll.xlBondYieldSensCustom(D39,E39,F39,G39,H39,I39,J39,B39,Q39,$AM$2,$AN$2,$AO$2,$AP$2,$AQ$2,"y")</f>
        <v>2.1534695199759493E-3</v>
      </c>
      <c r="Q39" s="26">
        <f>_xll.RtGet("IDN",$K39,IF(OR($D39="BTP,$E11=""CTZ"),Q$5,Q$4))</f>
        <v>106.649</v>
      </c>
      <c r="R39" s="27">
        <f>_xll.RtGet("IDN",$K39,IF(OR($D39="BTP,$E11=""CTZ"),R$5,R$4))</f>
        <v>106.679</v>
      </c>
      <c r="S39" s="28">
        <f ca="1">_xll.xlBondYieldSensCustom(D39,E39,F39,G39,H39,I39,J39,B39,R39,$AM$2,$AN$2,$AO$2,$AP$2,$AQ$2,"y")</f>
        <v>2.0144294019802875E-3</v>
      </c>
      <c r="T39" s="23">
        <f t="shared" si="4"/>
        <v>106.664</v>
      </c>
      <c r="U39" s="83">
        <f ca="1">_xll.xlBondYieldSensCustom(D39,E39,F39,G39,H39,I39,J39,B39,T39,$AM$2,$AN$2,$AO$2,$AP$2,$AQ$2,"y")</f>
        <v>2.083942123550786E-3</v>
      </c>
      <c r="V39" s="23"/>
      <c r="W39" s="23">
        <f t="shared" si="5"/>
        <v>106.664</v>
      </c>
      <c r="X39" s="22"/>
      <c r="Y39" s="22">
        <f t="shared" ca="1" si="6"/>
        <v>2.083942123550786E-3</v>
      </c>
      <c r="Z39" s="23">
        <f ca="1">_xll.xlBondPriceCustom(D39,E39,F39,G39,H39,I39,J39,B39,Y39,$AM$2,$AN$2,$AO$2,$AP$2,$AQ$2)</f>
        <v>106.66399999999949</v>
      </c>
      <c r="AA39" s="20">
        <f t="array" aca="1" ref="AA39:AG39" ca="1">_xll.xlBondYieldSens(D39,E39,F39,G39,H39,I39,J39,B39,W39,$AA$5&amp;$AB$5&amp;$AC$5&amp;$AD$5&amp;$AE$5&amp;$AF$5&amp;$AG$5)</f>
        <v>3.3849315068493153</v>
      </c>
      <c r="AB39" s="20">
        <f ca="1"/>
        <v>1.9375382838297943</v>
      </c>
      <c r="AC39" s="20">
        <f ca="1"/>
        <v>-1.9334523945180173</v>
      </c>
      <c r="AD39" s="20">
        <f ca="1"/>
        <v>5.8414455592465719E-2</v>
      </c>
      <c r="AE39" s="20">
        <f ca="1"/>
        <v>5.8168346039637553E-2</v>
      </c>
      <c r="AF39" s="20">
        <f ca="1"/>
        <v>2.1277438800872517</v>
      </c>
      <c r="AG39" s="24">
        <f ca="1"/>
        <v>2.1132014638738372E-3</v>
      </c>
      <c r="AH39" s="22">
        <f ca="1">_xll.xlBondYieldSensCustom(D39,E39,F39,G39,H39,I39,J39,B39,W39,$AM$2,$AN$2,$AO$2,$AP$2,$AQ$2,"y")</f>
        <v>2.083942123550786E-3</v>
      </c>
      <c r="AI39" s="22">
        <f ca="1">IF(TRUE,_xll.xlShmInterpRateFwd("EONIA",_xll.xlDateSettle("target",$B$2,2),0,4,$F39),"")</f>
        <v>1.9261893727166772E-3</v>
      </c>
      <c r="AJ39" s="85">
        <f t="shared" ca="1" si="7"/>
        <v>1.577527508341088E-4</v>
      </c>
    </row>
    <row r="40" spans="1:41" ht="15.75" x14ac:dyDescent="0.25">
      <c r="A40" s="2"/>
      <c r="B40" s="19" t="e">
        <f>MAX(_xll.xlBondValueDate(D40,$B$2),I40)</f>
        <v>#NUM!</v>
      </c>
      <c r="C40" s="20" t="e">
        <v>#N/A</v>
      </c>
      <c r="D40" s="86" t="e">
        <f t="array" ref="D40:N40">_xll.BondInfo(C40,$D$5:$N$5)</f>
        <v>#VALUE!</v>
      </c>
      <c r="E40" s="20" t="e">
        <v>#VALUE!</v>
      </c>
      <c r="F40" s="87" t="e">
        <v>#VALUE!</v>
      </c>
      <c r="G40" s="19" t="e">
        <v>#VALUE!</v>
      </c>
      <c r="H40" s="19" t="e">
        <v>#VALUE!</v>
      </c>
      <c r="I40" s="19" t="e">
        <v>#VALUE!</v>
      </c>
      <c r="J40" s="20" t="e">
        <v>#VALUE!</v>
      </c>
      <c r="K40" s="20" t="e">
        <v>#VALUE!</v>
      </c>
      <c r="L40" s="20" t="e">
        <v>#VALUE!</v>
      </c>
      <c r="M40" s="20" t="e">
        <v>#VALUE!</v>
      </c>
      <c r="N40" s="20" t="e">
        <v>#VALUE!</v>
      </c>
      <c r="O40" s="21" t="e">
        <f>_xll.BondOutstanding(C40)</f>
        <v>#VALUE!</v>
      </c>
      <c r="P40" s="25" t="e">
        <f>_xll.xlBondYieldSensCustom(D40,E40,F40,G40,H40,I40,J40,B40,Q40,$AM$2,$AN$2,$AO$2,$AP$2,$AQ$2,"y")</f>
        <v>#NUM!</v>
      </c>
      <c r="Q40" s="26" t="e">
        <f>_xll.RtGet("IDN",$K40,IF(OR($D40="BTP,$E11=""CTZ"),Q$5,Q$4))</f>
        <v>#VALUE!</v>
      </c>
      <c r="R40" s="27" t="e">
        <f>_xll.RtGet("IDN",$K40,IF(OR($D40="BTP,$E11=""CTZ"),R$5,R$4))</f>
        <v>#VALUE!</v>
      </c>
      <c r="S40" s="28" t="e">
        <f>_xll.xlBondYieldSensCustom(D40,E40,F40,G40,H40,I40,J40,B40,R40,$AM$2,$AN$2,$AO$2,$AP$2,$AQ$2,"y")</f>
        <v>#NUM!</v>
      </c>
      <c r="T40" s="23" t="e">
        <f t="shared" si="4"/>
        <v>#VALUE!</v>
      </c>
      <c r="U40" s="83" t="e">
        <f>_xll.xlBondYieldSensCustom(D40,E40,F40,G40,H40,I40,J40,B40,T40,$AM$2,$AN$2,$AO$2,$AP$2,$AQ$2,"y")</f>
        <v>#NUM!</v>
      </c>
      <c r="V40" s="23"/>
      <c r="W40" s="23" t="e">
        <f t="shared" si="5"/>
        <v>#VALUE!</v>
      </c>
      <c r="X40" s="22"/>
      <c r="Y40" s="22" t="e">
        <f t="shared" si="6"/>
        <v>#NUM!</v>
      </c>
      <c r="Z40" s="23" t="e">
        <f>_xll.xlBondPriceCustom(D40,E40,F40,G40,H40,I40,J40,B40,Y40,$AM$2,$AN$2,$AO$2,$AP$2,$AQ$2)</f>
        <v>#NUM!</v>
      </c>
      <c r="AA40" s="20" t="e">
        <f t="array" ref="AA40:AG40">_xll.xlBondYieldSens(D40,E40,F40,G40,H40,I40,J40,B40,W40,$AA$5&amp;$AB$5&amp;$AC$5&amp;$AD$5&amp;$AE$5&amp;$AF$5&amp;$AG$5)</f>
        <v>#NUM!</v>
      </c>
      <c r="AB40" s="20" t="e">
        <v>#NUM!</v>
      </c>
      <c r="AC40" s="20" t="e">
        <v>#NUM!</v>
      </c>
      <c r="AD40" s="20" t="e">
        <v>#NUM!</v>
      </c>
      <c r="AE40" s="20" t="e">
        <v>#NUM!</v>
      </c>
      <c r="AF40" s="20" t="e">
        <v>#NUM!</v>
      </c>
      <c r="AG40" s="24" t="e">
        <v>#NUM!</v>
      </c>
      <c r="AH40" s="22" t="e">
        <f>_xll.xlBondYieldSensCustom(D40,E40,F40,G40,H40,I40,J40,B40,W40,$AM$2,$AN$2,$AO$2,$AP$2,$AQ$2,"y")</f>
        <v>#NUM!</v>
      </c>
      <c r="AI40" s="22" t="e">
        <f ca="1">IF(TRUE,_xll.xlShmInterpRateFwd("EONIA",_xll.xlDateSettle("target",$B$2,2),0,4,$F40),"")</f>
        <v>#NUM!</v>
      </c>
      <c r="AJ40" s="85" t="e">
        <f t="shared" ca="1" si="7"/>
        <v>#NUM!</v>
      </c>
    </row>
    <row r="41" spans="1:41" ht="15.75" x14ac:dyDescent="0.25">
      <c r="A41" s="2"/>
      <c r="B41" s="19" t="e">
        <f>MAX(_xll.xlBondValueDate(D41,$B$2),I41)</f>
        <v>#NUM!</v>
      </c>
      <c r="C41" s="20" t="e">
        <v>#N/A</v>
      </c>
      <c r="D41" s="86" t="e">
        <f t="array" ref="D41:N41">_xll.BondInfo(C41,$D$5:$N$5)</f>
        <v>#VALUE!</v>
      </c>
      <c r="E41" s="20" t="e">
        <v>#VALUE!</v>
      </c>
      <c r="F41" s="87" t="e">
        <v>#VALUE!</v>
      </c>
      <c r="G41" s="19" t="e">
        <v>#VALUE!</v>
      </c>
      <c r="H41" s="19" t="e">
        <v>#VALUE!</v>
      </c>
      <c r="I41" s="19" t="e">
        <v>#VALUE!</v>
      </c>
      <c r="J41" s="20" t="e">
        <v>#VALUE!</v>
      </c>
      <c r="K41" s="20" t="e">
        <v>#VALUE!</v>
      </c>
      <c r="L41" s="20" t="e">
        <v>#VALUE!</v>
      </c>
      <c r="M41" s="20" t="e">
        <v>#VALUE!</v>
      </c>
      <c r="N41" s="20" t="e">
        <v>#VALUE!</v>
      </c>
      <c r="O41" s="21" t="e">
        <f>_xll.BondOutstanding(C41)</f>
        <v>#VALUE!</v>
      </c>
      <c r="P41" s="25" t="e">
        <f>_xll.xlBondYieldSensCustom(D41,E41,F41,G41,H41,I41,J41,B41,Q41,$AM$2,$AN$2,$AO$2,$AP$2,$AQ$2,"y")</f>
        <v>#NUM!</v>
      </c>
      <c r="Q41" s="26" t="e">
        <f>_xll.RtGet("IDN",$K41,IF(OR($D41="BTP,$E11=""CTZ"),Q$5,Q$4))</f>
        <v>#VALUE!</v>
      </c>
      <c r="R41" s="27" t="e">
        <f>_xll.RtGet("IDN",$K41,IF(OR($D41="BTP,$E11=""CTZ"),R$5,R$4))</f>
        <v>#VALUE!</v>
      </c>
      <c r="S41" s="28" t="e">
        <f>_xll.xlBondYieldSensCustom(D41,E41,F41,G41,H41,I41,J41,B41,R41,$AM$2,$AN$2,$AO$2,$AP$2,$AQ$2,"y")</f>
        <v>#NUM!</v>
      </c>
      <c r="T41" s="23" t="e">
        <f t="shared" si="4"/>
        <v>#VALUE!</v>
      </c>
      <c r="U41" s="83" t="e">
        <f>_xll.xlBondYieldSensCustom(D41,E41,F41,G41,H41,I41,J41,B41,T41,$AM$2,$AN$2,$AO$2,$AP$2,$AQ$2,"y")</f>
        <v>#NUM!</v>
      </c>
      <c r="V41" s="23"/>
      <c r="W41" s="23" t="e">
        <f t="shared" si="5"/>
        <v>#VALUE!</v>
      </c>
      <c r="X41" s="22"/>
      <c r="Y41" s="22" t="e">
        <f t="shared" si="6"/>
        <v>#NUM!</v>
      </c>
      <c r="Z41" s="23" t="e">
        <f>_xll.xlBondPriceCustom(D41,E41,F41,G41,H41,I41,J41,B41,Y41,$AM$2,$AN$2,$AO$2,$AP$2,$AQ$2)</f>
        <v>#NUM!</v>
      </c>
      <c r="AA41" s="20" t="e">
        <f t="array" ref="AA41:AG41">_xll.xlBondYieldSens(D41,E41,F41,G41,H41,I41,J41,B41,W41,$AA$5&amp;$AB$5&amp;$AC$5&amp;$AD$5&amp;$AE$5&amp;$AF$5&amp;$AG$5)</f>
        <v>#NUM!</v>
      </c>
      <c r="AB41" s="20" t="e">
        <v>#NUM!</v>
      </c>
      <c r="AC41" s="20" t="e">
        <v>#NUM!</v>
      </c>
      <c r="AD41" s="20" t="e">
        <v>#NUM!</v>
      </c>
      <c r="AE41" s="20" t="e">
        <v>#NUM!</v>
      </c>
      <c r="AF41" s="20" t="e">
        <v>#NUM!</v>
      </c>
      <c r="AG41" s="24" t="e">
        <v>#NUM!</v>
      </c>
      <c r="AH41" s="22" t="e">
        <f>_xll.xlBondYieldSensCustom(D41,E41,F41,G41,H41,I41,J41,B41,W41,$AM$2,$AN$2,$AO$2,$AP$2,$AQ$2,"y")</f>
        <v>#NUM!</v>
      </c>
      <c r="AI41" s="22" t="e">
        <f ca="1">IF(TRUE,_xll.xlShmInterpRateFwd("EONIA",_xll.xlDateSettle("target",$B$2,2),0,4,$F41),"")</f>
        <v>#NUM!</v>
      </c>
      <c r="AJ41" s="85" t="e">
        <f t="shared" ca="1" si="7"/>
        <v>#NUM!</v>
      </c>
    </row>
    <row r="42" spans="1:41" ht="15.75" x14ac:dyDescent="0.25">
      <c r="A42" s="2"/>
      <c r="B42" s="19" t="e">
        <f>MAX(_xll.xlBondValueDate(D42,$B$2),I42)</f>
        <v>#NUM!</v>
      </c>
      <c r="C42" s="20" t="e">
        <v>#N/A</v>
      </c>
      <c r="D42" s="86" t="e">
        <f t="array" ref="D42:N42">_xll.BondInfo(C42,$D$5:$N$5)</f>
        <v>#VALUE!</v>
      </c>
      <c r="E42" s="20" t="e">
        <v>#VALUE!</v>
      </c>
      <c r="F42" s="87" t="e">
        <v>#VALUE!</v>
      </c>
      <c r="G42" s="19" t="e">
        <v>#VALUE!</v>
      </c>
      <c r="H42" s="19" t="e">
        <v>#VALUE!</v>
      </c>
      <c r="I42" s="19" t="e">
        <v>#VALUE!</v>
      </c>
      <c r="J42" s="20" t="e">
        <v>#VALUE!</v>
      </c>
      <c r="K42" s="20" t="e">
        <v>#VALUE!</v>
      </c>
      <c r="L42" s="20" t="e">
        <v>#VALUE!</v>
      </c>
      <c r="M42" s="20" t="e">
        <v>#VALUE!</v>
      </c>
      <c r="N42" s="20" t="e">
        <v>#VALUE!</v>
      </c>
      <c r="O42" s="21" t="e">
        <f>_xll.BondOutstanding(C42)</f>
        <v>#VALUE!</v>
      </c>
      <c r="P42" s="25" t="e">
        <f>_xll.xlBondYieldSensCustom(D42,E42,F42,G42,H42,I42,J42,B42,Q42,$AM$2,$AN$2,$AO$2,$AP$2,$AQ$2,"y")</f>
        <v>#NUM!</v>
      </c>
      <c r="Q42" s="26" t="e">
        <f>_xll.RtGet("IDN",$K42,IF(OR($D42="BTP,$E11=""CTZ"),Q$5,Q$4))</f>
        <v>#VALUE!</v>
      </c>
      <c r="R42" s="27" t="e">
        <f>_xll.RtGet("IDN",$K42,IF(OR($D42="BTP,$E11=""CTZ"),R$5,R$4))</f>
        <v>#VALUE!</v>
      </c>
      <c r="S42" s="28" t="e">
        <f>_xll.xlBondYieldSensCustom(D42,E42,F42,G42,H42,I42,J42,B42,R42,$AM$2,$AN$2,$AO$2,$AP$2,$AQ$2,"y")</f>
        <v>#NUM!</v>
      </c>
      <c r="T42" s="23" t="e">
        <f t="shared" si="4"/>
        <v>#VALUE!</v>
      </c>
      <c r="U42" s="83" t="e">
        <f>_xll.xlBondYieldSensCustom(D42,E42,F42,G42,H42,I42,J42,B42,T42,$AM$2,$AN$2,$AO$2,$AP$2,$AQ$2,"y")</f>
        <v>#NUM!</v>
      </c>
      <c r="V42" s="23"/>
      <c r="W42" s="23" t="e">
        <f t="shared" si="5"/>
        <v>#VALUE!</v>
      </c>
      <c r="X42" s="22"/>
      <c r="Y42" s="22" t="e">
        <f t="shared" si="6"/>
        <v>#NUM!</v>
      </c>
      <c r="Z42" s="23" t="e">
        <f>_xll.xlBondPriceCustom(D42,E42,F42,G42,H42,I42,J42,B42,Y42,$AM$2,$AN$2,$AO$2,$AP$2,$AQ$2)</f>
        <v>#NUM!</v>
      </c>
      <c r="AA42" s="20" t="e">
        <f t="array" ref="AA42:AG42">_xll.xlBondYieldSens(D42,E42,F42,G42,H42,I42,J42,B42,W42,$AA$5&amp;$AB$5&amp;$AC$5&amp;$AD$5&amp;$AE$5&amp;$AF$5&amp;$AG$5)</f>
        <v>#NUM!</v>
      </c>
      <c r="AB42" s="20" t="e">
        <v>#NUM!</v>
      </c>
      <c r="AC42" s="20" t="e">
        <v>#NUM!</v>
      </c>
      <c r="AD42" s="20" t="e">
        <v>#NUM!</v>
      </c>
      <c r="AE42" s="20" t="e">
        <v>#NUM!</v>
      </c>
      <c r="AF42" s="20" t="e">
        <v>#NUM!</v>
      </c>
      <c r="AG42" s="24" t="e">
        <v>#NUM!</v>
      </c>
      <c r="AH42" s="22" t="e">
        <f>_xll.xlBondYieldSensCustom(D42,E42,F42,G42,H42,I42,J42,B42,W42,$AM$2,$AN$2,$AO$2,$AP$2,$AQ$2,"y")</f>
        <v>#NUM!</v>
      </c>
      <c r="AI42" s="22" t="e">
        <f ca="1">IF(TRUE,_xll.xlShmInterpRateFwd("EONIA",_xll.xlDateSettle("target",$B$2,2),0,4,$F42),"")</f>
        <v>#NUM!</v>
      </c>
      <c r="AJ42" s="85" t="e">
        <f t="shared" ca="1" si="7"/>
        <v>#NUM!</v>
      </c>
      <c r="AO42" s="84"/>
    </row>
    <row r="43" spans="1:41" ht="15.75" x14ac:dyDescent="0.25">
      <c r="A43" s="2"/>
      <c r="B43" s="19" t="e">
        <f>MAX(_xll.xlBondValueDate(D43,$B$2),I43)</f>
        <v>#NUM!</v>
      </c>
      <c r="C43" s="20" t="e">
        <v>#N/A</v>
      </c>
      <c r="D43" s="86" t="e">
        <f t="array" ref="D43:N43">_xll.BondInfo(C43,$D$5:$N$5)</f>
        <v>#VALUE!</v>
      </c>
      <c r="E43" s="20" t="e">
        <v>#VALUE!</v>
      </c>
      <c r="F43" s="87" t="e">
        <v>#VALUE!</v>
      </c>
      <c r="G43" s="19" t="e">
        <v>#VALUE!</v>
      </c>
      <c r="H43" s="19" t="e">
        <v>#VALUE!</v>
      </c>
      <c r="I43" s="19" t="e">
        <v>#VALUE!</v>
      </c>
      <c r="J43" s="20" t="e">
        <v>#VALUE!</v>
      </c>
      <c r="K43" s="20" t="e">
        <v>#VALUE!</v>
      </c>
      <c r="L43" s="20" t="e">
        <v>#VALUE!</v>
      </c>
      <c r="M43" s="20" t="e">
        <v>#VALUE!</v>
      </c>
      <c r="N43" s="20" t="e">
        <v>#VALUE!</v>
      </c>
      <c r="O43" s="21" t="e">
        <f>_xll.BondOutstanding(C43)</f>
        <v>#VALUE!</v>
      </c>
      <c r="P43" s="25" t="e">
        <f>_xll.xlBondYieldSensCustom(D43,E43,F43,G43,H43,I43,J43,B43,Q43,$AM$2,$AN$2,$AO$2,$AP$2,$AQ$2,"y")</f>
        <v>#NUM!</v>
      </c>
      <c r="Q43" s="26" t="e">
        <f>_xll.RtGet("IDN",$K43,IF(OR($D43="BTP,$E11=""CTZ"),Q$5,Q$4))</f>
        <v>#VALUE!</v>
      </c>
      <c r="R43" s="27" t="e">
        <f>_xll.RtGet("IDN",$K43,IF(OR($D43="BTP,$E11=""CTZ"),R$5,R$4))</f>
        <v>#VALUE!</v>
      </c>
      <c r="S43" s="28" t="e">
        <f>_xll.xlBondYieldSensCustom(D43,E43,F43,G43,H43,I43,J43,B43,R43,$AM$2,$AN$2,$AO$2,$AP$2,$AQ$2,"y")</f>
        <v>#NUM!</v>
      </c>
      <c r="T43" s="23" t="e">
        <f t="shared" si="4"/>
        <v>#VALUE!</v>
      </c>
      <c r="U43" s="83" t="e">
        <f>_xll.xlBondYieldSensCustom(D43,E43,F43,G43,H43,I43,J43,B43,T43,$AM$2,$AN$2,$AO$2,$AP$2,$AQ$2,"y")</f>
        <v>#NUM!</v>
      </c>
      <c r="V43" s="23"/>
      <c r="W43" s="23" t="e">
        <f t="shared" si="5"/>
        <v>#VALUE!</v>
      </c>
      <c r="X43" s="22"/>
      <c r="Y43" s="22" t="e">
        <f t="shared" si="6"/>
        <v>#NUM!</v>
      </c>
      <c r="Z43" s="23" t="e">
        <f>_xll.xlBondPriceCustom(D43,E43,F43,G43,H43,I43,J43,B43,Y43,$AM$2,$AN$2,$AO$2,$AP$2,$AQ$2)</f>
        <v>#NUM!</v>
      </c>
      <c r="AA43" s="20" t="e">
        <f t="array" ref="AA43:AG43">_xll.xlBondYieldSens(D43,E43,F43,G43,H43,I43,J43,B43,W43,$AA$5&amp;$AB$5&amp;$AC$5&amp;$AD$5&amp;$AE$5&amp;$AF$5&amp;$AG$5)</f>
        <v>#NUM!</v>
      </c>
      <c r="AB43" s="20" t="e">
        <v>#NUM!</v>
      </c>
      <c r="AC43" s="20" t="e">
        <v>#NUM!</v>
      </c>
      <c r="AD43" s="20" t="e">
        <v>#NUM!</v>
      </c>
      <c r="AE43" s="20" t="e">
        <v>#NUM!</v>
      </c>
      <c r="AF43" s="20" t="e">
        <v>#NUM!</v>
      </c>
      <c r="AG43" s="24" t="e">
        <v>#NUM!</v>
      </c>
      <c r="AH43" s="22" t="e">
        <f>_xll.xlBondYieldSensCustom(D43,E43,F43,G43,H43,I43,J43,B43,W43,$AM$2,$AN$2,$AO$2,$AP$2,$AQ$2,"y")</f>
        <v>#NUM!</v>
      </c>
      <c r="AI43" s="22" t="e">
        <f ca="1">IF(TRUE,_xll.xlShmInterpRateFwd("EONIA",_xll.xlDateSettle("target",$B$2,2),0,4,$F43),"")</f>
        <v>#NUM!</v>
      </c>
      <c r="AJ43" s="85" t="e">
        <f t="shared" ca="1" si="7"/>
        <v>#NUM!</v>
      </c>
      <c r="AO43" s="84"/>
    </row>
    <row r="44" spans="1:41" ht="15.75" x14ac:dyDescent="0.25">
      <c r="A44" s="2"/>
      <c r="B44" s="19" t="e">
        <f>MAX(_xll.xlBondValueDate(D44,$B$2),I44)</f>
        <v>#NUM!</v>
      </c>
      <c r="C44" s="20" t="e">
        <v>#N/A</v>
      </c>
      <c r="D44" s="86" t="e">
        <f t="array" ref="D44:N44">_xll.BondInfo(C44,$D$5:$N$5)</f>
        <v>#VALUE!</v>
      </c>
      <c r="E44" s="20" t="e">
        <v>#VALUE!</v>
      </c>
      <c r="F44" s="87" t="e">
        <v>#VALUE!</v>
      </c>
      <c r="G44" s="19" t="e">
        <v>#VALUE!</v>
      </c>
      <c r="H44" s="19" t="e">
        <v>#VALUE!</v>
      </c>
      <c r="I44" s="19" t="e">
        <v>#VALUE!</v>
      </c>
      <c r="J44" s="20" t="e">
        <v>#VALUE!</v>
      </c>
      <c r="K44" s="20" t="e">
        <v>#VALUE!</v>
      </c>
      <c r="L44" s="20" t="e">
        <v>#VALUE!</v>
      </c>
      <c r="M44" s="20" t="e">
        <v>#VALUE!</v>
      </c>
      <c r="N44" s="20" t="e">
        <v>#VALUE!</v>
      </c>
      <c r="O44" s="21" t="e">
        <f>_xll.BondOutstanding(C44)</f>
        <v>#VALUE!</v>
      </c>
      <c r="P44" s="25" t="e">
        <f>_xll.xlBondYieldSensCustom(D44,E44,F44,G44,H44,I44,J44,B44,Q44,$AM$2,$AN$2,$AO$2,$AP$2,$AQ$2,"y")</f>
        <v>#NUM!</v>
      </c>
      <c r="Q44" s="26" t="e">
        <f>_xll.RtGet("IDN",$K44,IF(OR($D44="BTP,$E11=""CTZ"),Q$5,Q$4))</f>
        <v>#VALUE!</v>
      </c>
      <c r="R44" s="27" t="e">
        <f>_xll.RtGet("IDN",$K44,IF(OR($D44="BTP,$E11=""CTZ"),R$5,R$4))</f>
        <v>#VALUE!</v>
      </c>
      <c r="S44" s="28" t="e">
        <f>_xll.xlBondYieldSensCustom(D44,E44,F44,G44,H44,I44,J44,B44,R44,$AM$2,$AN$2,$AO$2,$AP$2,$AQ$2,"y")</f>
        <v>#NUM!</v>
      </c>
      <c r="T44" s="23" t="e">
        <f t="shared" si="4"/>
        <v>#VALUE!</v>
      </c>
      <c r="U44" s="83" t="e">
        <f>_xll.xlBondYieldSensCustom(D44,E44,F44,G44,H44,I44,J44,B44,T44,$AM$2,$AN$2,$AO$2,$AP$2,$AQ$2,"y")</f>
        <v>#NUM!</v>
      </c>
      <c r="V44" s="23"/>
      <c r="W44" s="23" t="e">
        <f t="shared" si="5"/>
        <v>#VALUE!</v>
      </c>
      <c r="X44" s="22"/>
      <c r="Y44" s="22" t="e">
        <f t="shared" si="6"/>
        <v>#NUM!</v>
      </c>
      <c r="Z44" s="23" t="e">
        <f>_xll.xlBondPriceCustom(D44,E44,F44,G44,H44,I44,J44,B44,Y44,$AM$2,$AN$2,$AO$2,$AP$2,$AQ$2)</f>
        <v>#NUM!</v>
      </c>
      <c r="AA44" s="20" t="e">
        <f t="array" ref="AA44:AG44">_xll.xlBondYieldSens(D44,E44,F44,G44,H44,I44,J44,B44,W44,$AA$5&amp;$AB$5&amp;$AC$5&amp;$AD$5&amp;$AE$5&amp;$AF$5&amp;$AG$5)</f>
        <v>#NUM!</v>
      </c>
      <c r="AB44" s="20" t="e">
        <v>#NUM!</v>
      </c>
      <c r="AC44" s="20" t="e">
        <v>#NUM!</v>
      </c>
      <c r="AD44" s="20" t="e">
        <v>#NUM!</v>
      </c>
      <c r="AE44" s="20" t="e">
        <v>#NUM!</v>
      </c>
      <c r="AF44" s="20" t="e">
        <v>#NUM!</v>
      </c>
      <c r="AG44" s="24" t="e">
        <v>#NUM!</v>
      </c>
      <c r="AH44" s="22" t="e">
        <f>_xll.xlBondYieldSensCustom(D44,E44,F44,G44,H44,I44,J44,B44,W44,$AM$2,$AN$2,$AO$2,$AP$2,$AQ$2,"y")</f>
        <v>#NUM!</v>
      </c>
      <c r="AI44" s="22" t="e">
        <f ca="1">IF(TRUE,_xll.xlShmInterpRateFwd("EONIA",_xll.xlDateSettle("target",$B$2,2),0,4,$F44),"")</f>
        <v>#NUM!</v>
      </c>
      <c r="AJ44" s="85" t="e">
        <f t="shared" ca="1" si="7"/>
        <v>#NUM!</v>
      </c>
    </row>
    <row r="45" spans="1:41" ht="15.75" x14ac:dyDescent="0.25">
      <c r="A45" s="2"/>
      <c r="B45" s="19" t="e">
        <f>MAX(_xll.xlBondValueDate(D45,$B$2),I45)</f>
        <v>#NUM!</v>
      </c>
      <c r="C45" s="20" t="e">
        <v>#N/A</v>
      </c>
      <c r="D45" s="86" t="e">
        <f t="array" ref="D45:N45">_xll.BondInfo(C45,$D$5:$N$5)</f>
        <v>#VALUE!</v>
      </c>
      <c r="E45" s="20" t="e">
        <v>#VALUE!</v>
      </c>
      <c r="F45" s="87" t="e">
        <v>#VALUE!</v>
      </c>
      <c r="G45" s="19" t="e">
        <v>#VALUE!</v>
      </c>
      <c r="H45" s="19" t="e">
        <v>#VALUE!</v>
      </c>
      <c r="I45" s="19" t="e">
        <v>#VALUE!</v>
      </c>
      <c r="J45" s="20" t="e">
        <v>#VALUE!</v>
      </c>
      <c r="K45" s="20" t="e">
        <v>#VALUE!</v>
      </c>
      <c r="L45" s="20" t="e">
        <v>#VALUE!</v>
      </c>
      <c r="M45" s="20" t="e">
        <v>#VALUE!</v>
      </c>
      <c r="N45" s="20" t="e">
        <v>#VALUE!</v>
      </c>
      <c r="O45" s="21" t="e">
        <f>_xll.BondOutstanding(C45)</f>
        <v>#VALUE!</v>
      </c>
      <c r="P45" s="25" t="e">
        <f>_xll.xlBondYieldSensCustom(D45,E45,F45,G45,H45,I45,J45,B45,Q45,$AM$2,$AN$2,$AO$2,$AP$2,$AQ$2,"y")</f>
        <v>#NUM!</v>
      </c>
      <c r="Q45" s="26" t="e">
        <f>_xll.RtGet("IDN",$K45,IF(OR($D45="BTP,$E11=""CTZ"),Q$5,Q$4))</f>
        <v>#VALUE!</v>
      </c>
      <c r="R45" s="27" t="e">
        <f>_xll.RtGet("IDN",$K45,IF(OR($D45="BTP,$E11=""CTZ"),R$5,R$4))</f>
        <v>#VALUE!</v>
      </c>
      <c r="S45" s="28" t="e">
        <f>_xll.xlBondYieldSensCustom(D45,E45,F45,G45,H45,I45,J45,B45,R45,$AM$2,$AN$2,$AO$2,$AP$2,$AQ$2,"y")</f>
        <v>#NUM!</v>
      </c>
      <c r="T45" s="23" t="e">
        <f t="shared" si="4"/>
        <v>#VALUE!</v>
      </c>
      <c r="U45" s="83" t="e">
        <f>_xll.xlBondYieldSensCustom(D45,E45,F45,G45,H45,I45,J45,B45,T45,$AM$2,$AN$2,$AO$2,$AP$2,$AQ$2,"y")</f>
        <v>#NUM!</v>
      </c>
      <c r="V45" s="23"/>
      <c r="W45" s="23" t="e">
        <f t="shared" si="5"/>
        <v>#VALUE!</v>
      </c>
      <c r="X45" s="22"/>
      <c r="Y45" s="22" t="e">
        <f t="shared" si="6"/>
        <v>#NUM!</v>
      </c>
      <c r="Z45" s="23" t="e">
        <f>_xll.xlBondPriceCustom(D45,E45,F45,G45,H45,I45,J45,B45,Y45,$AM$2,$AN$2,$AO$2,$AP$2,$AQ$2)</f>
        <v>#NUM!</v>
      </c>
      <c r="AA45" s="20" t="e">
        <f t="array" ref="AA45:AG45">_xll.xlBondYieldSens(D45,E45,F45,G45,H45,I45,J45,B45,W45,$AA$5&amp;$AB$5&amp;$AC$5&amp;$AD$5&amp;$AE$5&amp;$AF$5&amp;$AG$5)</f>
        <v>#NUM!</v>
      </c>
      <c r="AB45" s="20" t="e">
        <v>#NUM!</v>
      </c>
      <c r="AC45" s="20" t="e">
        <v>#NUM!</v>
      </c>
      <c r="AD45" s="20" t="e">
        <v>#NUM!</v>
      </c>
      <c r="AE45" s="20" t="e">
        <v>#NUM!</v>
      </c>
      <c r="AF45" s="20" t="e">
        <v>#NUM!</v>
      </c>
      <c r="AG45" s="24" t="e">
        <v>#NUM!</v>
      </c>
      <c r="AH45" s="22" t="e">
        <f>_xll.xlBondYieldSensCustom(D45,E45,F45,G45,H45,I45,J45,B45,W45,$AM$2,$AN$2,$AO$2,$AP$2,$AQ$2,"y")</f>
        <v>#NUM!</v>
      </c>
      <c r="AI45" s="22" t="e">
        <f ca="1">IF(TRUE,_xll.xlShmInterpRateFwd("EONIA",_xll.xlDateSettle("target",$B$2,2),0,4,$F45),"")</f>
        <v>#NUM!</v>
      </c>
      <c r="AJ45" s="85" t="e">
        <f t="shared" ca="1" si="7"/>
        <v>#NUM!</v>
      </c>
    </row>
    <row r="46" spans="1:41" ht="15.75" x14ac:dyDescent="0.25">
      <c r="A46" s="2"/>
      <c r="B46" s="19" t="e">
        <f>MAX(_xll.xlBondValueDate(D46,$B$2),I46)</f>
        <v>#NUM!</v>
      </c>
      <c r="C46" s="20" t="e">
        <v>#N/A</v>
      </c>
      <c r="D46" s="86" t="e">
        <f t="array" ref="D46:N46">_xll.BondInfo(C46,$D$5:$N$5)</f>
        <v>#VALUE!</v>
      </c>
      <c r="E46" s="20" t="e">
        <v>#VALUE!</v>
      </c>
      <c r="F46" s="87" t="e">
        <v>#VALUE!</v>
      </c>
      <c r="G46" s="19" t="e">
        <v>#VALUE!</v>
      </c>
      <c r="H46" s="19" t="e">
        <v>#VALUE!</v>
      </c>
      <c r="I46" s="19" t="e">
        <v>#VALUE!</v>
      </c>
      <c r="J46" s="20" t="e">
        <v>#VALUE!</v>
      </c>
      <c r="K46" s="20" t="e">
        <v>#VALUE!</v>
      </c>
      <c r="L46" s="20" t="e">
        <v>#VALUE!</v>
      </c>
      <c r="M46" s="20" t="e">
        <v>#VALUE!</v>
      </c>
      <c r="N46" s="20" t="e">
        <v>#VALUE!</v>
      </c>
      <c r="O46" s="21" t="e">
        <f>_xll.BondOutstanding(C46)</f>
        <v>#VALUE!</v>
      </c>
      <c r="P46" s="25" t="e">
        <f>_xll.xlBondYieldSensCustom(D46,E46,F46,G46,H46,I46,J46,B46,Q46,$AM$2,$AN$2,$AO$2,$AP$2,$AQ$2,"y")</f>
        <v>#NUM!</v>
      </c>
      <c r="Q46" s="26" t="e">
        <f>_xll.RtGet("IDN",$K46,IF(OR($D46="BTP,$E11=""CTZ"),Q$5,Q$4))</f>
        <v>#VALUE!</v>
      </c>
      <c r="R46" s="27" t="e">
        <f>_xll.RtGet("IDN",$K46,IF(OR($D46="BTP,$E11=""CTZ"),R$5,R$4))</f>
        <v>#VALUE!</v>
      </c>
      <c r="S46" s="28" t="e">
        <f>_xll.xlBondYieldSensCustom(D46,E46,F46,G46,H46,I46,J46,B46,R46,$AM$2,$AN$2,$AO$2,$AP$2,$AQ$2,"y")</f>
        <v>#NUM!</v>
      </c>
      <c r="T46" s="23" t="e">
        <f t="shared" si="4"/>
        <v>#VALUE!</v>
      </c>
      <c r="U46" s="83" t="e">
        <f>_xll.xlBondYieldSensCustom(D46,E46,F46,G46,H46,I46,J46,B46,T46,$AM$2,$AN$2,$AO$2,$AP$2,$AQ$2,"y")</f>
        <v>#NUM!</v>
      </c>
      <c r="V46" s="23"/>
      <c r="W46" s="23" t="e">
        <f t="shared" si="5"/>
        <v>#VALUE!</v>
      </c>
      <c r="X46" s="22"/>
      <c r="Y46" s="22" t="e">
        <f t="shared" si="6"/>
        <v>#NUM!</v>
      </c>
      <c r="Z46" s="23" t="e">
        <f>_xll.xlBondPriceCustom(D46,E46,F46,G46,H46,I46,J46,B46,Y46,$AM$2,$AN$2,$AO$2,$AP$2,$AQ$2)</f>
        <v>#NUM!</v>
      </c>
      <c r="AA46" s="20" t="e">
        <f t="array" ref="AA46:AG46">_xll.xlBondYieldSens(D46,E46,F46,G46,H46,I46,J46,B46,W46,$AA$5&amp;$AB$5&amp;$AC$5&amp;$AD$5&amp;$AE$5&amp;$AF$5&amp;$AG$5)</f>
        <v>#NUM!</v>
      </c>
      <c r="AB46" s="20" t="e">
        <v>#NUM!</v>
      </c>
      <c r="AC46" s="20" t="e">
        <v>#NUM!</v>
      </c>
      <c r="AD46" s="20" t="e">
        <v>#NUM!</v>
      </c>
      <c r="AE46" s="20" t="e">
        <v>#NUM!</v>
      </c>
      <c r="AF46" s="20" t="e">
        <v>#NUM!</v>
      </c>
      <c r="AG46" s="24" t="e">
        <v>#NUM!</v>
      </c>
      <c r="AH46" s="22" t="e">
        <f>_xll.xlBondYieldSensCustom(D46,E46,F46,G46,H46,I46,J46,B46,W46,$AM$2,$AN$2,$AO$2,$AP$2,$AQ$2,"y")</f>
        <v>#NUM!</v>
      </c>
      <c r="AI46" s="22" t="e">
        <f ca="1">IF(TRUE,_xll.xlShmInterpRateFwd("EONIA",_xll.xlDateSettle("target",$B$2,2),0,4,$F46),"")</f>
        <v>#NUM!</v>
      </c>
      <c r="AJ46" s="85" t="e">
        <f t="shared" ca="1" si="7"/>
        <v>#NUM!</v>
      </c>
    </row>
    <row r="47" spans="1:41" ht="15.75" x14ac:dyDescent="0.25">
      <c r="A47" s="2"/>
      <c r="B47" s="19" t="e">
        <f>MAX(_xll.xlBondValueDate(D47,$B$2),I47)</f>
        <v>#NUM!</v>
      </c>
      <c r="C47" s="20" t="e">
        <v>#N/A</v>
      </c>
      <c r="D47" s="86" t="e">
        <f t="array" ref="D47:N47">_xll.BondInfo(C47,$D$5:$N$5)</f>
        <v>#VALUE!</v>
      </c>
      <c r="E47" s="20" t="e">
        <v>#VALUE!</v>
      </c>
      <c r="F47" s="87" t="e">
        <v>#VALUE!</v>
      </c>
      <c r="G47" s="19" t="e">
        <v>#VALUE!</v>
      </c>
      <c r="H47" s="19" t="e">
        <v>#VALUE!</v>
      </c>
      <c r="I47" s="19" t="e">
        <v>#VALUE!</v>
      </c>
      <c r="J47" s="20" t="e">
        <v>#VALUE!</v>
      </c>
      <c r="K47" s="20" t="e">
        <v>#VALUE!</v>
      </c>
      <c r="L47" s="20" t="e">
        <v>#VALUE!</v>
      </c>
      <c r="M47" s="20" t="e">
        <v>#VALUE!</v>
      </c>
      <c r="N47" s="20" t="e">
        <v>#VALUE!</v>
      </c>
      <c r="O47" s="21" t="e">
        <f>_xll.BondOutstanding(C47)</f>
        <v>#VALUE!</v>
      </c>
      <c r="P47" s="25" t="e">
        <f>_xll.xlBondYieldSensCustom(D47,E47,F47,G47,H47,I47,J47,B47,Q47,$AM$2,$AN$2,$AO$2,$AP$2,$AQ$2,"y")</f>
        <v>#NUM!</v>
      </c>
      <c r="Q47" s="26" t="e">
        <f>_xll.RtGet("IDN",$K47,IF(OR($D47="BTP,$E11=""CTZ"),Q$5,Q$4))</f>
        <v>#VALUE!</v>
      </c>
      <c r="R47" s="27" t="e">
        <f>_xll.RtGet("IDN",$K47,IF(OR($D47="BTP,$E11=""CTZ"),R$5,R$4))</f>
        <v>#VALUE!</v>
      </c>
      <c r="S47" s="28" t="e">
        <f>_xll.xlBondYieldSensCustom(D47,E47,F47,G47,H47,I47,J47,B47,R47,$AM$2,$AN$2,$AO$2,$AP$2,$AQ$2,"y")</f>
        <v>#NUM!</v>
      </c>
      <c r="T47" s="23" t="e">
        <f t="shared" si="4"/>
        <v>#VALUE!</v>
      </c>
      <c r="U47" s="83" t="e">
        <f>_xll.xlBondYieldSensCustom(D47,E47,F47,G47,H47,I47,J47,B47,T47,$AM$2,$AN$2,$AO$2,$AP$2,$AQ$2,"y")</f>
        <v>#NUM!</v>
      </c>
      <c r="V47" s="23"/>
      <c r="W47" s="23" t="e">
        <f t="shared" si="5"/>
        <v>#VALUE!</v>
      </c>
      <c r="X47" s="22"/>
      <c r="Y47" s="22" t="e">
        <f t="shared" si="6"/>
        <v>#NUM!</v>
      </c>
      <c r="Z47" s="23" t="e">
        <f>_xll.xlBondPriceCustom(D47,E47,F47,G47,H47,I47,J47,B47,Y47,$AM$2,$AN$2,$AO$2,$AP$2,$AQ$2)</f>
        <v>#NUM!</v>
      </c>
      <c r="AA47" s="20" t="e">
        <f t="array" ref="AA47:AG47">_xll.xlBondYieldSens(D47,E47,F47,G47,H47,I47,J47,B47,W47,$AA$5&amp;$AB$5&amp;$AC$5&amp;$AD$5&amp;$AE$5&amp;$AF$5&amp;$AG$5)</f>
        <v>#NUM!</v>
      </c>
      <c r="AB47" s="20" t="e">
        <v>#NUM!</v>
      </c>
      <c r="AC47" s="20" t="e">
        <v>#NUM!</v>
      </c>
      <c r="AD47" s="20" t="e">
        <v>#NUM!</v>
      </c>
      <c r="AE47" s="20" t="e">
        <v>#NUM!</v>
      </c>
      <c r="AF47" s="20" t="e">
        <v>#NUM!</v>
      </c>
      <c r="AG47" s="24" t="e">
        <v>#NUM!</v>
      </c>
      <c r="AH47" s="22" t="e">
        <f>_xll.xlBondYieldSensCustom(D47,E47,F47,G47,H47,I47,J47,B47,W47,$AM$2,$AN$2,$AO$2,$AP$2,$AQ$2,"y")</f>
        <v>#NUM!</v>
      </c>
      <c r="AI47" s="22" t="e">
        <f ca="1">IF(TRUE,_xll.xlShmInterpRateFwd("EONIA",_xll.xlDateSettle("target",$B$2,2),0,4,$F47),"")</f>
        <v>#NUM!</v>
      </c>
      <c r="AJ47" s="85" t="e">
        <f t="shared" ca="1" si="7"/>
        <v>#NUM!</v>
      </c>
    </row>
    <row r="48" spans="1:41" ht="15.75" x14ac:dyDescent="0.25">
      <c r="A48" s="2"/>
      <c r="B48" s="19" t="e">
        <f>MAX(_xll.xlBondValueDate(D48,$B$2),I48)</f>
        <v>#NUM!</v>
      </c>
      <c r="C48" s="20" t="e">
        <v>#N/A</v>
      </c>
      <c r="D48" s="86" t="e">
        <f t="array" ref="D48:N48">_xll.BondInfo(C48,$D$5:$N$5)</f>
        <v>#VALUE!</v>
      </c>
      <c r="E48" s="20" t="e">
        <v>#VALUE!</v>
      </c>
      <c r="F48" s="87" t="e">
        <v>#VALUE!</v>
      </c>
      <c r="G48" s="19" t="e">
        <v>#VALUE!</v>
      </c>
      <c r="H48" s="19" t="e">
        <v>#VALUE!</v>
      </c>
      <c r="I48" s="19" t="e">
        <v>#VALUE!</v>
      </c>
      <c r="J48" s="20" t="e">
        <v>#VALUE!</v>
      </c>
      <c r="K48" s="20" t="e">
        <v>#VALUE!</v>
      </c>
      <c r="L48" s="20" t="e">
        <v>#VALUE!</v>
      </c>
      <c r="M48" s="20" t="e">
        <v>#VALUE!</v>
      </c>
      <c r="N48" s="20" t="e">
        <v>#VALUE!</v>
      </c>
      <c r="O48" s="21" t="e">
        <f>_xll.BondOutstanding(C48)</f>
        <v>#VALUE!</v>
      </c>
      <c r="P48" s="25" t="e">
        <f>_xll.xlBondYieldSensCustom(D48,E48,F48,G48,H48,I48,J48,B48,Q48,$AM$2,$AN$2,$AO$2,$AP$2,$AQ$2,"y")</f>
        <v>#NUM!</v>
      </c>
      <c r="Q48" s="26" t="e">
        <f>_xll.RtGet("IDN",$K48,IF(OR($D48="BTP,$E11=""CTZ"),Q$5,Q$4))</f>
        <v>#VALUE!</v>
      </c>
      <c r="R48" s="27" t="e">
        <f>_xll.RtGet("IDN",$K48,IF(OR($D48="BTP,$E11=""CTZ"),R$5,R$4))</f>
        <v>#VALUE!</v>
      </c>
      <c r="S48" s="28" t="e">
        <f>_xll.xlBondYieldSensCustom(D48,E48,F48,G48,H48,I48,J48,B48,R48,$AM$2,$AN$2,$AO$2,$AP$2,$AQ$2,"y")</f>
        <v>#NUM!</v>
      </c>
      <c r="T48" s="23" t="e">
        <f t="shared" si="4"/>
        <v>#VALUE!</v>
      </c>
      <c r="U48" s="83" t="e">
        <f>_xll.xlBondYieldSensCustom(D48,E48,F48,G48,H48,I48,J48,B48,T48,$AM$2,$AN$2,$AO$2,$AP$2,$AQ$2,"y")</f>
        <v>#NUM!</v>
      </c>
      <c r="V48" s="23"/>
      <c r="W48" s="23" t="e">
        <f t="shared" si="5"/>
        <v>#VALUE!</v>
      </c>
      <c r="X48" s="22"/>
      <c r="Y48" s="22" t="e">
        <f t="shared" si="6"/>
        <v>#NUM!</v>
      </c>
      <c r="Z48" s="23" t="e">
        <f>_xll.xlBondPriceCustom(D48,E48,F48,G48,H48,I48,J48,B48,Y48,$AM$2,$AN$2,$AO$2,$AP$2,$AQ$2)</f>
        <v>#NUM!</v>
      </c>
      <c r="AA48" s="20" t="e">
        <f t="array" ref="AA48:AG48">_xll.xlBondYieldSens(D48,E48,F48,G48,H48,I48,J48,B48,W48,$AA$5&amp;$AB$5&amp;$AC$5&amp;$AD$5&amp;$AE$5&amp;$AF$5&amp;$AG$5)</f>
        <v>#NUM!</v>
      </c>
      <c r="AB48" s="20" t="e">
        <v>#NUM!</v>
      </c>
      <c r="AC48" s="20" t="e">
        <v>#NUM!</v>
      </c>
      <c r="AD48" s="20" t="e">
        <v>#NUM!</v>
      </c>
      <c r="AE48" s="20" t="e">
        <v>#NUM!</v>
      </c>
      <c r="AF48" s="20" t="e">
        <v>#NUM!</v>
      </c>
      <c r="AG48" s="24" t="e">
        <v>#NUM!</v>
      </c>
      <c r="AH48" s="22" t="e">
        <f>_xll.xlBondYieldSensCustom(D48,E48,F48,G48,H48,I48,J48,B48,W48,$AM$2,$AN$2,$AO$2,$AP$2,$AQ$2,"y")</f>
        <v>#NUM!</v>
      </c>
      <c r="AI48" s="22" t="e">
        <f ca="1">IF(TRUE,_xll.xlShmInterpRateFwd("EONIA",_xll.xlDateSettle("target",$B$2,2),0,4,$F48),"")</f>
        <v>#NUM!</v>
      </c>
      <c r="AJ48" s="85" t="e">
        <f t="shared" ca="1" si="7"/>
        <v>#NUM!</v>
      </c>
    </row>
    <row r="49" spans="1:36" ht="15.75" x14ac:dyDescent="0.25">
      <c r="A49" s="2"/>
      <c r="B49" s="19" t="e">
        <f>MAX(_xll.xlBondValueDate(D49,$B$2),I49)</f>
        <v>#NUM!</v>
      </c>
      <c r="C49" s="20" t="e">
        <v>#N/A</v>
      </c>
      <c r="D49" s="86" t="e">
        <f t="array" ref="D49:N49">_xll.BondInfo(C49,$D$5:$N$5)</f>
        <v>#VALUE!</v>
      </c>
      <c r="E49" s="20" t="e">
        <v>#VALUE!</v>
      </c>
      <c r="F49" s="87" t="e">
        <v>#VALUE!</v>
      </c>
      <c r="G49" s="19" t="e">
        <v>#VALUE!</v>
      </c>
      <c r="H49" s="19" t="e">
        <v>#VALUE!</v>
      </c>
      <c r="I49" s="19" t="e">
        <v>#VALUE!</v>
      </c>
      <c r="J49" s="20" t="e">
        <v>#VALUE!</v>
      </c>
      <c r="K49" s="20" t="e">
        <v>#VALUE!</v>
      </c>
      <c r="L49" s="20" t="e">
        <v>#VALUE!</v>
      </c>
      <c r="M49" s="20" t="e">
        <v>#VALUE!</v>
      </c>
      <c r="N49" s="20" t="e">
        <v>#VALUE!</v>
      </c>
      <c r="O49" s="21" t="e">
        <f>_xll.BondOutstanding(C49)</f>
        <v>#VALUE!</v>
      </c>
      <c r="P49" s="25" t="e">
        <f>_xll.xlBondYieldSensCustom(D49,E49,F49,G49,H49,I49,J49,B49,Q49,$AM$2,$AN$2,$AO$2,$AP$2,$AQ$2,"y")</f>
        <v>#NUM!</v>
      </c>
      <c r="Q49" s="26" t="e">
        <f>_xll.RtGet("IDN",$K49,IF(OR($D49="BTP,$E11=""CTZ"),Q$5,Q$4))</f>
        <v>#VALUE!</v>
      </c>
      <c r="R49" s="27" t="e">
        <f>_xll.RtGet("IDN",$K49,IF(OR($D49="BTP,$E11=""CTZ"),R$5,R$4))</f>
        <v>#VALUE!</v>
      </c>
      <c r="S49" s="28" t="e">
        <f>_xll.xlBondYieldSensCustom(D49,E49,F49,G49,H49,I49,J49,B49,R49,$AM$2,$AN$2,$AO$2,$AP$2,$AQ$2,"y")</f>
        <v>#NUM!</v>
      </c>
      <c r="T49" s="23" t="e">
        <f t="shared" si="4"/>
        <v>#VALUE!</v>
      </c>
      <c r="U49" s="83" t="e">
        <f>_xll.xlBondYieldSensCustom(D49,E49,F49,G49,H49,I49,J49,B49,T49,$AM$2,$AN$2,$AO$2,$AP$2,$AQ$2,"y")</f>
        <v>#NUM!</v>
      </c>
      <c r="V49" s="23"/>
      <c r="W49" s="23" t="e">
        <f t="shared" si="5"/>
        <v>#VALUE!</v>
      </c>
      <c r="X49" s="22"/>
      <c r="Y49" s="22" t="e">
        <f t="shared" si="6"/>
        <v>#NUM!</v>
      </c>
      <c r="Z49" s="23" t="e">
        <f>_xll.xlBondPriceCustom(D49,E49,F49,G49,H49,I49,J49,B49,Y49,$AM$2,$AN$2,$AO$2,$AP$2,$AQ$2)</f>
        <v>#NUM!</v>
      </c>
      <c r="AA49" s="20" t="e">
        <f t="array" ref="AA49:AG49">_xll.xlBondYieldSens(D49,E49,F49,G49,H49,I49,J49,B49,W49,$AA$5&amp;$AB$5&amp;$AC$5&amp;$AD$5&amp;$AE$5&amp;$AF$5&amp;$AG$5)</f>
        <v>#NUM!</v>
      </c>
      <c r="AB49" s="20" t="e">
        <v>#NUM!</v>
      </c>
      <c r="AC49" s="20" t="e">
        <v>#NUM!</v>
      </c>
      <c r="AD49" s="20" t="e">
        <v>#NUM!</v>
      </c>
      <c r="AE49" s="20" t="e">
        <v>#NUM!</v>
      </c>
      <c r="AF49" s="20" t="e">
        <v>#NUM!</v>
      </c>
      <c r="AG49" s="24" t="e">
        <v>#NUM!</v>
      </c>
      <c r="AH49" s="22" t="e">
        <f>_xll.xlBondYieldSensCustom(D49,E49,F49,G49,H49,I49,J49,B49,W49,$AM$2,$AN$2,$AO$2,$AP$2,$AQ$2,"y")</f>
        <v>#NUM!</v>
      </c>
      <c r="AI49" s="22" t="e">
        <f ca="1">IF(TRUE,_xll.xlShmInterpRateFwd("EONIA",_xll.xlDateSettle("target",$B$2,2),0,4,$F49),"")</f>
        <v>#NUM!</v>
      </c>
      <c r="AJ49" s="85" t="e">
        <f t="shared" ca="1" si="7"/>
        <v>#NUM!</v>
      </c>
    </row>
    <row r="50" spans="1:36" ht="15.75" x14ac:dyDescent="0.25">
      <c r="A50" s="2"/>
      <c r="B50" s="19" t="e">
        <f>MAX(_xll.xlBondValueDate(D50,$B$2),I50)</f>
        <v>#NUM!</v>
      </c>
      <c r="C50" s="20" t="e">
        <v>#N/A</v>
      </c>
      <c r="D50" s="86" t="e">
        <f t="array" ref="D50:N50">_xll.BondInfo(C50,$D$5:$N$5)</f>
        <v>#VALUE!</v>
      </c>
      <c r="E50" s="20" t="e">
        <v>#VALUE!</v>
      </c>
      <c r="F50" s="87" t="e">
        <v>#VALUE!</v>
      </c>
      <c r="G50" s="19" t="e">
        <v>#VALUE!</v>
      </c>
      <c r="H50" s="19" t="e">
        <v>#VALUE!</v>
      </c>
      <c r="I50" s="19" t="e">
        <v>#VALUE!</v>
      </c>
      <c r="J50" s="20" t="e">
        <v>#VALUE!</v>
      </c>
      <c r="K50" s="20" t="e">
        <v>#VALUE!</v>
      </c>
      <c r="L50" s="20" t="e">
        <v>#VALUE!</v>
      </c>
      <c r="M50" s="20" t="e">
        <v>#VALUE!</v>
      </c>
      <c r="N50" s="20" t="e">
        <v>#VALUE!</v>
      </c>
      <c r="O50" s="21" t="e">
        <f>_xll.BondOutstanding(C50)</f>
        <v>#VALUE!</v>
      </c>
      <c r="P50" s="25" t="e">
        <f>_xll.xlBondYieldSensCustom(D50,E50,F50,G50,H50,I50,J50,B50,Q50,$AM$2,$AN$2,$AO$2,$AP$2,$AQ$2,"y")</f>
        <v>#NUM!</v>
      </c>
      <c r="Q50" s="26" t="e">
        <f>_xll.RtGet("IDN",$K50,IF(OR($D50="BTP,$E11=""CTZ"),Q$5,Q$4))</f>
        <v>#VALUE!</v>
      </c>
      <c r="R50" s="27" t="e">
        <f>_xll.RtGet("IDN",$K50,IF(OR($D50="BTP,$E11=""CTZ"),R$5,R$4))</f>
        <v>#VALUE!</v>
      </c>
      <c r="S50" s="28" t="e">
        <f>_xll.xlBondYieldSensCustom(D50,E50,F50,G50,H50,I50,J50,B50,R50,$AM$2,$AN$2,$AO$2,$AP$2,$AQ$2,"y")</f>
        <v>#NUM!</v>
      </c>
      <c r="T50" s="23" t="e">
        <f t="shared" si="4"/>
        <v>#VALUE!</v>
      </c>
      <c r="U50" s="83" t="e">
        <f>_xll.xlBondYieldSensCustom(D50,E50,F50,G50,H50,I50,J50,B50,T50,$AM$2,$AN$2,$AO$2,$AP$2,$AQ$2,"y")</f>
        <v>#NUM!</v>
      </c>
      <c r="V50" s="23"/>
      <c r="W50" s="23" t="e">
        <f t="shared" si="5"/>
        <v>#VALUE!</v>
      </c>
      <c r="X50" s="22"/>
      <c r="Y50" s="22" t="e">
        <f t="shared" si="6"/>
        <v>#NUM!</v>
      </c>
      <c r="Z50" s="23" t="e">
        <f>_xll.xlBondPriceCustom(D50,E50,F50,G50,H50,I50,J50,B50,Y50,$AM$2,$AN$2,$AO$2,$AP$2,$AQ$2)</f>
        <v>#NUM!</v>
      </c>
      <c r="AA50" s="20" t="e">
        <f t="array" ref="AA50:AG50">_xll.xlBondYieldSens(D50,E50,F50,G50,H50,I50,J50,B50,W50,$AA$5&amp;$AB$5&amp;$AC$5&amp;$AD$5&amp;$AE$5&amp;$AF$5&amp;$AG$5)</f>
        <v>#NUM!</v>
      </c>
      <c r="AB50" s="20" t="e">
        <v>#NUM!</v>
      </c>
      <c r="AC50" s="20" t="e">
        <v>#NUM!</v>
      </c>
      <c r="AD50" s="20" t="e">
        <v>#NUM!</v>
      </c>
      <c r="AE50" s="20" t="e">
        <v>#NUM!</v>
      </c>
      <c r="AF50" s="20" t="e">
        <v>#NUM!</v>
      </c>
      <c r="AG50" s="24" t="e">
        <v>#NUM!</v>
      </c>
      <c r="AH50" s="22" t="e">
        <f>_xll.xlBondYieldSensCustom(D50,E50,F50,G50,H50,I50,J50,B50,W50,$AM$2,$AN$2,$AO$2,$AP$2,$AQ$2,"y")</f>
        <v>#NUM!</v>
      </c>
      <c r="AI50" s="22" t="e">
        <f ca="1">IF(TRUE,_xll.xlShmInterpRateFwd("EONIA",_xll.xlDateSettle("target",$B$2,2),0,4,$F50),"")</f>
        <v>#NUM!</v>
      </c>
      <c r="AJ50" s="85" t="e">
        <f t="shared" ca="1" si="7"/>
        <v>#NUM!</v>
      </c>
    </row>
    <row r="51" spans="1:36" ht="15.75" x14ac:dyDescent="0.25">
      <c r="A51" s="2"/>
      <c r="B51" s="19" t="e">
        <f>MAX(_xll.xlBondValueDate(D51,$B$2),I51)</f>
        <v>#NUM!</v>
      </c>
      <c r="C51" s="20" t="e">
        <v>#N/A</v>
      </c>
      <c r="D51" s="86" t="e">
        <f t="array" ref="D51:N51">_xll.BondInfo(C51,$D$5:$N$5)</f>
        <v>#VALUE!</v>
      </c>
      <c r="E51" s="20" t="e">
        <v>#VALUE!</v>
      </c>
      <c r="F51" s="87" t="e">
        <v>#VALUE!</v>
      </c>
      <c r="G51" s="19" t="e">
        <v>#VALUE!</v>
      </c>
      <c r="H51" s="19" t="e">
        <v>#VALUE!</v>
      </c>
      <c r="I51" s="19" t="e">
        <v>#VALUE!</v>
      </c>
      <c r="J51" s="20" t="e">
        <v>#VALUE!</v>
      </c>
      <c r="K51" s="20" t="e">
        <v>#VALUE!</v>
      </c>
      <c r="L51" s="20" t="e">
        <v>#VALUE!</v>
      </c>
      <c r="M51" s="20" t="e">
        <v>#VALUE!</v>
      </c>
      <c r="N51" s="20" t="e">
        <v>#VALUE!</v>
      </c>
      <c r="O51" s="21" t="e">
        <f>_xll.BondOutstanding(C51)</f>
        <v>#VALUE!</v>
      </c>
      <c r="P51" s="25" t="e">
        <f>_xll.xlBondYieldSensCustom(D51,E51,F51,G51,H51,I51,J51,B51,Q51,$AM$2,$AN$2,$AO$2,$AP$2,$AQ$2,"y")</f>
        <v>#NUM!</v>
      </c>
      <c r="Q51" s="26" t="e">
        <f>_xll.RtGet("IDN",$K51,IF(OR($D51="BTP,$E11=""CTZ"),Q$5,Q$4))</f>
        <v>#VALUE!</v>
      </c>
      <c r="R51" s="27" t="e">
        <f>_xll.RtGet("IDN",$K51,IF(OR($D51="BTP,$E11=""CTZ"),R$5,R$4))</f>
        <v>#VALUE!</v>
      </c>
      <c r="S51" s="28" t="e">
        <f>_xll.xlBondYieldSensCustom(D51,E51,F51,G51,H51,I51,J51,B51,R51,$AM$2,$AN$2,$AO$2,$AP$2,$AQ$2,"y")</f>
        <v>#NUM!</v>
      </c>
      <c r="T51" s="23" t="e">
        <f t="shared" si="4"/>
        <v>#VALUE!</v>
      </c>
      <c r="U51" s="83" t="e">
        <f>_xll.xlBondYieldSensCustom(D51,E51,F51,G51,H51,I51,J51,B51,T51,$AM$2,$AN$2,$AO$2,$AP$2,$AQ$2,"y")</f>
        <v>#NUM!</v>
      </c>
      <c r="V51" s="23"/>
      <c r="W51" s="23" t="e">
        <f t="shared" si="5"/>
        <v>#VALUE!</v>
      </c>
      <c r="X51" s="22"/>
      <c r="Y51" s="22" t="e">
        <f t="shared" si="6"/>
        <v>#NUM!</v>
      </c>
      <c r="Z51" s="23" t="e">
        <f>_xll.xlBondPriceCustom(D51,E51,F51,G51,H51,I51,J51,B51,Y51,$AM$2,$AN$2,$AO$2,$AP$2,$AQ$2)</f>
        <v>#NUM!</v>
      </c>
      <c r="AA51" s="20" t="e">
        <f t="array" ref="AA51:AG51">_xll.xlBondYieldSens(D51,E51,F51,G51,H51,I51,J51,B51,W51,$AA$5&amp;$AB$5&amp;$AC$5&amp;$AD$5&amp;$AE$5&amp;$AF$5&amp;$AG$5)</f>
        <v>#NUM!</v>
      </c>
      <c r="AB51" s="20" t="e">
        <v>#NUM!</v>
      </c>
      <c r="AC51" s="20" t="e">
        <v>#NUM!</v>
      </c>
      <c r="AD51" s="20" t="e">
        <v>#NUM!</v>
      </c>
      <c r="AE51" s="20" t="e">
        <v>#NUM!</v>
      </c>
      <c r="AF51" s="20" t="e">
        <v>#NUM!</v>
      </c>
      <c r="AG51" s="24" t="e">
        <v>#NUM!</v>
      </c>
      <c r="AH51" s="22" t="e">
        <f>_xll.xlBondYieldSensCustom(D51,E51,F51,G51,H51,I51,J51,B51,W51,$AM$2,$AN$2,$AO$2,$AP$2,$AQ$2,"y")</f>
        <v>#NUM!</v>
      </c>
      <c r="AI51" s="22" t="e">
        <f ca="1">IF(TRUE,_xll.xlShmInterpRateFwd("EONIA",_xll.xlDateSettle("target",$B$2,2),0,4,$F51),"")</f>
        <v>#NUM!</v>
      </c>
      <c r="AJ51" s="85" t="e">
        <f t="shared" ca="1" si="7"/>
        <v>#NUM!</v>
      </c>
    </row>
    <row r="52" spans="1:36" ht="15.75" x14ac:dyDescent="0.25">
      <c r="A52" s="2"/>
      <c r="B52" s="19" t="e">
        <f>MAX(_xll.xlBondValueDate(D52,$B$2),I52)</f>
        <v>#NUM!</v>
      </c>
      <c r="C52" s="20" t="e">
        <v>#N/A</v>
      </c>
      <c r="D52" s="86" t="e">
        <f t="array" ref="D52:N52">_xll.BondInfo(C52,$D$5:$N$5)</f>
        <v>#VALUE!</v>
      </c>
      <c r="E52" s="20" t="e">
        <v>#VALUE!</v>
      </c>
      <c r="F52" s="87" t="e">
        <v>#VALUE!</v>
      </c>
      <c r="G52" s="19" t="e">
        <v>#VALUE!</v>
      </c>
      <c r="H52" s="19" t="e">
        <v>#VALUE!</v>
      </c>
      <c r="I52" s="19" t="e">
        <v>#VALUE!</v>
      </c>
      <c r="J52" s="20" t="e">
        <v>#VALUE!</v>
      </c>
      <c r="K52" s="20" t="e">
        <v>#VALUE!</v>
      </c>
      <c r="L52" s="20" t="e">
        <v>#VALUE!</v>
      </c>
      <c r="M52" s="20" t="e">
        <v>#VALUE!</v>
      </c>
      <c r="N52" s="20" t="e">
        <v>#VALUE!</v>
      </c>
      <c r="O52" s="21" t="e">
        <f>_xll.BondOutstanding(C52)</f>
        <v>#VALUE!</v>
      </c>
      <c r="P52" s="25" t="e">
        <f>_xll.xlBondYieldSensCustom(D52,E52,F52,G52,H52,I52,J52,B52,Q52,$AM$2,$AN$2,$AO$2,$AP$2,$AQ$2,"y")</f>
        <v>#NUM!</v>
      </c>
      <c r="Q52" s="26" t="e">
        <f>_xll.RtGet("IDN",$K52,IF(OR($D52="BTP,$E11=""CTZ"),Q$5,Q$4))</f>
        <v>#VALUE!</v>
      </c>
      <c r="R52" s="27" t="e">
        <f>_xll.RtGet("IDN",$K52,IF(OR($D52="BTP,$E11=""CTZ"),R$5,R$4))</f>
        <v>#VALUE!</v>
      </c>
      <c r="S52" s="28" t="e">
        <f>_xll.xlBondYieldSensCustom(D52,E52,F52,G52,H52,I52,J52,B52,R52,$AM$2,$AN$2,$AO$2,$AP$2,$AQ$2,"y")</f>
        <v>#NUM!</v>
      </c>
      <c r="T52" s="23" t="e">
        <f t="shared" si="4"/>
        <v>#VALUE!</v>
      </c>
      <c r="U52" s="83" t="e">
        <f>_xll.xlBondYieldSensCustom(D52,E52,F52,G52,H52,I52,J52,B52,T52,$AM$2,$AN$2,$AO$2,$AP$2,$AQ$2,"y")</f>
        <v>#NUM!</v>
      </c>
      <c r="V52" s="23"/>
      <c r="W52" s="23" t="e">
        <f t="shared" si="5"/>
        <v>#VALUE!</v>
      </c>
      <c r="X52" s="22"/>
      <c r="Y52" s="22" t="e">
        <f t="shared" si="6"/>
        <v>#NUM!</v>
      </c>
      <c r="Z52" s="23" t="e">
        <f>_xll.xlBondPriceCustom(D52,E52,F52,G52,H52,I52,J52,B52,Y52,$AM$2,$AN$2,$AO$2,$AP$2,$AQ$2)</f>
        <v>#NUM!</v>
      </c>
      <c r="AA52" s="20" t="e">
        <f t="array" ref="AA52:AG52">_xll.xlBondYieldSens(D52,E52,F52,G52,H52,I52,J52,B52,W52,$AA$5&amp;$AB$5&amp;$AC$5&amp;$AD$5&amp;$AE$5&amp;$AF$5&amp;$AG$5)</f>
        <v>#NUM!</v>
      </c>
      <c r="AB52" s="20" t="e">
        <v>#NUM!</v>
      </c>
      <c r="AC52" s="20" t="e">
        <v>#NUM!</v>
      </c>
      <c r="AD52" s="20" t="e">
        <v>#NUM!</v>
      </c>
      <c r="AE52" s="20" t="e">
        <v>#NUM!</v>
      </c>
      <c r="AF52" s="20" t="e">
        <v>#NUM!</v>
      </c>
      <c r="AG52" s="24" t="e">
        <v>#NUM!</v>
      </c>
      <c r="AH52" s="22" t="e">
        <f>_xll.xlBondYieldSensCustom(D52,E52,F52,G52,H52,I52,J52,B52,W52,$AM$2,$AN$2,$AO$2,$AP$2,$AQ$2,"y")</f>
        <v>#NUM!</v>
      </c>
      <c r="AI52" s="22" t="e">
        <f ca="1">IF(TRUE,_xll.xlShmInterpRateFwd("EONIA",_xll.xlDateSettle("target",$B$2,2),0,4,$F52),"")</f>
        <v>#NUM!</v>
      </c>
      <c r="AJ52" s="85" t="e">
        <f t="shared" ca="1" si="7"/>
        <v>#NUM!</v>
      </c>
    </row>
    <row r="53" spans="1:36" ht="15.75" x14ac:dyDescent="0.25">
      <c r="A53" s="2"/>
      <c r="B53" s="19" t="e">
        <f>MAX(_xll.xlBondValueDate(D53,$B$2),I53)</f>
        <v>#NUM!</v>
      </c>
      <c r="C53" s="20" t="e">
        <v>#N/A</v>
      </c>
      <c r="D53" s="86" t="e">
        <f t="array" ref="D53:N53">_xll.BondInfo(C53,$D$5:$N$5)</f>
        <v>#VALUE!</v>
      </c>
      <c r="E53" s="20" t="e">
        <v>#VALUE!</v>
      </c>
      <c r="F53" s="87" t="e">
        <v>#VALUE!</v>
      </c>
      <c r="G53" s="19" t="e">
        <v>#VALUE!</v>
      </c>
      <c r="H53" s="19" t="e">
        <v>#VALUE!</v>
      </c>
      <c r="I53" s="19" t="e">
        <v>#VALUE!</v>
      </c>
      <c r="J53" s="20" t="e">
        <v>#VALUE!</v>
      </c>
      <c r="K53" s="20" t="e">
        <v>#VALUE!</v>
      </c>
      <c r="L53" s="20" t="e">
        <v>#VALUE!</v>
      </c>
      <c r="M53" s="20" t="e">
        <v>#VALUE!</v>
      </c>
      <c r="N53" s="20" t="e">
        <v>#VALUE!</v>
      </c>
      <c r="O53" s="21" t="e">
        <f>_xll.BondOutstanding(C53)</f>
        <v>#VALUE!</v>
      </c>
      <c r="P53" s="25" t="e">
        <f>_xll.xlBondYieldSensCustom(D53,E53,F53,G53,H53,I53,J53,B53,Q53,$AM$2,$AN$2,$AO$2,$AP$2,$AQ$2,"y")</f>
        <v>#NUM!</v>
      </c>
      <c r="Q53" s="26" t="e">
        <f>_xll.RtGet("IDN",$K53,IF(OR($D53="BTP,$E11=""CTZ"),Q$5,Q$4))</f>
        <v>#VALUE!</v>
      </c>
      <c r="R53" s="27" t="e">
        <f>_xll.RtGet("IDN",$K53,IF(OR($D53="BTP,$E11=""CTZ"),R$5,R$4))</f>
        <v>#VALUE!</v>
      </c>
      <c r="S53" s="28" t="e">
        <f>_xll.xlBondYieldSensCustom(D53,E53,F53,G53,H53,I53,J53,B53,R53,$AM$2,$AN$2,$AO$2,$AP$2,$AQ$2,"y")</f>
        <v>#NUM!</v>
      </c>
      <c r="T53" s="23" t="e">
        <f t="shared" si="4"/>
        <v>#VALUE!</v>
      </c>
      <c r="U53" s="83" t="e">
        <f>_xll.xlBondYieldSensCustom(D53,E53,F53,G53,H53,I53,J53,B53,T53,$AM$2,$AN$2,$AO$2,$AP$2,$AQ$2,"y")</f>
        <v>#NUM!</v>
      </c>
      <c r="V53" s="23"/>
      <c r="W53" s="23" t="e">
        <f t="shared" si="5"/>
        <v>#VALUE!</v>
      </c>
      <c r="X53" s="22"/>
      <c r="Y53" s="22" t="e">
        <f t="shared" si="6"/>
        <v>#NUM!</v>
      </c>
      <c r="Z53" s="23" t="e">
        <f>_xll.xlBondPriceCustom(D53,E53,F53,G53,H53,I53,J53,B53,Y53,$AM$2,$AN$2,$AO$2,$AP$2,$AQ$2)</f>
        <v>#NUM!</v>
      </c>
      <c r="AA53" s="20" t="e">
        <f t="array" ref="AA53:AG53">_xll.xlBondYieldSens(D53,E53,F53,G53,H53,I53,J53,B53,W53,$AA$5&amp;$AB$5&amp;$AC$5&amp;$AD$5&amp;$AE$5&amp;$AF$5&amp;$AG$5)</f>
        <v>#NUM!</v>
      </c>
      <c r="AB53" s="20" t="e">
        <v>#NUM!</v>
      </c>
      <c r="AC53" s="20" t="e">
        <v>#NUM!</v>
      </c>
      <c r="AD53" s="20" t="e">
        <v>#NUM!</v>
      </c>
      <c r="AE53" s="20" t="e">
        <v>#NUM!</v>
      </c>
      <c r="AF53" s="20" t="e">
        <v>#NUM!</v>
      </c>
      <c r="AG53" s="24" t="e">
        <v>#NUM!</v>
      </c>
      <c r="AH53" s="22" t="e">
        <f>_xll.xlBondYieldSensCustom(D53,E53,F53,G53,H53,I53,J53,B53,W53,$AM$2,$AN$2,$AO$2,$AP$2,$AQ$2,"y")</f>
        <v>#NUM!</v>
      </c>
      <c r="AI53" s="22" t="e">
        <f ca="1">IF(TRUE,_xll.xlShmInterpRateFwd("EONIA",_xll.xlDateSettle("target",$B$2,2),0,4,$F53),"")</f>
        <v>#NUM!</v>
      </c>
      <c r="AJ53" s="85" t="e">
        <f t="shared" ca="1" si="7"/>
        <v>#NUM!</v>
      </c>
    </row>
    <row r="54" spans="1:36" ht="15.75" x14ac:dyDescent="0.25">
      <c r="A54" s="2"/>
      <c r="B54" s="19" t="e">
        <f>MAX(_xll.xlBondValueDate(D54,$B$2),I54)</f>
        <v>#NUM!</v>
      </c>
      <c r="C54" s="20" t="e">
        <v>#N/A</v>
      </c>
      <c r="D54" s="86" t="e">
        <f t="array" ref="D54:N54">_xll.BondInfo(C54,$D$5:$N$5)</f>
        <v>#VALUE!</v>
      </c>
      <c r="E54" s="20" t="e">
        <v>#VALUE!</v>
      </c>
      <c r="F54" s="87" t="e">
        <v>#VALUE!</v>
      </c>
      <c r="G54" s="19" t="e">
        <v>#VALUE!</v>
      </c>
      <c r="H54" s="19" t="e">
        <v>#VALUE!</v>
      </c>
      <c r="I54" s="19" t="e">
        <v>#VALUE!</v>
      </c>
      <c r="J54" s="20" t="e">
        <v>#VALUE!</v>
      </c>
      <c r="K54" s="20" t="e">
        <v>#VALUE!</v>
      </c>
      <c r="L54" s="20" t="e">
        <v>#VALUE!</v>
      </c>
      <c r="M54" s="20" t="e">
        <v>#VALUE!</v>
      </c>
      <c r="N54" s="20" t="e">
        <v>#VALUE!</v>
      </c>
      <c r="O54" s="21" t="e">
        <f>_xll.BondOutstanding(C54)</f>
        <v>#VALUE!</v>
      </c>
      <c r="P54" s="25" t="e">
        <f>_xll.xlBondYieldSensCustom(D54,E54,F54,G54,H54,I54,J54,B54,Q54,$AM$2,$AN$2,$AO$2,$AP$2,$AQ$2,"y")</f>
        <v>#NUM!</v>
      </c>
      <c r="Q54" s="26" t="e">
        <f>_xll.RtGet("IDN",$K54,IF(OR($D54="BTP,$E11=""CTZ"),Q$5,Q$4))</f>
        <v>#VALUE!</v>
      </c>
      <c r="R54" s="27" t="e">
        <f>_xll.RtGet("IDN",$K54,IF(OR($D54="BTP,$E11=""CTZ"),R$5,R$4))</f>
        <v>#VALUE!</v>
      </c>
      <c r="S54" s="28" t="e">
        <f>_xll.xlBondYieldSensCustom(D54,E54,F54,G54,H54,I54,J54,B54,R54,$AM$2,$AN$2,$AO$2,$AP$2,$AQ$2,"y")</f>
        <v>#NUM!</v>
      </c>
      <c r="T54" s="23" t="e">
        <f t="shared" si="4"/>
        <v>#VALUE!</v>
      </c>
      <c r="U54" s="83" t="e">
        <f>_xll.xlBondYieldSensCustom(D54,E54,F54,G54,H54,I54,J54,B54,T54,$AM$2,$AN$2,$AO$2,$AP$2,$AQ$2,"y")</f>
        <v>#NUM!</v>
      </c>
      <c r="V54" s="23"/>
      <c r="W54" s="23" t="e">
        <f t="shared" si="5"/>
        <v>#VALUE!</v>
      </c>
      <c r="X54" s="22"/>
      <c r="Y54" s="22" t="e">
        <f t="shared" si="6"/>
        <v>#NUM!</v>
      </c>
      <c r="Z54" s="23" t="e">
        <f>_xll.xlBondPriceCustom(D54,E54,F54,G54,H54,I54,J54,B54,Y54,$AM$2,$AN$2,$AO$2,$AP$2,$AQ$2)</f>
        <v>#NUM!</v>
      </c>
      <c r="AA54" s="20" t="e">
        <f t="array" ref="AA54:AG54">_xll.xlBondYieldSens(D54,E54,F54,G54,H54,I54,J54,B54,W54,$AA$5&amp;$AB$5&amp;$AC$5&amp;$AD$5&amp;$AE$5&amp;$AF$5&amp;$AG$5)</f>
        <v>#NUM!</v>
      </c>
      <c r="AB54" s="20" t="e">
        <v>#NUM!</v>
      </c>
      <c r="AC54" s="20" t="e">
        <v>#NUM!</v>
      </c>
      <c r="AD54" s="20" t="e">
        <v>#NUM!</v>
      </c>
      <c r="AE54" s="20" t="e">
        <v>#NUM!</v>
      </c>
      <c r="AF54" s="20" t="e">
        <v>#NUM!</v>
      </c>
      <c r="AG54" s="24" t="e">
        <v>#NUM!</v>
      </c>
      <c r="AH54" s="22" t="e">
        <f>_xll.xlBondYieldSensCustom(D54,E54,F54,G54,H54,I54,J54,B54,W54,$AM$2,$AN$2,$AO$2,$AP$2,$AQ$2,"y")</f>
        <v>#NUM!</v>
      </c>
      <c r="AI54" s="22" t="e">
        <f ca="1">IF(TRUE,_xll.xlShmInterpRateFwd("EONIA",_xll.xlDateSettle("target",$B$2,2),0,4,$F54),"")</f>
        <v>#NUM!</v>
      </c>
      <c r="AJ54" s="85" t="e">
        <f t="shared" ca="1" si="7"/>
        <v>#NUM!</v>
      </c>
    </row>
    <row r="55" spans="1:36" ht="15.75" x14ac:dyDescent="0.25">
      <c r="A55" s="2"/>
      <c r="B55" s="19" t="e">
        <f>MAX(_xll.xlBondValueDate(D55,$B$2),I55)</f>
        <v>#NUM!</v>
      </c>
      <c r="C55" s="20" t="e">
        <v>#N/A</v>
      </c>
      <c r="D55" s="86" t="e">
        <f t="array" ref="D55:N55">_xll.BondInfo(C55,$D$5:$N$5)</f>
        <v>#VALUE!</v>
      </c>
      <c r="E55" s="20" t="e">
        <v>#VALUE!</v>
      </c>
      <c r="F55" s="87" t="e">
        <v>#VALUE!</v>
      </c>
      <c r="G55" s="19" t="e">
        <v>#VALUE!</v>
      </c>
      <c r="H55" s="19" t="e">
        <v>#VALUE!</v>
      </c>
      <c r="I55" s="19" t="e">
        <v>#VALUE!</v>
      </c>
      <c r="J55" s="20" t="e">
        <v>#VALUE!</v>
      </c>
      <c r="K55" s="20" t="e">
        <v>#VALUE!</v>
      </c>
      <c r="L55" s="20" t="e">
        <v>#VALUE!</v>
      </c>
      <c r="M55" s="20" t="e">
        <v>#VALUE!</v>
      </c>
      <c r="N55" s="20" t="e">
        <v>#VALUE!</v>
      </c>
      <c r="O55" s="21" t="e">
        <f>_xll.BondOutstanding(C55)</f>
        <v>#VALUE!</v>
      </c>
      <c r="P55" s="25" t="e">
        <f>_xll.xlBondYieldSensCustom(D55,E55,F55,G55,H55,I55,J55,B55,Q55,$AM$2,$AN$2,$AO$2,$AP$2,$AQ$2,"y")</f>
        <v>#NUM!</v>
      </c>
      <c r="Q55" s="26" t="e">
        <f>_xll.RtGet("IDN",$K55,IF(OR($D55="BTP,$E11=""CTZ"),Q$5,Q$4))</f>
        <v>#VALUE!</v>
      </c>
      <c r="R55" s="27" t="e">
        <f>_xll.RtGet("IDN",$K55,IF(OR($D55="BTP,$E11=""CTZ"),R$5,R$4))</f>
        <v>#VALUE!</v>
      </c>
      <c r="S55" s="28" t="e">
        <f>_xll.xlBondYieldSensCustom(D55,E55,F55,G55,H55,I55,J55,B55,R55,$AM$2,$AN$2,$AO$2,$AP$2,$AQ$2,"y")</f>
        <v>#NUM!</v>
      </c>
      <c r="T55" s="23" t="e">
        <f t="shared" si="4"/>
        <v>#VALUE!</v>
      </c>
      <c r="U55" s="83" t="e">
        <f>_xll.xlBondYieldSensCustom(D55,E55,F55,G55,H55,I55,J55,B55,T55,$AM$2,$AN$2,$AO$2,$AP$2,$AQ$2,"y")</f>
        <v>#NUM!</v>
      </c>
      <c r="V55" s="23"/>
      <c r="W55" s="23" t="e">
        <f t="shared" si="5"/>
        <v>#VALUE!</v>
      </c>
      <c r="X55" s="22"/>
      <c r="Y55" s="22" t="e">
        <f t="shared" si="6"/>
        <v>#NUM!</v>
      </c>
      <c r="Z55" s="23" t="e">
        <f>_xll.xlBondPriceCustom(D55,E55,F55,G55,H55,I55,J55,B55,Y55,$AM$2,$AN$2,$AO$2,$AP$2,$AQ$2)</f>
        <v>#NUM!</v>
      </c>
      <c r="AA55" s="20" t="e">
        <f t="array" ref="AA55:AG55">_xll.xlBondYieldSens(D55,E55,F55,G55,H55,I55,J55,B55,W55,$AA$5&amp;$AB$5&amp;$AC$5&amp;$AD$5&amp;$AE$5&amp;$AF$5&amp;$AG$5)</f>
        <v>#NUM!</v>
      </c>
      <c r="AB55" s="20" t="e">
        <v>#NUM!</v>
      </c>
      <c r="AC55" s="20" t="e">
        <v>#NUM!</v>
      </c>
      <c r="AD55" s="20" t="e">
        <v>#NUM!</v>
      </c>
      <c r="AE55" s="20" t="e">
        <v>#NUM!</v>
      </c>
      <c r="AF55" s="20" t="e">
        <v>#NUM!</v>
      </c>
      <c r="AG55" s="24" t="e">
        <v>#NUM!</v>
      </c>
      <c r="AH55" s="22" t="e">
        <f>_xll.xlBondYieldSensCustom(D55,E55,F55,G55,H55,I55,J55,B55,W55,$AM$2,$AN$2,$AO$2,$AP$2,$AQ$2,"y")</f>
        <v>#NUM!</v>
      </c>
      <c r="AI55" s="22" t="e">
        <f ca="1">IF(TRUE,_xll.xlShmInterpRateFwd("EONIA",_xll.xlDateSettle("target",$B$2,2),0,4,$F55),"")</f>
        <v>#NUM!</v>
      </c>
      <c r="AJ55" s="85" t="e">
        <f t="shared" ca="1" si="7"/>
        <v>#NUM!</v>
      </c>
    </row>
    <row r="56" spans="1:36" ht="15.75" x14ac:dyDescent="0.25">
      <c r="A56" s="2"/>
      <c r="B56" s="19" t="e">
        <f>MAX(_xll.xlBondValueDate(D56,$B$2),I56)</f>
        <v>#NUM!</v>
      </c>
      <c r="C56" s="20" t="e">
        <v>#N/A</v>
      </c>
      <c r="D56" s="86" t="e">
        <f t="array" ref="D56:N56">_xll.BondInfo(C56,$D$5:$N$5)</f>
        <v>#VALUE!</v>
      </c>
      <c r="E56" s="20" t="e">
        <v>#VALUE!</v>
      </c>
      <c r="F56" s="87" t="e">
        <v>#VALUE!</v>
      </c>
      <c r="G56" s="19" t="e">
        <v>#VALUE!</v>
      </c>
      <c r="H56" s="19" t="e">
        <v>#VALUE!</v>
      </c>
      <c r="I56" s="19" t="e">
        <v>#VALUE!</v>
      </c>
      <c r="J56" s="20" t="e">
        <v>#VALUE!</v>
      </c>
      <c r="K56" s="20" t="e">
        <v>#VALUE!</v>
      </c>
      <c r="L56" s="20" t="e">
        <v>#VALUE!</v>
      </c>
      <c r="M56" s="20" t="e">
        <v>#VALUE!</v>
      </c>
      <c r="N56" s="20" t="e">
        <v>#VALUE!</v>
      </c>
      <c r="O56" s="21" t="e">
        <f>_xll.BondOutstanding(C56)</f>
        <v>#VALUE!</v>
      </c>
      <c r="P56" s="25" t="e">
        <f>_xll.xlBondYieldSensCustom(D56,E56,F56,G56,H56,I56,J56,B56,Q56,$AM$2,$AN$2,$AO$2,$AP$2,$AQ$2,"y")</f>
        <v>#NUM!</v>
      </c>
      <c r="Q56" s="26" t="e">
        <f>_xll.RtGet("IDN",$K56,IF(OR($D56="BTP,$E11=""CTZ"),Q$5,Q$4))</f>
        <v>#VALUE!</v>
      </c>
      <c r="R56" s="27" t="e">
        <f>_xll.RtGet("IDN",$K56,IF(OR($D56="BTP,$E11=""CTZ"),R$5,R$4))</f>
        <v>#VALUE!</v>
      </c>
      <c r="S56" s="28" t="e">
        <f>_xll.xlBondYieldSensCustom(D56,E56,F56,G56,H56,I56,J56,B56,R56,$AM$2,$AN$2,$AO$2,$AP$2,$AQ$2,"y")</f>
        <v>#NUM!</v>
      </c>
      <c r="T56" s="23" t="e">
        <f t="shared" si="4"/>
        <v>#VALUE!</v>
      </c>
      <c r="U56" s="83" t="e">
        <f>_xll.xlBondYieldSensCustom(D56,E56,F56,G56,H56,I56,J56,B56,T56,$AM$2,$AN$2,$AO$2,$AP$2,$AQ$2,"y")</f>
        <v>#NUM!</v>
      </c>
      <c r="V56" s="23"/>
      <c r="W56" s="23" t="e">
        <f t="shared" si="5"/>
        <v>#VALUE!</v>
      </c>
      <c r="X56" s="22"/>
      <c r="Y56" s="22" t="e">
        <f t="shared" si="6"/>
        <v>#NUM!</v>
      </c>
      <c r="Z56" s="23" t="e">
        <f>_xll.xlBondPriceCustom(D56,E56,F56,G56,H56,I56,J56,B56,Y56,$AM$2,$AN$2,$AO$2,$AP$2,$AQ$2)</f>
        <v>#NUM!</v>
      </c>
      <c r="AA56" s="20" t="e">
        <f t="array" ref="AA56:AG56">_xll.xlBondYieldSens(D56,E56,F56,G56,H56,I56,J56,B56,W56,$AA$5&amp;$AB$5&amp;$AC$5&amp;$AD$5&amp;$AE$5&amp;$AF$5&amp;$AG$5)</f>
        <v>#NUM!</v>
      </c>
      <c r="AB56" s="20" t="e">
        <v>#NUM!</v>
      </c>
      <c r="AC56" s="20" t="e">
        <v>#NUM!</v>
      </c>
      <c r="AD56" s="20" t="e">
        <v>#NUM!</v>
      </c>
      <c r="AE56" s="20" t="e">
        <v>#NUM!</v>
      </c>
      <c r="AF56" s="20" t="e">
        <v>#NUM!</v>
      </c>
      <c r="AG56" s="24" t="e">
        <v>#NUM!</v>
      </c>
      <c r="AH56" s="22" t="e">
        <f>_xll.xlBondYieldSensCustom(D56,E56,F56,G56,H56,I56,J56,B56,W56,$AM$2,$AN$2,$AO$2,$AP$2,$AQ$2,"y")</f>
        <v>#NUM!</v>
      </c>
      <c r="AI56" s="22" t="e">
        <f ca="1">IF(TRUE,_xll.xlShmInterpRateFwd("EONIA",_xll.xlDateSettle("target",$B$2,2),0,4,$F56),"")</f>
        <v>#NUM!</v>
      </c>
      <c r="AJ56" s="85" t="e">
        <f t="shared" ca="1" si="7"/>
        <v>#NUM!</v>
      </c>
    </row>
    <row r="57" spans="1:36" ht="15.75" x14ac:dyDescent="0.25">
      <c r="A57" s="2"/>
      <c r="B57" s="19" t="e">
        <f>MAX(_xll.xlBondValueDate(D57,$B$2),I57)</f>
        <v>#NUM!</v>
      </c>
      <c r="C57" s="20" t="e">
        <v>#N/A</v>
      </c>
      <c r="D57" s="86" t="e">
        <f t="array" ref="D57:N57">_xll.BondInfo(C57,$D$5:$N$5)</f>
        <v>#VALUE!</v>
      </c>
      <c r="E57" s="20" t="e">
        <v>#VALUE!</v>
      </c>
      <c r="F57" s="87" t="e">
        <v>#VALUE!</v>
      </c>
      <c r="G57" s="19" t="e">
        <v>#VALUE!</v>
      </c>
      <c r="H57" s="19" t="e">
        <v>#VALUE!</v>
      </c>
      <c r="I57" s="19" t="e">
        <v>#VALUE!</v>
      </c>
      <c r="J57" s="20" t="e">
        <v>#VALUE!</v>
      </c>
      <c r="K57" s="20" t="e">
        <v>#VALUE!</v>
      </c>
      <c r="L57" s="20" t="e">
        <v>#VALUE!</v>
      </c>
      <c r="M57" s="20" t="e">
        <v>#VALUE!</v>
      </c>
      <c r="N57" s="20" t="e">
        <v>#VALUE!</v>
      </c>
      <c r="O57" s="21" t="e">
        <f>_xll.BondOutstanding(C57)</f>
        <v>#VALUE!</v>
      </c>
      <c r="P57" s="25" t="e">
        <f>_xll.xlBondYieldSensCustom(D57,E57,F57,G57,H57,I57,J57,B57,Q57,$AM$2,$AN$2,$AO$2,$AP$2,$AQ$2,"y")</f>
        <v>#NUM!</v>
      </c>
      <c r="Q57" s="26" t="e">
        <f>_xll.RtGet("IDN",$K57,IF(OR($D57="BTP,$E11=""CTZ"),Q$5,Q$4))</f>
        <v>#VALUE!</v>
      </c>
      <c r="R57" s="27" t="e">
        <f>_xll.RtGet("IDN",$K57,IF(OR($D57="BTP,$E11=""CTZ"),R$5,R$4))</f>
        <v>#VALUE!</v>
      </c>
      <c r="S57" s="28" t="e">
        <f>_xll.xlBondYieldSensCustom(D57,E57,F57,G57,H57,I57,J57,B57,R57,$AM$2,$AN$2,$AO$2,$AP$2,$AQ$2,"y")</f>
        <v>#NUM!</v>
      </c>
      <c r="T57" s="23" t="e">
        <f t="shared" si="4"/>
        <v>#VALUE!</v>
      </c>
      <c r="U57" s="83" t="e">
        <f>_xll.xlBondYieldSensCustom(D57,E57,F57,G57,H57,I57,J57,B57,T57,$AM$2,$AN$2,$AO$2,$AP$2,$AQ$2,"y")</f>
        <v>#NUM!</v>
      </c>
      <c r="V57" s="23"/>
      <c r="W57" s="23" t="e">
        <f t="shared" si="5"/>
        <v>#VALUE!</v>
      </c>
      <c r="X57" s="22"/>
      <c r="Y57" s="22" t="e">
        <f t="shared" si="6"/>
        <v>#NUM!</v>
      </c>
      <c r="Z57" s="23" t="e">
        <f>_xll.xlBondPriceCustom(D57,E57,F57,G57,H57,I57,J57,B57,Y57,$AM$2,$AN$2,$AO$2,$AP$2,$AQ$2)</f>
        <v>#NUM!</v>
      </c>
      <c r="AA57" s="20" t="e">
        <f t="array" ref="AA57:AG57">_xll.xlBondYieldSens(D57,E57,F57,G57,H57,I57,J57,B57,W57,$AA$5&amp;$AB$5&amp;$AC$5&amp;$AD$5&amp;$AE$5&amp;$AF$5&amp;$AG$5)</f>
        <v>#NUM!</v>
      </c>
      <c r="AB57" s="20" t="e">
        <v>#NUM!</v>
      </c>
      <c r="AC57" s="20" t="e">
        <v>#NUM!</v>
      </c>
      <c r="AD57" s="20" t="e">
        <v>#NUM!</v>
      </c>
      <c r="AE57" s="20" t="e">
        <v>#NUM!</v>
      </c>
      <c r="AF57" s="20" t="e">
        <v>#NUM!</v>
      </c>
      <c r="AG57" s="24" t="e">
        <v>#NUM!</v>
      </c>
      <c r="AH57" s="22" t="e">
        <f>_xll.xlBondYieldSensCustom(D57,E57,F57,G57,H57,I57,J57,B57,W57,$AM$2,$AN$2,$AO$2,$AP$2,$AQ$2,"y")</f>
        <v>#NUM!</v>
      </c>
      <c r="AI57" s="22" t="e">
        <f ca="1">IF(TRUE,_xll.xlShmInterpRateFwd("EONIA",_xll.xlDateSettle("target",$B$2,2),0,4,$F57),"")</f>
        <v>#NUM!</v>
      </c>
      <c r="AJ57" s="85" t="e">
        <f t="shared" ca="1" si="7"/>
        <v>#NUM!</v>
      </c>
    </row>
    <row r="58" spans="1:36" ht="15.75" x14ac:dyDescent="0.25">
      <c r="A58" s="2"/>
      <c r="B58" s="19" t="e">
        <f>MAX(_xll.xlBondValueDate(D58,$B$2),I58)</f>
        <v>#NUM!</v>
      </c>
      <c r="C58" s="20" t="e">
        <v>#N/A</v>
      </c>
      <c r="D58" s="86" t="e">
        <f t="array" ref="D58:N58">_xll.BondInfo(C58,$D$5:$N$5)</f>
        <v>#VALUE!</v>
      </c>
      <c r="E58" s="20" t="e">
        <v>#VALUE!</v>
      </c>
      <c r="F58" s="87" t="e">
        <v>#VALUE!</v>
      </c>
      <c r="G58" s="19" t="e">
        <v>#VALUE!</v>
      </c>
      <c r="H58" s="19" t="e">
        <v>#VALUE!</v>
      </c>
      <c r="I58" s="19" t="e">
        <v>#VALUE!</v>
      </c>
      <c r="J58" s="20" t="e">
        <v>#VALUE!</v>
      </c>
      <c r="K58" s="20" t="e">
        <v>#VALUE!</v>
      </c>
      <c r="L58" s="20" t="e">
        <v>#VALUE!</v>
      </c>
      <c r="M58" s="20" t="e">
        <v>#VALUE!</v>
      </c>
      <c r="N58" s="20" t="e">
        <v>#VALUE!</v>
      </c>
      <c r="O58" s="21" t="e">
        <f>_xll.BondOutstanding(C58)</f>
        <v>#VALUE!</v>
      </c>
      <c r="P58" s="25" t="e">
        <f>_xll.xlBondYieldSensCustom(D58,E58,F58,G58,H58,I58,J58,B58,Q58,$AM$2,$AN$2,$AO$2,$AP$2,$AQ$2,"y")</f>
        <v>#NUM!</v>
      </c>
      <c r="Q58" s="26" t="e">
        <f>_xll.RtGet("IDN",$K58,IF(OR($D58="BTP,$E11=""CTZ"),Q$5,Q$4))</f>
        <v>#VALUE!</v>
      </c>
      <c r="R58" s="27" t="e">
        <f>_xll.RtGet("IDN",$K58,IF(OR($D58="BTP,$E11=""CTZ"),R$5,R$4))</f>
        <v>#VALUE!</v>
      </c>
      <c r="S58" s="28" t="e">
        <f>_xll.xlBondYieldSensCustom(D58,E58,F58,G58,H58,I58,J58,B58,R58,$AM$2,$AN$2,$AO$2,$AP$2,$AQ$2,"y")</f>
        <v>#NUM!</v>
      </c>
      <c r="T58" s="23" t="e">
        <f t="shared" si="4"/>
        <v>#VALUE!</v>
      </c>
      <c r="U58" s="83" t="e">
        <f>_xll.xlBondYieldSensCustom(D58,E58,F58,G58,H58,I58,J58,B58,T58,$AM$2,$AN$2,$AO$2,$AP$2,$AQ$2,"y")</f>
        <v>#NUM!</v>
      </c>
      <c r="V58" s="23"/>
      <c r="W58" s="23" t="e">
        <f t="shared" si="5"/>
        <v>#VALUE!</v>
      </c>
      <c r="X58" s="22"/>
      <c r="Y58" s="22" t="e">
        <f t="shared" si="6"/>
        <v>#NUM!</v>
      </c>
      <c r="Z58" s="23" t="e">
        <f>_xll.xlBondPriceCustom(D58,E58,F58,G58,H58,I58,J58,B58,Y58,$AM$2,$AN$2,$AO$2,$AP$2,$AQ$2)</f>
        <v>#NUM!</v>
      </c>
      <c r="AA58" s="20" t="e">
        <f t="array" ref="AA58:AG58">_xll.xlBondYieldSens(D58,E58,F58,G58,H58,I58,J58,B58,W58,$AA$5&amp;$AB$5&amp;$AC$5&amp;$AD$5&amp;$AE$5&amp;$AF$5&amp;$AG$5)</f>
        <v>#NUM!</v>
      </c>
      <c r="AB58" s="20" t="e">
        <v>#NUM!</v>
      </c>
      <c r="AC58" s="20" t="e">
        <v>#NUM!</v>
      </c>
      <c r="AD58" s="20" t="e">
        <v>#NUM!</v>
      </c>
      <c r="AE58" s="20" t="e">
        <v>#NUM!</v>
      </c>
      <c r="AF58" s="20" t="e">
        <v>#NUM!</v>
      </c>
      <c r="AG58" s="24" t="e">
        <v>#NUM!</v>
      </c>
      <c r="AH58" s="22" t="e">
        <f>_xll.xlBondYieldSensCustom(D58,E58,F58,G58,H58,I58,J58,B58,W58,$AM$2,$AN$2,$AO$2,$AP$2,$AQ$2,"y")</f>
        <v>#NUM!</v>
      </c>
      <c r="AI58" s="22" t="e">
        <f ca="1">IF(TRUE,_xll.xlShmInterpRateFwd("EONIA",_xll.xlDateSettle("target",$B$2,2),0,4,$F58),"")</f>
        <v>#NUM!</v>
      </c>
      <c r="AJ58" s="85" t="e">
        <f t="shared" ca="1" si="7"/>
        <v>#NUM!</v>
      </c>
    </row>
    <row r="59" spans="1:36" ht="15.75" x14ac:dyDescent="0.25">
      <c r="A59" s="2"/>
      <c r="B59" s="19" t="e">
        <f>MAX(_xll.xlBondValueDate(D59,$B$2),I59)</f>
        <v>#NUM!</v>
      </c>
      <c r="C59" s="20" t="e">
        <v>#N/A</v>
      </c>
      <c r="D59" s="86" t="e">
        <f t="array" ref="D59:N59">_xll.BondInfo(C59,$D$5:$N$5)</f>
        <v>#VALUE!</v>
      </c>
      <c r="E59" s="20" t="e">
        <v>#VALUE!</v>
      </c>
      <c r="F59" s="87" t="e">
        <v>#VALUE!</v>
      </c>
      <c r="G59" s="19" t="e">
        <v>#VALUE!</v>
      </c>
      <c r="H59" s="19" t="e">
        <v>#VALUE!</v>
      </c>
      <c r="I59" s="19" t="e">
        <v>#VALUE!</v>
      </c>
      <c r="J59" s="20" t="e">
        <v>#VALUE!</v>
      </c>
      <c r="K59" s="20" t="e">
        <v>#VALUE!</v>
      </c>
      <c r="L59" s="20" t="e">
        <v>#VALUE!</v>
      </c>
      <c r="M59" s="20" t="e">
        <v>#VALUE!</v>
      </c>
      <c r="N59" s="20" t="e">
        <v>#VALUE!</v>
      </c>
      <c r="O59" s="21" t="e">
        <f>_xll.BondOutstanding(C59)</f>
        <v>#VALUE!</v>
      </c>
      <c r="P59" s="25" t="e">
        <f>_xll.xlBondYieldSensCustom(D59,E59,F59,G59,H59,I59,J59,B59,Q59,$AM$2,$AN$2,$AO$2,$AP$2,$AQ$2,"y")</f>
        <v>#NUM!</v>
      </c>
      <c r="Q59" s="26" t="e">
        <f>_xll.RtGet("IDN",$K59,IF(OR($D59="BTP,$E11=""CTZ"),Q$5,Q$4))</f>
        <v>#VALUE!</v>
      </c>
      <c r="R59" s="27" t="e">
        <f>_xll.RtGet("IDN",$K59,IF(OR($D59="BTP,$E11=""CTZ"),R$5,R$4))</f>
        <v>#VALUE!</v>
      </c>
      <c r="S59" s="28" t="e">
        <f>_xll.xlBondYieldSensCustom(D59,E59,F59,G59,H59,I59,J59,B59,R59,$AM$2,$AN$2,$AO$2,$AP$2,$AQ$2,"y")</f>
        <v>#NUM!</v>
      </c>
      <c r="T59" s="23" t="e">
        <f t="shared" si="4"/>
        <v>#VALUE!</v>
      </c>
      <c r="U59" s="83" t="e">
        <f>_xll.xlBondYieldSensCustom(D59,E59,F59,G59,H59,I59,J59,B59,T59,$AM$2,$AN$2,$AO$2,$AP$2,$AQ$2,"y")</f>
        <v>#NUM!</v>
      </c>
      <c r="V59" s="23"/>
      <c r="W59" s="23" t="e">
        <f t="shared" si="5"/>
        <v>#VALUE!</v>
      </c>
      <c r="X59" s="22"/>
      <c r="Y59" s="22" t="e">
        <f t="shared" si="6"/>
        <v>#NUM!</v>
      </c>
      <c r="Z59" s="23" t="e">
        <f>_xll.xlBondPriceCustom(D59,E59,F59,G59,H59,I59,J59,B59,Y59,$AM$2,$AN$2,$AO$2,$AP$2,$AQ$2)</f>
        <v>#NUM!</v>
      </c>
      <c r="AA59" s="20" t="e">
        <f t="array" ref="AA59:AG59">_xll.xlBondYieldSens(D59,E59,F59,G59,H59,I59,J59,B59,W59,$AA$5&amp;$AB$5&amp;$AC$5&amp;$AD$5&amp;$AE$5&amp;$AF$5&amp;$AG$5)</f>
        <v>#NUM!</v>
      </c>
      <c r="AB59" s="20" t="e">
        <v>#NUM!</v>
      </c>
      <c r="AC59" s="20" t="e">
        <v>#NUM!</v>
      </c>
      <c r="AD59" s="20" t="e">
        <v>#NUM!</v>
      </c>
      <c r="AE59" s="20" t="e">
        <v>#NUM!</v>
      </c>
      <c r="AF59" s="20" t="e">
        <v>#NUM!</v>
      </c>
      <c r="AG59" s="24" t="e">
        <v>#NUM!</v>
      </c>
      <c r="AH59" s="22" t="e">
        <f>_xll.xlBondYieldSensCustom(D59,E59,F59,G59,H59,I59,J59,B59,W59,$AM$2,$AN$2,$AO$2,$AP$2,$AQ$2,"y")</f>
        <v>#NUM!</v>
      </c>
      <c r="AI59" s="22" t="e">
        <f ca="1">IF(TRUE,_xll.xlShmInterpRateFwd("EONIA",_xll.xlDateSettle("target",$B$2,2),0,4,$F59),"")</f>
        <v>#NUM!</v>
      </c>
      <c r="AJ59" s="85" t="e">
        <f t="shared" ca="1" si="7"/>
        <v>#NUM!</v>
      </c>
    </row>
    <row r="60" spans="1:36" ht="15.75" x14ac:dyDescent="0.25">
      <c r="A60" s="2"/>
      <c r="B60" s="19" t="e">
        <f>MAX(_xll.xlBondValueDate(D60,$B$2),I60)</f>
        <v>#NUM!</v>
      </c>
      <c r="C60" s="20" t="e">
        <v>#N/A</v>
      </c>
      <c r="D60" s="86" t="e">
        <f t="array" ref="D60:N60">_xll.BondInfo(C60,$D$5:$N$5)</f>
        <v>#VALUE!</v>
      </c>
      <c r="E60" s="20" t="e">
        <v>#VALUE!</v>
      </c>
      <c r="F60" s="87" t="e">
        <v>#VALUE!</v>
      </c>
      <c r="G60" s="19" t="e">
        <v>#VALUE!</v>
      </c>
      <c r="H60" s="19" t="e">
        <v>#VALUE!</v>
      </c>
      <c r="I60" s="19" t="e">
        <v>#VALUE!</v>
      </c>
      <c r="J60" s="20" t="e">
        <v>#VALUE!</v>
      </c>
      <c r="K60" s="20" t="e">
        <v>#VALUE!</v>
      </c>
      <c r="L60" s="20" t="e">
        <v>#VALUE!</v>
      </c>
      <c r="M60" s="20" t="e">
        <v>#VALUE!</v>
      </c>
      <c r="N60" s="20" t="e">
        <v>#VALUE!</v>
      </c>
      <c r="O60" s="21" t="e">
        <f>_xll.BondOutstanding(C60)</f>
        <v>#VALUE!</v>
      </c>
      <c r="P60" s="25" t="e">
        <f>_xll.xlBondYieldSensCustom(D60,E60,F60,G60,H60,I60,J60,B60,Q60,$AM$2,$AN$2,$AO$2,$AP$2,$AQ$2,"y")</f>
        <v>#NUM!</v>
      </c>
      <c r="Q60" s="26" t="e">
        <f>_xll.RtGet("IDN",$K60,IF(OR($D60="BTP,$E11=""CTZ"),Q$5,Q$4))</f>
        <v>#VALUE!</v>
      </c>
      <c r="R60" s="27" t="e">
        <f>_xll.RtGet("IDN",$K60,IF(OR($D60="BTP,$E11=""CTZ"),R$5,R$4))</f>
        <v>#VALUE!</v>
      </c>
      <c r="S60" s="28" t="e">
        <f>_xll.xlBondYieldSensCustom(D60,E60,F60,G60,H60,I60,J60,B60,R60,$AM$2,$AN$2,$AO$2,$AP$2,$AQ$2,"y")</f>
        <v>#NUM!</v>
      </c>
      <c r="T60" s="23" t="e">
        <f t="shared" si="4"/>
        <v>#VALUE!</v>
      </c>
      <c r="U60" s="83" t="e">
        <f>_xll.xlBondYieldSensCustom(D60,E60,F60,G60,H60,I60,J60,B60,T60,$AM$2,$AN$2,$AO$2,$AP$2,$AQ$2,"y")</f>
        <v>#NUM!</v>
      </c>
      <c r="V60" s="23"/>
      <c r="W60" s="23" t="e">
        <f t="shared" si="5"/>
        <v>#VALUE!</v>
      </c>
      <c r="X60" s="22"/>
      <c r="Y60" s="22" t="e">
        <f t="shared" si="6"/>
        <v>#NUM!</v>
      </c>
      <c r="Z60" s="23" t="e">
        <f>_xll.xlBondPriceCustom(D60,E60,F60,G60,H60,I60,J60,B60,Y60,$AM$2,$AN$2,$AO$2,$AP$2,$AQ$2)</f>
        <v>#NUM!</v>
      </c>
      <c r="AA60" s="20" t="e">
        <f t="array" ref="AA60:AG60">_xll.xlBondYieldSens(D60,E60,F60,G60,H60,I60,J60,B60,W60,$AA$5&amp;$AB$5&amp;$AC$5&amp;$AD$5&amp;$AE$5&amp;$AF$5&amp;$AG$5)</f>
        <v>#NUM!</v>
      </c>
      <c r="AB60" s="20" t="e">
        <v>#NUM!</v>
      </c>
      <c r="AC60" s="20" t="e">
        <v>#NUM!</v>
      </c>
      <c r="AD60" s="20" t="e">
        <v>#NUM!</v>
      </c>
      <c r="AE60" s="20" t="e">
        <v>#NUM!</v>
      </c>
      <c r="AF60" s="20" t="e">
        <v>#NUM!</v>
      </c>
      <c r="AG60" s="24" t="e">
        <v>#NUM!</v>
      </c>
      <c r="AH60" s="22" t="e">
        <f>_xll.xlBondYieldSensCustom(D60,E60,F60,G60,H60,I60,J60,B60,W60,$AM$2,$AN$2,$AO$2,$AP$2,$AQ$2,"y")</f>
        <v>#NUM!</v>
      </c>
      <c r="AI60" s="22" t="e">
        <f ca="1">IF(TRUE,_xll.xlShmInterpRateFwd("EONIA",_xll.xlDateSettle("target",$B$2,2),0,4,$F60),"")</f>
        <v>#NUM!</v>
      </c>
      <c r="AJ60" s="85" t="e">
        <f t="shared" ca="1" si="7"/>
        <v>#NUM!</v>
      </c>
    </row>
    <row r="61" spans="1:36" ht="15.75" x14ac:dyDescent="0.25">
      <c r="A61" s="2"/>
      <c r="B61" s="19" t="e">
        <f>MAX(_xll.xlBondValueDate(D61,$B$2),I61)</f>
        <v>#NUM!</v>
      </c>
      <c r="C61" s="20" t="e">
        <v>#N/A</v>
      </c>
      <c r="D61" s="86" t="e">
        <f t="array" ref="D61:N61">_xll.BondInfo(C61,$D$5:$N$5)</f>
        <v>#VALUE!</v>
      </c>
      <c r="E61" s="20" t="e">
        <v>#VALUE!</v>
      </c>
      <c r="F61" s="87" t="e">
        <v>#VALUE!</v>
      </c>
      <c r="G61" s="19" t="e">
        <v>#VALUE!</v>
      </c>
      <c r="H61" s="19" t="e">
        <v>#VALUE!</v>
      </c>
      <c r="I61" s="19" t="e">
        <v>#VALUE!</v>
      </c>
      <c r="J61" s="20" t="e">
        <v>#VALUE!</v>
      </c>
      <c r="K61" s="20" t="e">
        <v>#VALUE!</v>
      </c>
      <c r="L61" s="20" t="e">
        <v>#VALUE!</v>
      </c>
      <c r="M61" s="20" t="e">
        <v>#VALUE!</v>
      </c>
      <c r="N61" s="20" t="e">
        <v>#VALUE!</v>
      </c>
      <c r="O61" s="21" t="e">
        <f>_xll.BondOutstanding(C61)</f>
        <v>#VALUE!</v>
      </c>
      <c r="P61" s="25" t="e">
        <f>_xll.xlBondYieldSensCustom(D61,E61,F61,G61,H61,I61,J61,B61,Q61,$AM$2,$AN$2,$AO$2,$AP$2,$AQ$2,"y")</f>
        <v>#NUM!</v>
      </c>
      <c r="Q61" s="26" t="e">
        <f>_xll.RtGet("IDN",$K61,IF(OR($D61="BTP,$E11=""CTZ"),Q$5,Q$4))</f>
        <v>#VALUE!</v>
      </c>
      <c r="R61" s="27" t="e">
        <f>_xll.RtGet("IDN",$K61,IF(OR($D61="BTP,$E11=""CTZ"),R$5,R$4))</f>
        <v>#VALUE!</v>
      </c>
      <c r="S61" s="28" t="e">
        <f>_xll.xlBondYieldSensCustom(D61,E61,F61,G61,H61,I61,J61,B61,R61,$AM$2,$AN$2,$AO$2,$AP$2,$AQ$2,"y")</f>
        <v>#NUM!</v>
      </c>
      <c r="T61" s="23" t="e">
        <f t="shared" si="4"/>
        <v>#VALUE!</v>
      </c>
      <c r="U61" s="83" t="e">
        <f>_xll.xlBondYieldSensCustom(D61,E61,F61,G61,H61,I61,J61,B61,T61,$AM$2,$AN$2,$AO$2,$AP$2,$AQ$2,"y")</f>
        <v>#NUM!</v>
      </c>
      <c r="V61" s="23"/>
      <c r="W61" s="23" t="e">
        <f t="shared" si="5"/>
        <v>#VALUE!</v>
      </c>
      <c r="X61" s="22"/>
      <c r="Y61" s="22" t="e">
        <f t="shared" si="6"/>
        <v>#NUM!</v>
      </c>
      <c r="Z61" s="23" t="e">
        <f>_xll.xlBondPriceCustom(D61,E61,F61,G61,H61,I61,J61,B61,Y61,$AM$2,$AN$2,$AO$2,$AP$2,$AQ$2)</f>
        <v>#NUM!</v>
      </c>
      <c r="AA61" s="20" t="e">
        <f t="array" ref="AA61:AG61">_xll.xlBondYieldSens(D61,E61,F61,G61,H61,I61,J61,B61,W61,$AA$5&amp;$AB$5&amp;$AC$5&amp;$AD$5&amp;$AE$5&amp;$AF$5&amp;$AG$5)</f>
        <v>#NUM!</v>
      </c>
      <c r="AB61" s="20" t="e">
        <v>#NUM!</v>
      </c>
      <c r="AC61" s="20" t="e">
        <v>#NUM!</v>
      </c>
      <c r="AD61" s="20" t="e">
        <v>#NUM!</v>
      </c>
      <c r="AE61" s="20" t="e">
        <v>#NUM!</v>
      </c>
      <c r="AF61" s="20" t="e">
        <v>#NUM!</v>
      </c>
      <c r="AG61" s="24" t="e">
        <v>#NUM!</v>
      </c>
      <c r="AH61" s="22" t="e">
        <f>_xll.xlBondYieldSensCustom(D61,E61,F61,G61,H61,I61,J61,B61,W61,$AM$2,$AN$2,$AO$2,$AP$2,$AQ$2,"y")</f>
        <v>#NUM!</v>
      </c>
      <c r="AI61" s="22" t="e">
        <f ca="1">IF(TRUE,_xll.xlShmInterpRateFwd("EONIA",_xll.xlDateSettle("target",$B$2,2),0,4,$F61),"")</f>
        <v>#NUM!</v>
      </c>
      <c r="AJ61" s="85" t="e">
        <f t="shared" ca="1" si="7"/>
        <v>#NUM!</v>
      </c>
    </row>
    <row r="62" spans="1:36" ht="15.75" x14ac:dyDescent="0.25">
      <c r="A62" s="2"/>
      <c r="B62" s="19" t="e">
        <f>MAX(_xll.xlBondValueDate(D62,$B$2),I62)</f>
        <v>#NUM!</v>
      </c>
      <c r="C62" s="20" t="e">
        <v>#N/A</v>
      </c>
      <c r="D62" s="86" t="e">
        <f t="array" ref="D62:N62">_xll.BondInfo(C62,$D$5:$N$5)</f>
        <v>#VALUE!</v>
      </c>
      <c r="E62" s="20" t="e">
        <v>#VALUE!</v>
      </c>
      <c r="F62" s="87" t="e">
        <v>#VALUE!</v>
      </c>
      <c r="G62" s="19" t="e">
        <v>#VALUE!</v>
      </c>
      <c r="H62" s="19" t="e">
        <v>#VALUE!</v>
      </c>
      <c r="I62" s="19" t="e">
        <v>#VALUE!</v>
      </c>
      <c r="J62" s="20" t="e">
        <v>#VALUE!</v>
      </c>
      <c r="K62" s="20" t="e">
        <v>#VALUE!</v>
      </c>
      <c r="L62" s="20" t="e">
        <v>#VALUE!</v>
      </c>
      <c r="M62" s="20" t="e">
        <v>#VALUE!</v>
      </c>
      <c r="N62" s="20" t="e">
        <v>#VALUE!</v>
      </c>
      <c r="O62" s="21" t="e">
        <f>_xll.BondOutstanding(C62)</f>
        <v>#VALUE!</v>
      </c>
      <c r="P62" s="25" t="e">
        <f>_xll.xlBondYieldSensCustom(D62,E62,F62,G62,H62,I62,J62,B62,Q62,$AM$2,$AN$2,$AO$2,$AP$2,$AQ$2,"y")</f>
        <v>#NUM!</v>
      </c>
      <c r="Q62" s="26" t="e">
        <f>_xll.RtGet("IDN",$K62,IF(OR($D62="BTP,$E11=""CTZ"),Q$5,Q$4))</f>
        <v>#VALUE!</v>
      </c>
      <c r="R62" s="27" t="e">
        <f>_xll.RtGet("IDN",$K62,IF(OR($D62="BTP,$E11=""CTZ"),R$5,R$4))</f>
        <v>#VALUE!</v>
      </c>
      <c r="S62" s="28" t="e">
        <f>_xll.xlBondYieldSensCustom(D62,E62,F62,G62,H62,I62,J62,B62,R62,$AM$2,$AN$2,$AO$2,$AP$2,$AQ$2,"y")</f>
        <v>#NUM!</v>
      </c>
      <c r="T62" s="23" t="e">
        <f t="shared" si="4"/>
        <v>#VALUE!</v>
      </c>
      <c r="U62" s="83" t="e">
        <f>_xll.xlBondYieldSensCustom(D62,E62,F62,G62,H62,I62,J62,B62,T62,$AM$2,$AN$2,$AO$2,$AP$2,$AQ$2,"y")</f>
        <v>#NUM!</v>
      </c>
      <c r="V62" s="23"/>
      <c r="W62" s="23" t="e">
        <f t="shared" si="5"/>
        <v>#VALUE!</v>
      </c>
      <c r="X62" s="22"/>
      <c r="Y62" s="22" t="e">
        <f t="shared" si="6"/>
        <v>#NUM!</v>
      </c>
      <c r="Z62" s="23" t="e">
        <f>_xll.xlBondPriceCustom(D62,E62,F62,G62,H62,I62,J62,B62,Y62,$AM$2,$AN$2,$AO$2,$AP$2,$AQ$2)</f>
        <v>#NUM!</v>
      </c>
      <c r="AA62" s="20" t="e">
        <f t="array" ref="AA62:AG62">_xll.xlBondYieldSens(D62,E62,F62,G62,H62,I62,J62,B62,W62,$AA$5&amp;$AB$5&amp;$AC$5&amp;$AD$5&amp;$AE$5&amp;$AF$5&amp;$AG$5)</f>
        <v>#NUM!</v>
      </c>
      <c r="AB62" s="20" t="e">
        <v>#NUM!</v>
      </c>
      <c r="AC62" s="20" t="e">
        <v>#NUM!</v>
      </c>
      <c r="AD62" s="20" t="e">
        <v>#NUM!</v>
      </c>
      <c r="AE62" s="20" t="e">
        <v>#NUM!</v>
      </c>
      <c r="AF62" s="20" t="e">
        <v>#NUM!</v>
      </c>
      <c r="AG62" s="24" t="e">
        <v>#NUM!</v>
      </c>
      <c r="AH62" s="22" t="e">
        <f>_xll.xlBondYieldSensCustom(D62,E62,F62,G62,H62,I62,J62,B62,W62,$AM$2,$AN$2,$AO$2,$AP$2,$AQ$2,"y")</f>
        <v>#NUM!</v>
      </c>
      <c r="AI62" s="22" t="e">
        <f ca="1">IF(TRUE,_xll.xlShmInterpRateFwd("EONIA",_xll.xlDateSettle("target",$B$2,2),0,4,$F62),"")</f>
        <v>#NUM!</v>
      </c>
      <c r="AJ62" s="85" t="e">
        <f t="shared" ca="1" si="7"/>
        <v>#NUM!</v>
      </c>
    </row>
    <row r="63" spans="1:36" ht="15.75" x14ac:dyDescent="0.25">
      <c r="A63" s="2"/>
      <c r="B63" s="19" t="e">
        <f>MAX(_xll.xlBondValueDate(D63,$B$2),I63)</f>
        <v>#NUM!</v>
      </c>
      <c r="C63" s="20" t="e">
        <v>#N/A</v>
      </c>
      <c r="D63" s="86" t="e">
        <f t="array" ref="D63:N63">_xll.BondInfo(C63,$D$5:$N$5)</f>
        <v>#VALUE!</v>
      </c>
      <c r="E63" s="20" t="e">
        <v>#VALUE!</v>
      </c>
      <c r="F63" s="87" t="e">
        <v>#VALUE!</v>
      </c>
      <c r="G63" s="19" t="e">
        <v>#VALUE!</v>
      </c>
      <c r="H63" s="19" t="e">
        <v>#VALUE!</v>
      </c>
      <c r="I63" s="19" t="e">
        <v>#VALUE!</v>
      </c>
      <c r="J63" s="20" t="e">
        <v>#VALUE!</v>
      </c>
      <c r="K63" s="20" t="e">
        <v>#VALUE!</v>
      </c>
      <c r="L63" s="20" t="e">
        <v>#VALUE!</v>
      </c>
      <c r="M63" s="20" t="e">
        <v>#VALUE!</v>
      </c>
      <c r="N63" s="20" t="e">
        <v>#VALUE!</v>
      </c>
      <c r="O63" s="21" t="e">
        <f>_xll.BondOutstanding(C63)</f>
        <v>#VALUE!</v>
      </c>
      <c r="P63" s="25" t="e">
        <f>_xll.xlBondYieldSensCustom(D63,E63,F63,G63,H63,I63,J63,B63,Q63,$AM$2,$AN$2,$AO$2,$AP$2,$AQ$2,"y")</f>
        <v>#NUM!</v>
      </c>
      <c r="Q63" s="26" t="e">
        <f>_xll.RtGet("IDN",$K63,IF(OR($D63="BTP,$E11=""CTZ"),Q$5,Q$4))</f>
        <v>#VALUE!</v>
      </c>
      <c r="R63" s="27" t="e">
        <f>_xll.RtGet("IDN",$K63,IF(OR($D63="BTP,$E11=""CTZ"),R$5,R$4))</f>
        <v>#VALUE!</v>
      </c>
      <c r="S63" s="28" t="e">
        <f>_xll.xlBondYieldSensCustom(D63,E63,F63,G63,H63,I63,J63,B63,R63,$AM$2,$AN$2,$AO$2,$AP$2,$AQ$2,"y")</f>
        <v>#NUM!</v>
      </c>
      <c r="T63" s="23" t="e">
        <f t="shared" si="4"/>
        <v>#VALUE!</v>
      </c>
      <c r="U63" s="83" t="e">
        <f>_xll.xlBondYieldSensCustom(D63,E63,F63,G63,H63,I63,J63,B63,T63,$AM$2,$AN$2,$AO$2,$AP$2,$AQ$2,"y")</f>
        <v>#NUM!</v>
      </c>
      <c r="V63" s="23"/>
      <c r="W63" s="23" t="e">
        <f t="shared" si="5"/>
        <v>#VALUE!</v>
      </c>
      <c r="X63" s="22"/>
      <c r="Y63" s="22" t="e">
        <f t="shared" si="6"/>
        <v>#NUM!</v>
      </c>
      <c r="Z63" s="23" t="e">
        <f>_xll.xlBondPriceCustom(D63,E63,F63,G63,H63,I63,J63,B63,Y63,$AM$2,$AN$2,$AO$2,$AP$2,$AQ$2)</f>
        <v>#NUM!</v>
      </c>
      <c r="AA63" s="20" t="e">
        <f t="array" ref="AA63:AG63">_xll.xlBondYieldSens(D63,E63,F63,G63,H63,I63,J63,B63,W63,$AA$5&amp;$AB$5&amp;$AC$5&amp;$AD$5&amp;$AE$5&amp;$AF$5&amp;$AG$5)</f>
        <v>#NUM!</v>
      </c>
      <c r="AB63" s="20" t="e">
        <v>#NUM!</v>
      </c>
      <c r="AC63" s="20" t="e">
        <v>#NUM!</v>
      </c>
      <c r="AD63" s="20" t="e">
        <v>#NUM!</v>
      </c>
      <c r="AE63" s="20" t="e">
        <v>#NUM!</v>
      </c>
      <c r="AF63" s="20" t="e">
        <v>#NUM!</v>
      </c>
      <c r="AG63" s="24" t="e">
        <v>#NUM!</v>
      </c>
      <c r="AH63" s="22" t="e">
        <f>_xll.xlBondYieldSensCustom(D63,E63,F63,G63,H63,I63,J63,B63,W63,$AM$2,$AN$2,$AO$2,$AP$2,$AQ$2,"y")</f>
        <v>#NUM!</v>
      </c>
      <c r="AI63" s="22" t="e">
        <f ca="1">IF(TRUE,_xll.xlShmInterpRateFwd("EONIA",_xll.xlDateSettle("target",$B$2,2),0,4,$F63),"")</f>
        <v>#NUM!</v>
      </c>
      <c r="AJ63" s="85" t="e">
        <f t="shared" ca="1" si="7"/>
        <v>#NUM!</v>
      </c>
    </row>
    <row r="64" spans="1:36" ht="15.75" x14ac:dyDescent="0.25">
      <c r="A64" s="2"/>
      <c r="B64" s="19" t="e">
        <f>MAX(_xll.xlBondValueDate(D64,$B$2),I64)</f>
        <v>#NUM!</v>
      </c>
      <c r="C64" s="20" t="e">
        <v>#N/A</v>
      </c>
      <c r="D64" s="86" t="e">
        <f t="array" ref="D64:N64">_xll.BondInfo(C64,$D$5:$N$5)</f>
        <v>#VALUE!</v>
      </c>
      <c r="E64" s="20" t="e">
        <v>#VALUE!</v>
      </c>
      <c r="F64" s="87" t="e">
        <v>#VALUE!</v>
      </c>
      <c r="G64" s="19" t="e">
        <v>#VALUE!</v>
      </c>
      <c r="H64" s="19" t="e">
        <v>#VALUE!</v>
      </c>
      <c r="I64" s="19" t="e">
        <v>#VALUE!</v>
      </c>
      <c r="J64" s="20" t="e">
        <v>#VALUE!</v>
      </c>
      <c r="K64" s="20" t="e">
        <v>#VALUE!</v>
      </c>
      <c r="L64" s="20" t="e">
        <v>#VALUE!</v>
      </c>
      <c r="M64" s="20" t="e">
        <v>#VALUE!</v>
      </c>
      <c r="N64" s="20" t="e">
        <v>#VALUE!</v>
      </c>
      <c r="O64" s="21" t="e">
        <f>_xll.BondOutstanding(C64)</f>
        <v>#VALUE!</v>
      </c>
      <c r="P64" s="25" t="e">
        <f>_xll.xlBondYieldSensCustom(D64,E64,F64,G64,H64,I64,J64,B64,Q64,$AM$2,$AN$2,$AO$2,$AP$2,$AQ$2,"y")</f>
        <v>#NUM!</v>
      </c>
      <c r="Q64" s="26" t="e">
        <f>_xll.RtGet("IDN",$K64,IF(OR($D64="BTP,$E11=""CTZ"),Q$5,Q$4))</f>
        <v>#VALUE!</v>
      </c>
      <c r="R64" s="27" t="e">
        <f>_xll.RtGet("IDN",$K64,IF(OR($D64="BTP,$E11=""CTZ"),R$5,R$4))</f>
        <v>#VALUE!</v>
      </c>
      <c r="S64" s="28" t="e">
        <f>_xll.xlBondYieldSensCustom(D64,E64,F64,G64,H64,I64,J64,B64,R64,$AM$2,$AN$2,$AO$2,$AP$2,$AQ$2,"y")</f>
        <v>#NUM!</v>
      </c>
      <c r="T64" s="23" t="e">
        <f t="shared" si="4"/>
        <v>#VALUE!</v>
      </c>
      <c r="U64" s="83" t="e">
        <f>_xll.xlBondYieldSensCustom(D64,E64,F64,G64,H64,I64,J64,B64,T64,$AM$2,$AN$2,$AO$2,$AP$2,$AQ$2,"y")</f>
        <v>#NUM!</v>
      </c>
      <c r="V64" s="23"/>
      <c r="W64" s="23" t="e">
        <f t="shared" si="5"/>
        <v>#VALUE!</v>
      </c>
      <c r="X64" s="22"/>
      <c r="Y64" s="22" t="e">
        <f t="shared" si="6"/>
        <v>#NUM!</v>
      </c>
      <c r="Z64" s="23" t="e">
        <f>_xll.xlBondPriceCustom(D64,E64,F64,G64,H64,I64,J64,B64,Y64,$AM$2,$AN$2,$AO$2,$AP$2,$AQ$2)</f>
        <v>#NUM!</v>
      </c>
      <c r="AA64" s="20" t="e">
        <f t="array" ref="AA64:AG64">_xll.xlBondYieldSens(D64,E64,F64,G64,H64,I64,J64,B64,W64,$AA$5&amp;$AB$5&amp;$AC$5&amp;$AD$5&amp;$AE$5&amp;$AF$5&amp;$AG$5)</f>
        <v>#NUM!</v>
      </c>
      <c r="AB64" s="20" t="e">
        <v>#NUM!</v>
      </c>
      <c r="AC64" s="20" t="e">
        <v>#NUM!</v>
      </c>
      <c r="AD64" s="20" t="e">
        <v>#NUM!</v>
      </c>
      <c r="AE64" s="20" t="e">
        <v>#NUM!</v>
      </c>
      <c r="AF64" s="20" t="e">
        <v>#NUM!</v>
      </c>
      <c r="AG64" s="24" t="e">
        <v>#NUM!</v>
      </c>
      <c r="AH64" s="22" t="e">
        <f>_xll.xlBondYieldSensCustom(D64,E64,F64,G64,H64,I64,J64,B64,W64,$AM$2,$AN$2,$AO$2,$AP$2,$AQ$2,"y")</f>
        <v>#NUM!</v>
      </c>
      <c r="AI64" s="22" t="e">
        <f ca="1">IF(TRUE,_xll.xlShmInterpRateFwd("EONIA",_xll.xlDateSettle("target",$B$2,2),0,4,$F64),"")</f>
        <v>#NUM!</v>
      </c>
      <c r="AJ64" s="85" t="e">
        <f t="shared" ca="1" si="7"/>
        <v>#NUM!</v>
      </c>
    </row>
    <row r="65" spans="1:36" ht="15.75" x14ac:dyDescent="0.25">
      <c r="A65" s="2"/>
      <c r="B65" s="19" t="e">
        <f>MAX(_xll.xlBondValueDate(D65,$B$2),I65)</f>
        <v>#NUM!</v>
      </c>
      <c r="C65" s="20" t="e">
        <v>#N/A</v>
      </c>
      <c r="D65" s="86" t="e">
        <f t="array" ref="D65:N65">_xll.BondInfo(C65,$D$5:$N$5)</f>
        <v>#VALUE!</v>
      </c>
      <c r="E65" s="20" t="e">
        <v>#VALUE!</v>
      </c>
      <c r="F65" s="87" t="e">
        <v>#VALUE!</v>
      </c>
      <c r="G65" s="19" t="e">
        <v>#VALUE!</v>
      </c>
      <c r="H65" s="19" t="e">
        <v>#VALUE!</v>
      </c>
      <c r="I65" s="19" t="e">
        <v>#VALUE!</v>
      </c>
      <c r="J65" s="20" t="e">
        <v>#VALUE!</v>
      </c>
      <c r="K65" s="20" t="e">
        <v>#VALUE!</v>
      </c>
      <c r="L65" s="20" t="e">
        <v>#VALUE!</v>
      </c>
      <c r="M65" s="20" t="e">
        <v>#VALUE!</v>
      </c>
      <c r="N65" s="20" t="e">
        <v>#VALUE!</v>
      </c>
      <c r="O65" s="21" t="e">
        <f>_xll.BondOutstanding(C65)</f>
        <v>#VALUE!</v>
      </c>
      <c r="P65" s="25" t="e">
        <f>_xll.xlBondYieldSensCustom(D65,E65,F65,G65,H65,I65,J65,B65,Q65,$AM$2,$AN$2,$AO$2,$AP$2,$AQ$2,"y")</f>
        <v>#NUM!</v>
      </c>
      <c r="Q65" s="26" t="e">
        <f>_xll.RtGet("IDN",$K65,IF(OR($D65="BTP,$E11=""CTZ"),Q$5,Q$4))</f>
        <v>#VALUE!</v>
      </c>
      <c r="R65" s="27" t="e">
        <f>_xll.RtGet("IDN",$K65,IF(OR($D65="BTP,$E11=""CTZ"),R$5,R$4))</f>
        <v>#VALUE!</v>
      </c>
      <c r="S65" s="28" t="e">
        <f>_xll.xlBondYieldSensCustom(D65,E65,F65,G65,H65,I65,J65,B65,R65,$AM$2,$AN$2,$AO$2,$AP$2,$AQ$2,"y")</f>
        <v>#NUM!</v>
      </c>
      <c r="T65" s="23" t="e">
        <f t="shared" si="4"/>
        <v>#VALUE!</v>
      </c>
      <c r="U65" s="83" t="e">
        <f>_xll.xlBondYieldSensCustom(D65,E65,F65,G65,H65,I65,J65,B65,T65,$AM$2,$AN$2,$AO$2,$AP$2,$AQ$2,"y")</f>
        <v>#NUM!</v>
      </c>
      <c r="V65" s="23"/>
      <c r="W65" s="23" t="e">
        <f t="shared" si="5"/>
        <v>#VALUE!</v>
      </c>
      <c r="X65" s="22"/>
      <c r="Y65" s="22" t="e">
        <f t="shared" si="6"/>
        <v>#NUM!</v>
      </c>
      <c r="Z65" s="23" t="e">
        <f>_xll.xlBondPriceCustom(D65,E65,F65,G65,H65,I65,J65,B65,Y65,$AM$2,$AN$2,$AO$2,$AP$2,$AQ$2)</f>
        <v>#NUM!</v>
      </c>
      <c r="AA65" s="20" t="e">
        <f t="array" ref="AA65:AG65">_xll.xlBondYieldSens(D65,E65,F65,G65,H65,I65,J65,B65,W65,$AA$5&amp;$AB$5&amp;$AC$5&amp;$AD$5&amp;$AE$5&amp;$AF$5&amp;$AG$5)</f>
        <v>#NUM!</v>
      </c>
      <c r="AB65" s="20" t="e">
        <v>#NUM!</v>
      </c>
      <c r="AC65" s="20" t="e">
        <v>#NUM!</v>
      </c>
      <c r="AD65" s="20" t="e">
        <v>#NUM!</v>
      </c>
      <c r="AE65" s="20" t="e">
        <v>#NUM!</v>
      </c>
      <c r="AF65" s="20" t="e">
        <v>#NUM!</v>
      </c>
      <c r="AG65" s="24" t="e">
        <v>#NUM!</v>
      </c>
      <c r="AH65" s="22" t="e">
        <f>_xll.xlBondYieldSensCustom(D65,E65,F65,G65,H65,I65,J65,B65,W65,$AM$2,$AN$2,$AO$2,$AP$2,$AQ$2,"y")</f>
        <v>#NUM!</v>
      </c>
      <c r="AI65" s="22" t="e">
        <f ca="1">IF(TRUE,_xll.xlShmInterpRateFwd("EONIA",_xll.xlDateSettle("target",$B$2,2),0,4,$F65),"")</f>
        <v>#NUM!</v>
      </c>
      <c r="AJ65" s="85" t="e">
        <f t="shared" ca="1" si="7"/>
        <v>#NUM!</v>
      </c>
    </row>
    <row r="66" spans="1:36" ht="15.75" x14ac:dyDescent="0.25">
      <c r="A66" s="2"/>
      <c r="B66" s="19" t="e">
        <f>MAX(_xll.xlBondValueDate(D66,$B$2),I66)</f>
        <v>#NUM!</v>
      </c>
      <c r="C66" s="20" t="e">
        <v>#N/A</v>
      </c>
      <c r="D66" s="86" t="e">
        <f t="array" ref="D66:N66">_xll.BondInfo(C66,$D$5:$N$5)</f>
        <v>#VALUE!</v>
      </c>
      <c r="E66" s="20" t="e">
        <v>#VALUE!</v>
      </c>
      <c r="F66" s="87" t="e">
        <v>#VALUE!</v>
      </c>
      <c r="G66" s="19" t="e">
        <v>#VALUE!</v>
      </c>
      <c r="H66" s="19" t="e">
        <v>#VALUE!</v>
      </c>
      <c r="I66" s="19" t="e">
        <v>#VALUE!</v>
      </c>
      <c r="J66" s="20" t="e">
        <v>#VALUE!</v>
      </c>
      <c r="K66" s="20" t="e">
        <v>#VALUE!</v>
      </c>
      <c r="L66" s="20" t="e">
        <v>#VALUE!</v>
      </c>
      <c r="M66" s="20" t="e">
        <v>#VALUE!</v>
      </c>
      <c r="N66" s="20" t="e">
        <v>#VALUE!</v>
      </c>
      <c r="O66" s="21" t="e">
        <f>_xll.BondOutstanding(C66)</f>
        <v>#VALUE!</v>
      </c>
      <c r="P66" s="25" t="e">
        <f>_xll.xlBondYieldSensCustom(D66,E66,F66,G66,H66,I66,J66,B66,Q66,$AM$2,$AN$2,$AO$2,$AP$2,$AQ$2,"y")</f>
        <v>#NUM!</v>
      </c>
      <c r="Q66" s="26" t="e">
        <f>_xll.RtGet("IDN",$K66,IF(OR($D66="BTP,$E11=""CTZ"),Q$5,Q$4))</f>
        <v>#VALUE!</v>
      </c>
      <c r="R66" s="27" t="e">
        <f>_xll.RtGet("IDN",$K66,IF(OR($D66="BTP,$E11=""CTZ"),R$5,R$4))</f>
        <v>#VALUE!</v>
      </c>
      <c r="S66" s="28" t="e">
        <f>_xll.xlBondYieldSensCustom(D66,E66,F66,G66,H66,I66,J66,B66,R66,$AM$2,$AN$2,$AO$2,$AP$2,$AQ$2,"y")</f>
        <v>#NUM!</v>
      </c>
      <c r="T66" s="23" t="e">
        <f t="shared" si="4"/>
        <v>#VALUE!</v>
      </c>
      <c r="U66" s="83" t="e">
        <f>_xll.xlBondYieldSensCustom(D66,E66,F66,G66,H66,I66,J66,B66,T66,$AM$2,$AN$2,$AO$2,$AP$2,$AQ$2,"y")</f>
        <v>#NUM!</v>
      </c>
      <c r="V66" s="23"/>
      <c r="W66" s="23" t="e">
        <f t="shared" si="5"/>
        <v>#VALUE!</v>
      </c>
      <c r="X66" s="22"/>
      <c r="Y66" s="22" t="e">
        <f t="shared" si="6"/>
        <v>#NUM!</v>
      </c>
      <c r="Z66" s="23" t="e">
        <f>_xll.xlBondPriceCustom(D66,E66,F66,G66,H66,I66,J66,B66,Y66,$AM$2,$AN$2,$AO$2,$AP$2,$AQ$2)</f>
        <v>#NUM!</v>
      </c>
      <c r="AA66" s="20" t="e">
        <f t="array" ref="AA66:AG66">_xll.xlBondYieldSens(D66,E66,F66,G66,H66,I66,J66,B66,W66,$AA$5&amp;$AB$5&amp;$AC$5&amp;$AD$5&amp;$AE$5&amp;$AF$5&amp;$AG$5)</f>
        <v>#NUM!</v>
      </c>
      <c r="AB66" s="20" t="e">
        <v>#NUM!</v>
      </c>
      <c r="AC66" s="20" t="e">
        <v>#NUM!</v>
      </c>
      <c r="AD66" s="20" t="e">
        <v>#NUM!</v>
      </c>
      <c r="AE66" s="20" t="e">
        <v>#NUM!</v>
      </c>
      <c r="AF66" s="20" t="e">
        <v>#NUM!</v>
      </c>
      <c r="AG66" s="24" t="e">
        <v>#NUM!</v>
      </c>
      <c r="AH66" s="22" t="e">
        <f>_xll.xlBondYieldSensCustom(D66,E66,F66,G66,H66,I66,J66,B66,W66,$AM$2,$AN$2,$AO$2,$AP$2,$AQ$2,"y")</f>
        <v>#NUM!</v>
      </c>
      <c r="AI66" s="22" t="e">
        <f ca="1">IF(TRUE,_xll.xlShmInterpRateFwd("EONIA",_xll.xlDateSettle("target",$B$2,2),0,4,$F66),"")</f>
        <v>#NUM!</v>
      </c>
      <c r="AJ66" s="85" t="e">
        <f t="shared" ca="1" si="7"/>
        <v>#NUM!</v>
      </c>
    </row>
    <row r="67" spans="1:36" ht="15.75" x14ac:dyDescent="0.25">
      <c r="A67" s="2"/>
      <c r="B67" s="19" t="e">
        <f>MAX(_xll.xlBondValueDate(D67,$B$2),I67)</f>
        <v>#NUM!</v>
      </c>
      <c r="C67" s="20" t="e">
        <v>#N/A</v>
      </c>
      <c r="D67" s="86" t="e">
        <f t="array" ref="D67:N67">_xll.BondInfo(C67,$D$5:$N$5)</f>
        <v>#VALUE!</v>
      </c>
      <c r="E67" s="20" t="e">
        <v>#VALUE!</v>
      </c>
      <c r="F67" s="87" t="e">
        <v>#VALUE!</v>
      </c>
      <c r="G67" s="19" t="e">
        <v>#VALUE!</v>
      </c>
      <c r="H67" s="19" t="e">
        <v>#VALUE!</v>
      </c>
      <c r="I67" s="19" t="e">
        <v>#VALUE!</v>
      </c>
      <c r="J67" s="20" t="e">
        <v>#VALUE!</v>
      </c>
      <c r="K67" s="20" t="e">
        <v>#VALUE!</v>
      </c>
      <c r="L67" s="20" t="e">
        <v>#VALUE!</v>
      </c>
      <c r="M67" s="20" t="e">
        <v>#VALUE!</v>
      </c>
      <c r="N67" s="20" t="e">
        <v>#VALUE!</v>
      </c>
      <c r="O67" s="21" t="e">
        <f>_xll.BondOutstanding(C67)</f>
        <v>#VALUE!</v>
      </c>
      <c r="P67" s="25" t="e">
        <f>_xll.xlBondYieldSensCustom(D67,E67,F67,G67,H67,I67,J67,B67,Q67,$AM$2,$AN$2,$AO$2,$AP$2,$AQ$2,"y")</f>
        <v>#NUM!</v>
      </c>
      <c r="Q67" s="26" t="e">
        <f>_xll.RtGet("IDN",$K67,IF(OR($D67="BTP,$E11=""CTZ"),Q$5,Q$4))</f>
        <v>#VALUE!</v>
      </c>
      <c r="R67" s="27" t="e">
        <f>_xll.RtGet("IDN",$K67,IF(OR($D67="BTP,$E11=""CTZ"),R$5,R$4))</f>
        <v>#VALUE!</v>
      </c>
      <c r="S67" s="28" t="e">
        <f>_xll.xlBondYieldSensCustom(D67,E67,F67,G67,H67,I67,J67,B67,R67,$AM$2,$AN$2,$AO$2,$AP$2,$AQ$2,"y")</f>
        <v>#NUM!</v>
      </c>
      <c r="T67" s="23" t="e">
        <f t="shared" si="4"/>
        <v>#VALUE!</v>
      </c>
      <c r="U67" s="83" t="e">
        <f>_xll.xlBondYieldSensCustom(D67,E67,F67,G67,H67,I67,J67,B67,T67,$AM$2,$AN$2,$AO$2,$AP$2,$AQ$2,"y")</f>
        <v>#NUM!</v>
      </c>
      <c r="V67" s="23"/>
      <c r="W67" s="23" t="e">
        <f t="shared" si="5"/>
        <v>#VALUE!</v>
      </c>
      <c r="X67" s="22"/>
      <c r="Y67" s="22" t="e">
        <f t="shared" si="6"/>
        <v>#NUM!</v>
      </c>
      <c r="Z67" s="23" t="e">
        <f>_xll.xlBondPriceCustom(D67,E67,F67,G67,H67,I67,J67,B67,Y67,$AM$2,$AN$2,$AO$2,$AP$2,$AQ$2)</f>
        <v>#NUM!</v>
      </c>
      <c r="AA67" s="20" t="e">
        <f t="array" ref="AA67:AG67">_xll.xlBondYieldSens(D67,E67,F67,G67,H67,I67,J67,B67,W67,$AA$5&amp;$AB$5&amp;$AC$5&amp;$AD$5&amp;$AE$5&amp;$AF$5&amp;$AG$5)</f>
        <v>#NUM!</v>
      </c>
      <c r="AB67" s="20" t="e">
        <v>#NUM!</v>
      </c>
      <c r="AC67" s="20" t="e">
        <v>#NUM!</v>
      </c>
      <c r="AD67" s="20" t="e">
        <v>#NUM!</v>
      </c>
      <c r="AE67" s="20" t="e">
        <v>#NUM!</v>
      </c>
      <c r="AF67" s="20" t="e">
        <v>#NUM!</v>
      </c>
      <c r="AG67" s="24" t="e">
        <v>#NUM!</v>
      </c>
      <c r="AH67" s="22" t="e">
        <f>_xll.xlBondYieldSensCustom(D67,E67,F67,G67,H67,I67,J67,B67,W67,$AM$2,$AN$2,$AO$2,$AP$2,$AQ$2,"y")</f>
        <v>#NUM!</v>
      </c>
      <c r="AI67" s="22" t="e">
        <f ca="1">IF(TRUE,_xll.xlShmInterpRateFwd("EONIA",_xll.xlDateSettle("target",$B$2,2),0,4,$F67),"")</f>
        <v>#NUM!</v>
      </c>
      <c r="AJ67" s="85" t="e">
        <f t="shared" ca="1" si="7"/>
        <v>#NUM!</v>
      </c>
    </row>
    <row r="68" spans="1:36" ht="15.75" x14ac:dyDescent="0.25">
      <c r="A68" s="2"/>
      <c r="B68" s="19" t="e">
        <f>MAX(_xll.xlBondValueDate(D68,$B$2),I68)</f>
        <v>#NUM!</v>
      </c>
      <c r="C68" s="20" t="e">
        <v>#N/A</v>
      </c>
      <c r="D68" s="86" t="e">
        <f t="array" ref="D68:N68">_xll.BondInfo(C68,$D$5:$N$5)</f>
        <v>#VALUE!</v>
      </c>
      <c r="E68" s="20" t="e">
        <v>#VALUE!</v>
      </c>
      <c r="F68" s="87" t="e">
        <v>#VALUE!</v>
      </c>
      <c r="G68" s="19" t="e">
        <v>#VALUE!</v>
      </c>
      <c r="H68" s="19" t="e">
        <v>#VALUE!</v>
      </c>
      <c r="I68" s="19" t="e">
        <v>#VALUE!</v>
      </c>
      <c r="J68" s="20" t="e">
        <v>#VALUE!</v>
      </c>
      <c r="K68" s="20" t="e">
        <v>#VALUE!</v>
      </c>
      <c r="L68" s="20" t="e">
        <v>#VALUE!</v>
      </c>
      <c r="M68" s="20" t="e">
        <v>#VALUE!</v>
      </c>
      <c r="N68" s="20" t="e">
        <v>#VALUE!</v>
      </c>
      <c r="O68" s="21" t="e">
        <f>_xll.BondOutstanding(C68)</f>
        <v>#VALUE!</v>
      </c>
      <c r="P68" s="25" t="e">
        <f>_xll.xlBondYieldSensCustom(D68,E68,F68,G68,H68,I68,J68,B68,Q68,$AM$2,$AN$2,$AO$2,$AP$2,$AQ$2,"y")</f>
        <v>#NUM!</v>
      </c>
      <c r="Q68" s="26" t="e">
        <f>_xll.RtGet("IDN",$K68,IF(OR($D68="BTP,$E11=""CTZ"),Q$5,Q$4))</f>
        <v>#VALUE!</v>
      </c>
      <c r="R68" s="27" t="e">
        <f>_xll.RtGet("IDN",$K68,IF(OR($D68="BTP,$E11=""CTZ"),R$5,R$4))</f>
        <v>#VALUE!</v>
      </c>
      <c r="S68" s="28" t="e">
        <f>_xll.xlBondYieldSensCustom(D68,E68,F68,G68,H68,I68,J68,B68,R68,$AM$2,$AN$2,$AO$2,$AP$2,$AQ$2,"y")</f>
        <v>#NUM!</v>
      </c>
      <c r="T68" s="23" t="e">
        <f t="shared" si="4"/>
        <v>#VALUE!</v>
      </c>
      <c r="U68" s="83" t="e">
        <f>_xll.xlBondYieldSensCustom(D68,E68,F68,G68,H68,I68,J68,B68,T68,$AM$2,$AN$2,$AO$2,$AP$2,$AQ$2,"y")</f>
        <v>#NUM!</v>
      </c>
      <c r="V68" s="23"/>
      <c r="W68" s="23" t="e">
        <f t="shared" si="5"/>
        <v>#VALUE!</v>
      </c>
      <c r="X68" s="22"/>
      <c r="Y68" s="22" t="e">
        <f t="shared" si="6"/>
        <v>#NUM!</v>
      </c>
      <c r="Z68" s="23" t="e">
        <f>_xll.xlBondPriceCustom(D68,E68,F68,G68,H68,I68,J68,B68,Y68,$AM$2,$AN$2,$AO$2,$AP$2,$AQ$2)</f>
        <v>#NUM!</v>
      </c>
      <c r="AA68" s="20" t="e">
        <f t="array" ref="AA68:AG68">_xll.xlBondYieldSens(D68,E68,F68,G68,H68,I68,J68,B68,W68,$AA$5&amp;$AB$5&amp;$AC$5&amp;$AD$5&amp;$AE$5&amp;$AF$5&amp;$AG$5)</f>
        <v>#NUM!</v>
      </c>
      <c r="AB68" s="20" t="e">
        <v>#NUM!</v>
      </c>
      <c r="AC68" s="20" t="e">
        <v>#NUM!</v>
      </c>
      <c r="AD68" s="20" t="e">
        <v>#NUM!</v>
      </c>
      <c r="AE68" s="20" t="e">
        <v>#NUM!</v>
      </c>
      <c r="AF68" s="20" t="e">
        <v>#NUM!</v>
      </c>
      <c r="AG68" s="24" t="e">
        <v>#NUM!</v>
      </c>
      <c r="AH68" s="22" t="e">
        <f>_xll.xlBondYieldSensCustom(D68,E68,F68,G68,H68,I68,J68,B68,W68,$AM$2,$AN$2,$AO$2,$AP$2,$AQ$2,"y")</f>
        <v>#NUM!</v>
      </c>
      <c r="AI68" s="22" t="e">
        <f ca="1">IF(TRUE,_xll.xlShmInterpRateFwd("EONIA",_xll.xlDateSettle("target",$B$2,2),0,4,$F68),"")</f>
        <v>#NUM!</v>
      </c>
      <c r="AJ68" s="85" t="e">
        <f t="shared" ca="1" si="7"/>
        <v>#NUM!</v>
      </c>
    </row>
    <row r="69" spans="1:36" ht="15.75" x14ac:dyDescent="0.25">
      <c r="A69" s="2"/>
      <c r="B69" s="19" t="e">
        <f>MAX(_xll.xlBondValueDate(D69,$B$2),I69)</f>
        <v>#NUM!</v>
      </c>
      <c r="C69" s="20" t="e">
        <v>#N/A</v>
      </c>
      <c r="D69" s="86" t="e">
        <f t="array" ref="D69:N69">_xll.BondInfo(C69,$D$5:$N$5)</f>
        <v>#VALUE!</v>
      </c>
      <c r="E69" s="20" t="e">
        <v>#VALUE!</v>
      </c>
      <c r="F69" s="87" t="e">
        <v>#VALUE!</v>
      </c>
      <c r="G69" s="19" t="e">
        <v>#VALUE!</v>
      </c>
      <c r="H69" s="19" t="e">
        <v>#VALUE!</v>
      </c>
      <c r="I69" s="19" t="e">
        <v>#VALUE!</v>
      </c>
      <c r="J69" s="20" t="e">
        <v>#VALUE!</v>
      </c>
      <c r="K69" s="20" t="e">
        <v>#VALUE!</v>
      </c>
      <c r="L69" s="20" t="e">
        <v>#VALUE!</v>
      </c>
      <c r="M69" s="20" t="e">
        <v>#VALUE!</v>
      </c>
      <c r="N69" s="20" t="e">
        <v>#VALUE!</v>
      </c>
      <c r="O69" s="21" t="e">
        <f>_xll.BondOutstanding(C69)</f>
        <v>#VALUE!</v>
      </c>
      <c r="P69" s="25" t="e">
        <f>_xll.xlBondYieldSensCustom(D69,E69,F69,G69,H69,I69,J69,B69,Q69,$AM$2,$AN$2,$AO$2,$AP$2,$AQ$2,"y")</f>
        <v>#NUM!</v>
      </c>
      <c r="Q69" s="26" t="e">
        <f>_xll.RtGet("IDN",$K69,IF(OR($D69="BTP,$E11=""CTZ"),Q$5,Q$4))</f>
        <v>#VALUE!</v>
      </c>
      <c r="R69" s="27" t="e">
        <f>_xll.RtGet("IDN",$K69,IF(OR($D69="BTP,$E11=""CTZ"),R$5,R$4))</f>
        <v>#VALUE!</v>
      </c>
      <c r="S69" s="28" t="e">
        <f>_xll.xlBondYieldSensCustom(D69,E69,F69,G69,H69,I69,J69,B69,R69,$AM$2,$AN$2,$AO$2,$AP$2,$AQ$2,"y")</f>
        <v>#NUM!</v>
      </c>
      <c r="T69" s="23" t="e">
        <f t="shared" si="4"/>
        <v>#VALUE!</v>
      </c>
      <c r="U69" s="83" t="e">
        <f>_xll.xlBondYieldSensCustom(D69,E69,F69,G69,H69,I69,J69,B69,T69,$AM$2,$AN$2,$AO$2,$AP$2,$AQ$2,"y")</f>
        <v>#NUM!</v>
      </c>
      <c r="V69" s="23"/>
      <c r="W69" s="23" t="e">
        <f t="shared" si="5"/>
        <v>#VALUE!</v>
      </c>
      <c r="X69" s="22"/>
      <c r="Y69" s="22" t="e">
        <f t="shared" si="6"/>
        <v>#NUM!</v>
      </c>
      <c r="Z69" s="23" t="e">
        <f>_xll.xlBondPriceCustom(D69,E69,F69,G69,H69,I69,J69,B69,Y69,$AM$2,$AN$2,$AO$2,$AP$2,$AQ$2)</f>
        <v>#NUM!</v>
      </c>
      <c r="AA69" s="20" t="e">
        <f t="array" ref="AA69:AG69">_xll.xlBondYieldSens(D69,E69,F69,G69,H69,I69,J69,B69,W69,$AA$5&amp;$AB$5&amp;$AC$5&amp;$AD$5&amp;$AE$5&amp;$AF$5&amp;$AG$5)</f>
        <v>#NUM!</v>
      </c>
      <c r="AB69" s="20" t="e">
        <v>#NUM!</v>
      </c>
      <c r="AC69" s="20" t="e">
        <v>#NUM!</v>
      </c>
      <c r="AD69" s="20" t="e">
        <v>#NUM!</v>
      </c>
      <c r="AE69" s="20" t="e">
        <v>#NUM!</v>
      </c>
      <c r="AF69" s="20" t="e">
        <v>#NUM!</v>
      </c>
      <c r="AG69" s="24" t="e">
        <v>#NUM!</v>
      </c>
      <c r="AH69" s="22" t="e">
        <f>_xll.xlBondYieldSensCustom(D69,E69,F69,G69,H69,I69,J69,B69,W69,$AM$2,$AN$2,$AO$2,$AP$2,$AQ$2,"y")</f>
        <v>#NUM!</v>
      </c>
      <c r="AI69" s="22" t="e">
        <f ca="1">IF(TRUE,_xll.xlShmInterpRateFwd("EONIA",_xll.xlDateSettle("target",$B$2,2),0,4,$F69),"")</f>
        <v>#NUM!</v>
      </c>
      <c r="AJ69" s="85" t="e">
        <f t="shared" ca="1" si="7"/>
        <v>#NUM!</v>
      </c>
    </row>
    <row r="70" spans="1:36" ht="15.75" x14ac:dyDescent="0.25">
      <c r="A70" s="2"/>
      <c r="B70" s="19" t="e">
        <f>MAX(_xll.xlBondValueDate(D70,$B$2),I70)</f>
        <v>#NUM!</v>
      </c>
      <c r="C70" s="20" t="e">
        <v>#N/A</v>
      </c>
      <c r="D70" s="86" t="e">
        <f t="array" ref="D70:N70">_xll.BondInfo(C70,$D$5:$N$5)</f>
        <v>#VALUE!</v>
      </c>
      <c r="E70" s="20" t="e">
        <v>#VALUE!</v>
      </c>
      <c r="F70" s="87" t="e">
        <v>#VALUE!</v>
      </c>
      <c r="G70" s="19" t="e">
        <v>#VALUE!</v>
      </c>
      <c r="H70" s="19" t="e">
        <v>#VALUE!</v>
      </c>
      <c r="I70" s="19" t="e">
        <v>#VALUE!</v>
      </c>
      <c r="J70" s="20" t="e">
        <v>#VALUE!</v>
      </c>
      <c r="K70" s="20" t="e">
        <v>#VALUE!</v>
      </c>
      <c r="L70" s="20" t="e">
        <v>#VALUE!</v>
      </c>
      <c r="M70" s="20" t="e">
        <v>#VALUE!</v>
      </c>
      <c r="N70" s="20" t="e">
        <v>#VALUE!</v>
      </c>
      <c r="O70" s="21" t="e">
        <f>_xll.BondOutstanding(C70)</f>
        <v>#VALUE!</v>
      </c>
      <c r="P70" s="25" t="e">
        <f>_xll.xlBondYieldSensCustom(D70,E70,F70,G70,H70,I70,J70,B70,Q70,$AM$2,$AN$2,$AO$2,$AP$2,$AQ$2,"y")</f>
        <v>#NUM!</v>
      </c>
      <c r="Q70" s="26" t="e">
        <f>_xll.RtGet("IDN",$K70,IF(OR($D70="BTP,$E11=""CTZ"),Q$5,Q$4))</f>
        <v>#VALUE!</v>
      </c>
      <c r="R70" s="27" t="e">
        <f>_xll.RtGet("IDN",$K70,IF(OR($D70="BTP,$E11=""CTZ"),R$5,R$4))</f>
        <v>#VALUE!</v>
      </c>
      <c r="S70" s="28" t="e">
        <f>_xll.xlBondYieldSensCustom(D70,E70,F70,G70,H70,I70,J70,B70,R70,$AM$2,$AN$2,$AO$2,$AP$2,$AQ$2,"y")</f>
        <v>#NUM!</v>
      </c>
      <c r="T70" s="23" t="e">
        <f t="shared" ref="T70:T80" si="8">AVERAGE(Q70:R70)</f>
        <v>#VALUE!</v>
      </c>
      <c r="U70" s="83" t="e">
        <f>_xll.xlBondYieldSensCustom(D70,E70,F70,G70,H70,I70,J70,B70,T70,$AM$2,$AN$2,$AO$2,$AP$2,$AQ$2,"y")</f>
        <v>#NUM!</v>
      </c>
      <c r="V70" s="23"/>
      <c r="W70" s="23" t="e">
        <f t="shared" ref="W70:W80" si="9">IF(ISNUMBER(V70),V70,T70)</f>
        <v>#VALUE!</v>
      </c>
      <c r="X70" s="22"/>
      <c r="Y70" s="22" t="e">
        <f t="shared" ref="Y70:Y80" si="10">IF(ISNUMBER(X70),X70,AH70)</f>
        <v>#NUM!</v>
      </c>
      <c r="Z70" s="23" t="e">
        <f>_xll.xlBondPriceCustom(D70,E70,F70,G70,H70,I70,J70,B70,Y70,$AM$2,$AN$2,$AO$2,$AP$2,$AQ$2)</f>
        <v>#NUM!</v>
      </c>
      <c r="AA70" s="20" t="e">
        <f t="array" ref="AA70:AG70">_xll.xlBondYieldSens(D70,E70,F70,G70,H70,I70,J70,B70,W70,$AA$5&amp;$AB$5&amp;$AC$5&amp;$AD$5&amp;$AE$5&amp;$AF$5&amp;$AG$5)</f>
        <v>#NUM!</v>
      </c>
      <c r="AB70" s="20" t="e">
        <v>#NUM!</v>
      </c>
      <c r="AC70" s="20" t="e">
        <v>#NUM!</v>
      </c>
      <c r="AD70" s="20" t="e">
        <v>#NUM!</v>
      </c>
      <c r="AE70" s="20" t="e">
        <v>#NUM!</v>
      </c>
      <c r="AF70" s="20" t="e">
        <v>#NUM!</v>
      </c>
      <c r="AG70" s="24" t="e">
        <v>#NUM!</v>
      </c>
      <c r="AH70" s="22" t="e">
        <f>_xll.xlBondYieldSensCustom(D70,E70,F70,G70,H70,I70,J70,B70,W70,$AM$2,$AN$2,$AO$2,$AP$2,$AQ$2,"y")</f>
        <v>#NUM!</v>
      </c>
      <c r="AI70" s="22" t="e">
        <f ca="1">IF(TRUE,_xll.xlShmInterpRateFwd("EONIA",_xll.xlDateSettle("target",$B$2,2),0,4,$F70),"")</f>
        <v>#NUM!</v>
      </c>
      <c r="AJ70" s="85" t="e">
        <f t="shared" ref="AJ70:AJ80" ca="1" si="11">$Y70-$AI70</f>
        <v>#NUM!</v>
      </c>
    </row>
    <row r="71" spans="1:36" ht="15.75" x14ac:dyDescent="0.25">
      <c r="A71" s="2"/>
      <c r="B71" s="19" t="e">
        <f>MAX(_xll.xlBondValueDate(D71,$B$2),I71)</f>
        <v>#NUM!</v>
      </c>
      <c r="C71" s="20" t="e">
        <v>#N/A</v>
      </c>
      <c r="D71" s="86" t="e">
        <f t="array" ref="D71:N71">_xll.BondInfo(C71,$D$5:$N$5)</f>
        <v>#VALUE!</v>
      </c>
      <c r="E71" s="20" t="e">
        <v>#VALUE!</v>
      </c>
      <c r="F71" s="87" t="e">
        <v>#VALUE!</v>
      </c>
      <c r="G71" s="19" t="e">
        <v>#VALUE!</v>
      </c>
      <c r="H71" s="19" t="e">
        <v>#VALUE!</v>
      </c>
      <c r="I71" s="19" t="e">
        <v>#VALUE!</v>
      </c>
      <c r="J71" s="20" t="e">
        <v>#VALUE!</v>
      </c>
      <c r="K71" s="20" t="e">
        <v>#VALUE!</v>
      </c>
      <c r="L71" s="20" t="e">
        <v>#VALUE!</v>
      </c>
      <c r="M71" s="20" t="e">
        <v>#VALUE!</v>
      </c>
      <c r="N71" s="20" t="e">
        <v>#VALUE!</v>
      </c>
      <c r="O71" s="21" t="e">
        <f>_xll.BondOutstanding(C71)</f>
        <v>#VALUE!</v>
      </c>
      <c r="P71" s="25" t="e">
        <f>_xll.xlBondYieldSensCustom(D71,E71,F71,G71,H71,I71,J71,B71,Q71,$AM$2,$AN$2,$AO$2,$AP$2,$AQ$2,"y")</f>
        <v>#NUM!</v>
      </c>
      <c r="Q71" s="26" t="e">
        <f>_xll.RtGet("IDN",$K71,IF(OR($D71="BTP,$E11=""CTZ"),Q$5,Q$4))</f>
        <v>#VALUE!</v>
      </c>
      <c r="R71" s="27" t="e">
        <f>_xll.RtGet("IDN",$K71,IF(OR($D71="BTP,$E11=""CTZ"),R$5,R$4))</f>
        <v>#VALUE!</v>
      </c>
      <c r="S71" s="28" t="e">
        <f>_xll.xlBondYieldSensCustom(D71,E71,F71,G71,H71,I71,J71,B71,R71,$AM$2,$AN$2,$AO$2,$AP$2,$AQ$2,"y")</f>
        <v>#NUM!</v>
      </c>
      <c r="T71" s="23" t="e">
        <f t="shared" si="8"/>
        <v>#VALUE!</v>
      </c>
      <c r="U71" s="83" t="e">
        <f>_xll.xlBondYieldSensCustom(D71,E71,F71,G71,H71,I71,J71,B71,T71,$AM$2,$AN$2,$AO$2,$AP$2,$AQ$2,"y")</f>
        <v>#NUM!</v>
      </c>
      <c r="V71" s="23"/>
      <c r="W71" s="23" t="e">
        <f t="shared" si="9"/>
        <v>#VALUE!</v>
      </c>
      <c r="X71" s="22"/>
      <c r="Y71" s="22" t="e">
        <f t="shared" si="10"/>
        <v>#NUM!</v>
      </c>
      <c r="Z71" s="23" t="e">
        <f>_xll.xlBondPriceCustom(D71,E71,F71,G71,H71,I71,J71,B71,Y71,$AM$2,$AN$2,$AO$2,$AP$2,$AQ$2)</f>
        <v>#NUM!</v>
      </c>
      <c r="AA71" s="20" t="e">
        <f t="array" ref="AA71:AG71">_xll.xlBondYieldSens(D71,E71,F71,G71,H71,I71,J71,B71,W71,$AA$5&amp;$AB$5&amp;$AC$5&amp;$AD$5&amp;$AE$5&amp;$AF$5&amp;$AG$5)</f>
        <v>#NUM!</v>
      </c>
      <c r="AB71" s="20" t="e">
        <v>#NUM!</v>
      </c>
      <c r="AC71" s="20" t="e">
        <v>#NUM!</v>
      </c>
      <c r="AD71" s="20" t="e">
        <v>#NUM!</v>
      </c>
      <c r="AE71" s="20" t="e">
        <v>#NUM!</v>
      </c>
      <c r="AF71" s="20" t="e">
        <v>#NUM!</v>
      </c>
      <c r="AG71" s="24" t="e">
        <v>#NUM!</v>
      </c>
      <c r="AH71" s="22" t="e">
        <f>_xll.xlBondYieldSensCustom(D71,E71,F71,G71,H71,I71,J71,B71,W71,$AM$2,$AN$2,$AO$2,$AP$2,$AQ$2,"y")</f>
        <v>#NUM!</v>
      </c>
      <c r="AI71" s="22" t="e">
        <f ca="1">IF(TRUE,_xll.xlShmInterpRateFwd("EONIA",_xll.xlDateSettle("target",$B$2,2),0,4,$F71),"")</f>
        <v>#NUM!</v>
      </c>
      <c r="AJ71" s="85" t="e">
        <f t="shared" ca="1" si="11"/>
        <v>#NUM!</v>
      </c>
    </row>
    <row r="72" spans="1:36" ht="15.75" x14ac:dyDescent="0.25">
      <c r="A72" s="2"/>
      <c r="B72" s="19" t="e">
        <f>MAX(_xll.xlBondValueDate(D72,$B$2),I72)</f>
        <v>#NUM!</v>
      </c>
      <c r="C72" s="20" t="e">
        <v>#N/A</v>
      </c>
      <c r="D72" s="86" t="e">
        <f t="array" ref="D72:N72">_xll.BondInfo(C72,$D$5:$N$5)</f>
        <v>#VALUE!</v>
      </c>
      <c r="E72" s="20" t="e">
        <v>#VALUE!</v>
      </c>
      <c r="F72" s="87" t="e">
        <v>#VALUE!</v>
      </c>
      <c r="G72" s="19" t="e">
        <v>#VALUE!</v>
      </c>
      <c r="H72" s="19" t="e">
        <v>#VALUE!</v>
      </c>
      <c r="I72" s="19" t="e">
        <v>#VALUE!</v>
      </c>
      <c r="J72" s="20" t="e">
        <v>#VALUE!</v>
      </c>
      <c r="K72" s="20" t="e">
        <v>#VALUE!</v>
      </c>
      <c r="L72" s="20" t="e">
        <v>#VALUE!</v>
      </c>
      <c r="M72" s="20" t="e">
        <v>#VALUE!</v>
      </c>
      <c r="N72" s="20" t="e">
        <v>#VALUE!</v>
      </c>
      <c r="O72" s="21" t="e">
        <f>_xll.BondOutstanding(C72)</f>
        <v>#VALUE!</v>
      </c>
      <c r="P72" s="25" t="e">
        <f>_xll.xlBondYieldSensCustom(D72,E72,F72,G72,H72,I72,J72,B72,Q72,$AM$2,$AN$2,$AO$2,$AP$2,$AQ$2,"y")</f>
        <v>#NUM!</v>
      </c>
      <c r="Q72" s="26" t="e">
        <f>_xll.RtGet("IDN",$K72,IF(OR($D72="BTP,$E11=""CTZ"),Q$5,Q$4))</f>
        <v>#VALUE!</v>
      </c>
      <c r="R72" s="27" t="e">
        <f>_xll.RtGet("IDN",$K72,IF(OR($D72="BTP,$E11=""CTZ"),R$5,R$4))</f>
        <v>#VALUE!</v>
      </c>
      <c r="S72" s="28" t="e">
        <f>_xll.xlBondYieldSensCustom(D72,E72,F72,G72,H72,I72,J72,B72,R72,$AM$2,$AN$2,$AO$2,$AP$2,$AQ$2,"y")</f>
        <v>#NUM!</v>
      </c>
      <c r="T72" s="23" t="e">
        <f t="shared" si="8"/>
        <v>#VALUE!</v>
      </c>
      <c r="U72" s="83" t="e">
        <f>_xll.xlBondYieldSensCustom(D72,E72,F72,G72,H72,I72,J72,B72,T72,$AM$2,$AN$2,$AO$2,$AP$2,$AQ$2,"y")</f>
        <v>#NUM!</v>
      </c>
      <c r="V72" s="23"/>
      <c r="W72" s="23" t="e">
        <f t="shared" si="9"/>
        <v>#VALUE!</v>
      </c>
      <c r="X72" s="22"/>
      <c r="Y72" s="22" t="e">
        <f t="shared" si="10"/>
        <v>#NUM!</v>
      </c>
      <c r="Z72" s="23" t="e">
        <f>_xll.xlBondPriceCustom(D72,E72,F72,G72,H72,I72,J72,B72,Y72,$AM$2,$AN$2,$AO$2,$AP$2,$AQ$2)</f>
        <v>#NUM!</v>
      </c>
      <c r="AA72" s="20" t="e">
        <f t="array" ref="AA72:AG72">_xll.xlBondYieldSens(D72,E72,F72,G72,H72,I72,J72,B72,W72,$AA$5&amp;$AB$5&amp;$AC$5&amp;$AD$5&amp;$AE$5&amp;$AF$5&amp;$AG$5)</f>
        <v>#NUM!</v>
      </c>
      <c r="AB72" s="20" t="e">
        <v>#NUM!</v>
      </c>
      <c r="AC72" s="20" t="e">
        <v>#NUM!</v>
      </c>
      <c r="AD72" s="20" t="e">
        <v>#NUM!</v>
      </c>
      <c r="AE72" s="20" t="e">
        <v>#NUM!</v>
      </c>
      <c r="AF72" s="20" t="e">
        <v>#NUM!</v>
      </c>
      <c r="AG72" s="24" t="e">
        <v>#NUM!</v>
      </c>
      <c r="AH72" s="22" t="e">
        <f>_xll.xlBondYieldSensCustom(D72,E72,F72,G72,H72,I72,J72,B72,W72,$AM$2,$AN$2,$AO$2,$AP$2,$AQ$2,"y")</f>
        <v>#NUM!</v>
      </c>
      <c r="AI72" s="22"/>
      <c r="AJ72" s="85" t="e">
        <f t="shared" si="11"/>
        <v>#NUM!</v>
      </c>
    </row>
    <row r="73" spans="1:36" ht="15.75" x14ac:dyDescent="0.25">
      <c r="A73" s="2"/>
      <c r="B73" s="19" t="e">
        <f>MAX(_xll.xlBondValueDate(D73,$B$2),I73)</f>
        <v>#NUM!</v>
      </c>
      <c r="C73" s="20" t="e">
        <v>#N/A</v>
      </c>
      <c r="D73" s="86" t="e">
        <f t="array" ref="D73:N73">_xll.BondInfo(C73,$D$5:$N$5)</f>
        <v>#VALUE!</v>
      </c>
      <c r="E73" s="20" t="e">
        <v>#VALUE!</v>
      </c>
      <c r="F73" s="87" t="e">
        <v>#VALUE!</v>
      </c>
      <c r="G73" s="19" t="e">
        <v>#VALUE!</v>
      </c>
      <c r="H73" s="19" t="e">
        <v>#VALUE!</v>
      </c>
      <c r="I73" s="19" t="e">
        <v>#VALUE!</v>
      </c>
      <c r="J73" s="20" t="e">
        <v>#VALUE!</v>
      </c>
      <c r="K73" s="20" t="e">
        <v>#VALUE!</v>
      </c>
      <c r="L73" s="20" t="e">
        <v>#VALUE!</v>
      </c>
      <c r="M73" s="20" t="e">
        <v>#VALUE!</v>
      </c>
      <c r="N73" s="20" t="e">
        <v>#VALUE!</v>
      </c>
      <c r="O73" s="21" t="e">
        <f>_xll.BondOutstanding(C73)</f>
        <v>#VALUE!</v>
      </c>
      <c r="P73" s="25" t="e">
        <f>_xll.xlBondYieldSensCustom(D73,E73,F73,G73,H73,I73,J73,B73,Q73,$AM$2,$AN$2,$AO$2,$AP$2,$AQ$2,"y")</f>
        <v>#NUM!</v>
      </c>
      <c r="Q73" s="26" t="e">
        <f>_xll.RtGet("IDN",$K73,IF(OR($D73="BTP,$E11=""CTZ"),Q$5,Q$4))</f>
        <v>#VALUE!</v>
      </c>
      <c r="R73" s="27" t="e">
        <f>_xll.RtGet("IDN",$K73,IF(OR($D73="BTP,$E11=""CTZ"),R$5,R$4))</f>
        <v>#VALUE!</v>
      </c>
      <c r="S73" s="28" t="e">
        <f>_xll.xlBondYieldSensCustom(D73,E73,F73,G73,H73,I73,J73,B73,R73,$AM$2,$AN$2,$AO$2,$AP$2,$AQ$2,"y")</f>
        <v>#NUM!</v>
      </c>
      <c r="T73" s="23" t="e">
        <f t="shared" si="8"/>
        <v>#VALUE!</v>
      </c>
      <c r="U73" s="83" t="e">
        <f>_xll.xlBondYieldSensCustom(D73,E73,F73,G73,H73,I73,J73,B73,T73,$AM$2,$AN$2,$AO$2,$AP$2,$AQ$2,"y")</f>
        <v>#NUM!</v>
      </c>
      <c r="V73" s="23"/>
      <c r="W73" s="23" t="e">
        <f t="shared" si="9"/>
        <v>#VALUE!</v>
      </c>
      <c r="X73" s="22"/>
      <c r="Y73" s="22" t="e">
        <f t="shared" si="10"/>
        <v>#NUM!</v>
      </c>
      <c r="Z73" s="23" t="e">
        <f>_xll.xlBondPriceCustom(D73,E73,F73,G73,H73,I73,J73,B73,Y73,$AM$2,$AN$2,$AO$2,$AP$2,$AQ$2)</f>
        <v>#NUM!</v>
      </c>
      <c r="AA73" s="20" t="e">
        <f t="array" ref="AA73:AG73">_xll.xlBondYieldSens(D73,E73,F73,G73,H73,I73,J73,B73,W73,$AA$5&amp;$AB$5&amp;$AC$5&amp;$AD$5&amp;$AE$5&amp;$AF$5&amp;$AG$5)</f>
        <v>#NUM!</v>
      </c>
      <c r="AB73" s="20" t="e">
        <v>#NUM!</v>
      </c>
      <c r="AC73" s="20" t="e">
        <v>#NUM!</v>
      </c>
      <c r="AD73" s="20" t="e">
        <v>#NUM!</v>
      </c>
      <c r="AE73" s="20" t="e">
        <v>#NUM!</v>
      </c>
      <c r="AF73" s="20" t="e">
        <v>#NUM!</v>
      </c>
      <c r="AG73" s="24" t="e">
        <v>#NUM!</v>
      </c>
      <c r="AH73" s="22" t="e">
        <f>_xll.xlBondYieldSensCustom(D73,E73,F73,G73,H73,I73,J73,B73,W73,$AM$2,$AN$2,$AO$2,$AP$2,$AQ$2,"y")</f>
        <v>#NUM!</v>
      </c>
      <c r="AI73" s="22"/>
      <c r="AJ73" s="85" t="e">
        <f t="shared" si="11"/>
        <v>#NUM!</v>
      </c>
    </row>
    <row r="74" spans="1:36" ht="15.75" x14ac:dyDescent="0.25">
      <c r="A74" s="2"/>
      <c r="B74" s="19" t="e">
        <f>MAX(_xll.xlBondValueDate(D74,$B$2),I74)</f>
        <v>#NUM!</v>
      </c>
      <c r="C74" s="20" t="e">
        <v>#N/A</v>
      </c>
      <c r="D74" s="86" t="e">
        <f t="array" ref="D74:N74">_xll.BondInfo(C74,$D$5:$N$5)</f>
        <v>#VALUE!</v>
      </c>
      <c r="E74" s="20" t="e">
        <v>#VALUE!</v>
      </c>
      <c r="F74" s="87" t="e">
        <v>#VALUE!</v>
      </c>
      <c r="G74" s="19" t="e">
        <v>#VALUE!</v>
      </c>
      <c r="H74" s="19" t="e">
        <v>#VALUE!</v>
      </c>
      <c r="I74" s="19" t="e">
        <v>#VALUE!</v>
      </c>
      <c r="J74" s="20" t="e">
        <v>#VALUE!</v>
      </c>
      <c r="K74" s="20" t="e">
        <v>#VALUE!</v>
      </c>
      <c r="L74" s="20" t="e">
        <v>#VALUE!</v>
      </c>
      <c r="M74" s="20" t="e">
        <v>#VALUE!</v>
      </c>
      <c r="N74" s="20" t="e">
        <v>#VALUE!</v>
      </c>
      <c r="O74" s="21" t="e">
        <f>_xll.BondOutstanding(C74)</f>
        <v>#VALUE!</v>
      </c>
      <c r="P74" s="25" t="e">
        <f>_xll.xlBondYieldSensCustom(D74,E74,F74,G74,H74,I74,J74,B74,Q74,$AM$2,$AN$2,$AO$2,$AP$2,$AQ$2,"y")</f>
        <v>#NUM!</v>
      </c>
      <c r="Q74" s="26" t="e">
        <f>_xll.RtGet("IDN",$K74,IF(OR($D74="BTP,$E11=""CTZ"),Q$5,Q$4))</f>
        <v>#VALUE!</v>
      </c>
      <c r="R74" s="27" t="e">
        <f>_xll.RtGet("IDN",$K74,IF(OR($D74="BTP,$E11=""CTZ"),R$5,R$4))</f>
        <v>#VALUE!</v>
      </c>
      <c r="S74" s="28" t="e">
        <f>_xll.xlBondYieldSensCustom(D74,E74,F74,G74,H74,I74,J74,B74,R74,$AM$2,$AN$2,$AO$2,$AP$2,$AQ$2,"y")</f>
        <v>#NUM!</v>
      </c>
      <c r="T74" s="23" t="e">
        <f t="shared" si="8"/>
        <v>#VALUE!</v>
      </c>
      <c r="U74" s="83" t="e">
        <f>_xll.xlBondYieldSensCustom(D74,E74,F74,G74,H74,I74,J74,B74,T74,$AM$2,$AN$2,$AO$2,$AP$2,$AQ$2,"y")</f>
        <v>#NUM!</v>
      </c>
      <c r="V74" s="23"/>
      <c r="W74" s="23" t="e">
        <f t="shared" si="9"/>
        <v>#VALUE!</v>
      </c>
      <c r="X74" s="22"/>
      <c r="Y74" s="22" t="e">
        <f t="shared" si="10"/>
        <v>#NUM!</v>
      </c>
      <c r="Z74" s="23" t="e">
        <f>_xll.xlBondPriceCustom(D74,E74,F74,G74,H74,I74,J74,B74,Y74,$AM$2,$AN$2,$AO$2,$AP$2,$AQ$2)</f>
        <v>#NUM!</v>
      </c>
      <c r="AA74" s="20" t="e">
        <f t="array" ref="AA74:AG74">_xll.xlBondYieldSens(D74,E74,F74,G74,H74,I74,J74,B74,W74,$AA$5&amp;$AB$5&amp;$AC$5&amp;$AD$5&amp;$AE$5&amp;$AF$5&amp;$AG$5)</f>
        <v>#NUM!</v>
      </c>
      <c r="AB74" s="20" t="e">
        <v>#NUM!</v>
      </c>
      <c r="AC74" s="20" t="e">
        <v>#NUM!</v>
      </c>
      <c r="AD74" s="20" t="e">
        <v>#NUM!</v>
      </c>
      <c r="AE74" s="20" t="e">
        <v>#NUM!</v>
      </c>
      <c r="AF74" s="20" t="e">
        <v>#NUM!</v>
      </c>
      <c r="AG74" s="24" t="e">
        <v>#NUM!</v>
      </c>
      <c r="AH74" s="22" t="e">
        <f>_xll.xlBondYieldSensCustom(D74,E74,F74,G74,H74,I74,J74,B74,W74,$AM$2,$AN$2,$AO$2,$AP$2,$AQ$2,"y")</f>
        <v>#NUM!</v>
      </c>
      <c r="AI74" s="22"/>
      <c r="AJ74" s="85" t="e">
        <f t="shared" si="11"/>
        <v>#NUM!</v>
      </c>
    </row>
    <row r="75" spans="1:36" ht="15.75" x14ac:dyDescent="0.25">
      <c r="A75" s="2"/>
      <c r="B75" s="19" t="e">
        <f>MAX(_xll.xlBondValueDate(D75,$B$2),I75)</f>
        <v>#NUM!</v>
      </c>
      <c r="C75" s="20" t="e">
        <v>#N/A</v>
      </c>
      <c r="D75" s="86" t="e">
        <f t="array" ref="D75:N75">_xll.BondInfo(C75,$D$5:$N$5)</f>
        <v>#VALUE!</v>
      </c>
      <c r="E75" s="20" t="e">
        <v>#VALUE!</v>
      </c>
      <c r="F75" s="87" t="e">
        <v>#VALUE!</v>
      </c>
      <c r="G75" s="19" t="e">
        <v>#VALUE!</v>
      </c>
      <c r="H75" s="19" t="e">
        <v>#VALUE!</v>
      </c>
      <c r="I75" s="19" t="e">
        <v>#VALUE!</v>
      </c>
      <c r="J75" s="20" t="e">
        <v>#VALUE!</v>
      </c>
      <c r="K75" s="20" t="e">
        <v>#VALUE!</v>
      </c>
      <c r="L75" s="20" t="e">
        <v>#VALUE!</v>
      </c>
      <c r="M75" s="20" t="e">
        <v>#VALUE!</v>
      </c>
      <c r="N75" s="20" t="e">
        <v>#VALUE!</v>
      </c>
      <c r="O75" s="21" t="e">
        <f>_xll.BondOutstanding(C75)</f>
        <v>#VALUE!</v>
      </c>
      <c r="P75" s="25" t="e">
        <f>_xll.xlBondYieldSensCustom(D75,E75,F75,G75,H75,I75,J75,B75,Q75,$AM$2,$AN$2,$AO$2,$AP$2,$AQ$2,"y")</f>
        <v>#NUM!</v>
      </c>
      <c r="Q75" s="26" t="e">
        <f>_xll.RtGet("IDN",$K75,IF(OR($D75="BTP,$E11=""CTZ"),Q$5,Q$4))</f>
        <v>#VALUE!</v>
      </c>
      <c r="R75" s="27" t="e">
        <f>_xll.RtGet("IDN",$K75,IF(OR($D75="BTP,$E11=""CTZ"),R$5,R$4))</f>
        <v>#VALUE!</v>
      </c>
      <c r="S75" s="28" t="e">
        <f>_xll.xlBondYieldSensCustom(D75,E75,F75,G75,H75,I75,J75,B75,R75,$AM$2,$AN$2,$AO$2,$AP$2,$AQ$2,"y")</f>
        <v>#NUM!</v>
      </c>
      <c r="T75" s="23" t="e">
        <f t="shared" si="8"/>
        <v>#VALUE!</v>
      </c>
      <c r="U75" s="83" t="e">
        <f>_xll.xlBondYieldSensCustom(D75,E75,F75,G75,H75,I75,J75,B75,T75,$AM$2,$AN$2,$AO$2,$AP$2,$AQ$2,"y")</f>
        <v>#NUM!</v>
      </c>
      <c r="V75" s="23"/>
      <c r="W75" s="23" t="e">
        <f t="shared" si="9"/>
        <v>#VALUE!</v>
      </c>
      <c r="X75" s="22"/>
      <c r="Y75" s="22" t="e">
        <f t="shared" si="10"/>
        <v>#NUM!</v>
      </c>
      <c r="Z75" s="23" t="e">
        <f>_xll.xlBondPriceCustom(D75,E75,F75,G75,H75,I75,J75,B75,Y75,$AM$2,$AN$2,$AO$2,$AP$2,$AQ$2)</f>
        <v>#NUM!</v>
      </c>
      <c r="AA75" s="20" t="e">
        <f t="array" ref="AA75:AG75">_xll.xlBondYieldSens(D75,E75,F75,G75,H75,I75,J75,B75,W75,$AA$5&amp;$AB$5&amp;$AC$5&amp;$AD$5&amp;$AE$5&amp;$AF$5&amp;$AG$5)</f>
        <v>#NUM!</v>
      </c>
      <c r="AB75" s="20" t="e">
        <v>#NUM!</v>
      </c>
      <c r="AC75" s="20" t="e">
        <v>#NUM!</v>
      </c>
      <c r="AD75" s="20" t="e">
        <v>#NUM!</v>
      </c>
      <c r="AE75" s="20" t="e">
        <v>#NUM!</v>
      </c>
      <c r="AF75" s="20" t="e">
        <v>#NUM!</v>
      </c>
      <c r="AG75" s="24" t="e">
        <v>#NUM!</v>
      </c>
      <c r="AH75" s="22" t="e">
        <f>_xll.xlBondYieldSensCustom(D75,E75,F75,G75,H75,I75,J75,B75,W75,$AM$2,$AN$2,$AO$2,$AP$2,$AQ$2,"y")</f>
        <v>#NUM!</v>
      </c>
      <c r="AI75" s="22"/>
      <c r="AJ75" s="85" t="e">
        <f t="shared" si="11"/>
        <v>#NUM!</v>
      </c>
    </row>
    <row r="76" spans="1:36" ht="15.75" x14ac:dyDescent="0.25">
      <c r="A76" s="2"/>
      <c r="B76" s="19" t="e">
        <f>MAX(_xll.xlBondValueDate(D76,$B$2),I76)</f>
        <v>#NUM!</v>
      </c>
      <c r="C76" s="20" t="e">
        <v>#N/A</v>
      </c>
      <c r="D76" s="86" t="e">
        <f t="array" ref="D76:N76">_xll.BondInfo(C76,$D$5:$N$5)</f>
        <v>#VALUE!</v>
      </c>
      <c r="E76" s="20" t="e">
        <v>#VALUE!</v>
      </c>
      <c r="F76" s="87" t="e">
        <v>#VALUE!</v>
      </c>
      <c r="G76" s="19" t="e">
        <v>#VALUE!</v>
      </c>
      <c r="H76" s="19" t="e">
        <v>#VALUE!</v>
      </c>
      <c r="I76" s="19" t="e">
        <v>#VALUE!</v>
      </c>
      <c r="J76" s="20" t="e">
        <v>#VALUE!</v>
      </c>
      <c r="K76" s="20" t="e">
        <v>#VALUE!</v>
      </c>
      <c r="L76" s="20" t="e">
        <v>#VALUE!</v>
      </c>
      <c r="M76" s="20" t="e">
        <v>#VALUE!</v>
      </c>
      <c r="N76" s="20" t="e">
        <v>#VALUE!</v>
      </c>
      <c r="O76" s="21" t="e">
        <f>_xll.BondOutstanding(C76)</f>
        <v>#VALUE!</v>
      </c>
      <c r="P76" s="25" t="e">
        <f>_xll.xlBondYieldSensCustom(D76,E76,F76,G76,H76,I76,J76,B76,Q76,$AM$2,$AN$2,$AO$2,$AP$2,$AQ$2,"y")</f>
        <v>#NUM!</v>
      </c>
      <c r="Q76" s="26" t="e">
        <f>_xll.RtGet("IDN",$K76,IF(OR($D76="BTP,$E11=""CTZ"),Q$5,Q$4))</f>
        <v>#VALUE!</v>
      </c>
      <c r="R76" s="27" t="e">
        <f>_xll.RtGet("IDN",$K76,IF(OR($D76="BTP,$E11=""CTZ"),R$5,R$4))</f>
        <v>#VALUE!</v>
      </c>
      <c r="S76" s="28" t="e">
        <f>_xll.xlBondYieldSensCustom(D76,E76,F76,G76,H76,I76,J76,B76,R76,$AM$2,$AN$2,$AO$2,$AP$2,$AQ$2,"y")</f>
        <v>#NUM!</v>
      </c>
      <c r="T76" s="23" t="e">
        <f t="shared" si="8"/>
        <v>#VALUE!</v>
      </c>
      <c r="U76" s="83" t="e">
        <f>_xll.xlBondYieldSensCustom(D76,E76,F76,G76,H76,I76,J76,B76,T76,$AM$2,$AN$2,$AO$2,$AP$2,$AQ$2,"y")</f>
        <v>#NUM!</v>
      </c>
      <c r="V76" s="23"/>
      <c r="W76" s="23" t="e">
        <f t="shared" si="9"/>
        <v>#VALUE!</v>
      </c>
      <c r="X76" s="22"/>
      <c r="Y76" s="22" t="e">
        <f t="shared" si="10"/>
        <v>#NUM!</v>
      </c>
      <c r="Z76" s="23" t="e">
        <f>_xll.xlBondPriceCustom(D76,E76,F76,G76,H76,I76,J76,B76,Y76,$AM$2,$AN$2,$AO$2,$AP$2,$AQ$2)</f>
        <v>#NUM!</v>
      </c>
      <c r="AA76" s="20" t="e">
        <f t="array" ref="AA76:AG76">_xll.xlBondYieldSens(D76,E76,F76,G76,H76,I76,J76,B76,W76,$AA$5&amp;$AB$5&amp;$AC$5&amp;$AD$5&amp;$AE$5&amp;$AF$5&amp;$AG$5)</f>
        <v>#NUM!</v>
      </c>
      <c r="AB76" s="20" t="e">
        <v>#NUM!</v>
      </c>
      <c r="AC76" s="20" t="e">
        <v>#NUM!</v>
      </c>
      <c r="AD76" s="20" t="e">
        <v>#NUM!</v>
      </c>
      <c r="AE76" s="20" t="e">
        <v>#NUM!</v>
      </c>
      <c r="AF76" s="20" t="e">
        <v>#NUM!</v>
      </c>
      <c r="AG76" s="24" t="e">
        <v>#NUM!</v>
      </c>
      <c r="AH76" s="22" t="e">
        <f>_xll.xlBondYieldSensCustom(D76,E76,F76,G76,H76,I76,J76,B76,W76,$AM$2,$AN$2,$AO$2,$AP$2,$AQ$2,"y")</f>
        <v>#NUM!</v>
      </c>
      <c r="AI76" s="22"/>
      <c r="AJ76" s="85" t="e">
        <f t="shared" si="11"/>
        <v>#NUM!</v>
      </c>
    </row>
    <row r="77" spans="1:36" ht="15.75" x14ac:dyDescent="0.25">
      <c r="A77" s="2"/>
      <c r="B77" s="19" t="e">
        <f>MAX(_xll.xlBondValueDate(D77,$B$2),I77)</f>
        <v>#NUM!</v>
      </c>
      <c r="C77" s="20" t="e">
        <v>#N/A</v>
      </c>
      <c r="D77" s="86" t="e">
        <f t="array" ref="D77:N77">_xll.BondInfo(C77,$D$5:$N$5)</f>
        <v>#VALUE!</v>
      </c>
      <c r="E77" s="20" t="e">
        <v>#VALUE!</v>
      </c>
      <c r="F77" s="87" t="e">
        <v>#VALUE!</v>
      </c>
      <c r="G77" s="19" t="e">
        <v>#VALUE!</v>
      </c>
      <c r="H77" s="19" t="e">
        <v>#VALUE!</v>
      </c>
      <c r="I77" s="19" t="e">
        <v>#VALUE!</v>
      </c>
      <c r="J77" s="20" t="e">
        <v>#VALUE!</v>
      </c>
      <c r="K77" s="20" t="e">
        <v>#VALUE!</v>
      </c>
      <c r="L77" s="20" t="e">
        <v>#VALUE!</v>
      </c>
      <c r="M77" s="20" t="e">
        <v>#VALUE!</v>
      </c>
      <c r="N77" s="20" t="e">
        <v>#VALUE!</v>
      </c>
      <c r="O77" s="21" t="e">
        <f>_xll.BondOutstanding(C77)</f>
        <v>#VALUE!</v>
      </c>
      <c r="P77" s="25" t="e">
        <f>_xll.xlBondYieldSensCustom(D77,E77,F77,G77,H77,I77,J77,B77,Q77,$AM$2,$AN$2,$AO$2,$AP$2,$AQ$2,"y")</f>
        <v>#NUM!</v>
      </c>
      <c r="Q77" s="26" t="e">
        <f>_xll.RtGet("IDN",$K77,IF(OR($D77="BTP,$E11=""CTZ"),Q$5,Q$4))</f>
        <v>#VALUE!</v>
      </c>
      <c r="R77" s="27" t="e">
        <f>_xll.RtGet("IDN",$K77,IF(OR($D77="BTP,$E11=""CTZ"),R$5,R$4))</f>
        <v>#VALUE!</v>
      </c>
      <c r="S77" s="28" t="e">
        <f>_xll.xlBondYieldSensCustom(D77,E77,F77,G77,H77,I77,J77,B77,R77,$AM$2,$AN$2,$AO$2,$AP$2,$AQ$2,"y")</f>
        <v>#NUM!</v>
      </c>
      <c r="T77" s="23" t="e">
        <f t="shared" si="8"/>
        <v>#VALUE!</v>
      </c>
      <c r="U77" s="83" t="e">
        <f>_xll.xlBondYieldSensCustom(D77,E77,F77,G77,H77,I77,J77,B77,T77,$AM$2,$AN$2,$AO$2,$AP$2,$AQ$2,"y")</f>
        <v>#NUM!</v>
      </c>
      <c r="V77" s="23"/>
      <c r="W77" s="23" t="e">
        <f t="shared" si="9"/>
        <v>#VALUE!</v>
      </c>
      <c r="X77" s="22"/>
      <c r="Y77" s="22" t="e">
        <f t="shared" si="10"/>
        <v>#NUM!</v>
      </c>
      <c r="Z77" s="23" t="e">
        <f>_xll.xlBondPriceCustom(D77,E77,F77,G77,H77,I77,J77,B77,Y77,$AM$2,$AN$2,$AO$2,$AP$2,$AQ$2)</f>
        <v>#NUM!</v>
      </c>
      <c r="AA77" s="20" t="e">
        <f t="array" ref="AA77:AG77">_xll.xlBondYieldSens(D77,E77,F77,G77,H77,I77,J77,B77,W77,$AA$5&amp;$AB$5&amp;$AC$5&amp;$AD$5&amp;$AE$5&amp;$AF$5&amp;$AG$5)</f>
        <v>#NUM!</v>
      </c>
      <c r="AB77" s="20" t="e">
        <v>#NUM!</v>
      </c>
      <c r="AC77" s="20" t="e">
        <v>#NUM!</v>
      </c>
      <c r="AD77" s="20" t="e">
        <v>#NUM!</v>
      </c>
      <c r="AE77" s="20" t="e">
        <v>#NUM!</v>
      </c>
      <c r="AF77" s="20" t="e">
        <v>#NUM!</v>
      </c>
      <c r="AG77" s="24" t="e">
        <v>#NUM!</v>
      </c>
      <c r="AH77" s="22" t="e">
        <f>_xll.xlBondYieldSensCustom(D77,E77,F77,G77,H77,I77,J77,B77,W77,$AM$2,$AN$2,$AO$2,$AP$2,$AQ$2,"y")</f>
        <v>#NUM!</v>
      </c>
      <c r="AI77" s="22"/>
      <c r="AJ77" s="85" t="e">
        <f t="shared" si="11"/>
        <v>#NUM!</v>
      </c>
    </row>
    <row r="78" spans="1:36" ht="15.75" x14ac:dyDescent="0.25">
      <c r="A78" s="2"/>
      <c r="B78" s="19" t="e">
        <f>MAX(_xll.xlBondValueDate(D78,$B$2),I78)</f>
        <v>#NUM!</v>
      </c>
      <c r="C78" s="20" t="e">
        <v>#N/A</v>
      </c>
      <c r="D78" s="86" t="e">
        <f t="array" ref="D78:N78">_xll.BondInfo(C78,$D$5:$N$5)</f>
        <v>#VALUE!</v>
      </c>
      <c r="E78" s="20" t="e">
        <v>#VALUE!</v>
      </c>
      <c r="F78" s="87" t="e">
        <v>#VALUE!</v>
      </c>
      <c r="G78" s="19" t="e">
        <v>#VALUE!</v>
      </c>
      <c r="H78" s="19" t="e">
        <v>#VALUE!</v>
      </c>
      <c r="I78" s="19" t="e">
        <v>#VALUE!</v>
      </c>
      <c r="J78" s="20" t="e">
        <v>#VALUE!</v>
      </c>
      <c r="K78" s="20" t="e">
        <v>#VALUE!</v>
      </c>
      <c r="L78" s="20" t="e">
        <v>#VALUE!</v>
      </c>
      <c r="M78" s="20" t="e">
        <v>#VALUE!</v>
      </c>
      <c r="N78" s="20" t="e">
        <v>#VALUE!</v>
      </c>
      <c r="O78" s="21" t="e">
        <f>_xll.BondOutstanding(C78)</f>
        <v>#VALUE!</v>
      </c>
      <c r="P78" s="25" t="e">
        <f>_xll.xlBondYieldSensCustom(D78,E78,F78,G78,H78,I78,J78,B78,Q78,$AM$2,$AN$2,$AO$2,$AP$2,$AQ$2,"y")</f>
        <v>#NUM!</v>
      </c>
      <c r="Q78" s="26" t="e">
        <f>_xll.RtGet("IDN",$K78,IF(OR($D78="BTP,$E11=""CTZ"),Q$5,Q$4))</f>
        <v>#VALUE!</v>
      </c>
      <c r="R78" s="27" t="e">
        <f>_xll.RtGet("IDN",$K78,IF(OR($D78="BTP,$E11=""CTZ"),R$5,R$4))</f>
        <v>#VALUE!</v>
      </c>
      <c r="S78" s="28" t="e">
        <f>_xll.xlBondYieldSensCustom(D78,E78,F78,G78,H78,I78,J78,B78,R78,$AM$2,$AN$2,$AO$2,$AP$2,$AQ$2,"y")</f>
        <v>#NUM!</v>
      </c>
      <c r="T78" s="23" t="e">
        <f t="shared" si="8"/>
        <v>#VALUE!</v>
      </c>
      <c r="U78" s="83" t="e">
        <f>_xll.xlBondYieldSensCustom(D78,E78,F78,G78,H78,I78,J78,B78,T78,$AM$2,$AN$2,$AO$2,$AP$2,$AQ$2,"y")</f>
        <v>#NUM!</v>
      </c>
      <c r="V78" s="23"/>
      <c r="W78" s="23" t="e">
        <f t="shared" si="9"/>
        <v>#VALUE!</v>
      </c>
      <c r="X78" s="22"/>
      <c r="Y78" s="22" t="e">
        <f t="shared" si="10"/>
        <v>#NUM!</v>
      </c>
      <c r="Z78" s="23" t="e">
        <f>_xll.xlBondPriceCustom(D78,E78,F78,G78,H78,I78,J78,B78,Y78,$AM$2,$AN$2,$AO$2,$AP$2,$AQ$2)</f>
        <v>#NUM!</v>
      </c>
      <c r="AA78" s="20" t="e">
        <f t="array" ref="AA78:AG78">_xll.xlBondYieldSens(D78,E78,F78,G78,H78,I78,J78,B78,W78,$AA$5&amp;$AB$5&amp;$AC$5&amp;$AD$5&amp;$AE$5&amp;$AF$5&amp;$AG$5)</f>
        <v>#NUM!</v>
      </c>
      <c r="AB78" s="20" t="e">
        <v>#NUM!</v>
      </c>
      <c r="AC78" s="20" t="e">
        <v>#NUM!</v>
      </c>
      <c r="AD78" s="20" t="e">
        <v>#NUM!</v>
      </c>
      <c r="AE78" s="20" t="e">
        <v>#NUM!</v>
      </c>
      <c r="AF78" s="20" t="e">
        <v>#NUM!</v>
      </c>
      <c r="AG78" s="24" t="e">
        <v>#NUM!</v>
      </c>
      <c r="AH78" s="22" t="e">
        <f>_xll.xlBondYieldSensCustom(D78,E78,F78,G78,H78,I78,J78,B78,W78,$AM$2,$AN$2,$AO$2,$AP$2,$AQ$2,"y")</f>
        <v>#NUM!</v>
      </c>
      <c r="AI78" s="22"/>
      <c r="AJ78" s="85" t="e">
        <f t="shared" si="11"/>
        <v>#NUM!</v>
      </c>
    </row>
    <row r="79" spans="1:36" ht="15.75" x14ac:dyDescent="0.25">
      <c r="A79" s="2"/>
      <c r="B79" s="19" t="e">
        <f>MAX(_xll.xlBondValueDate(D79,$B$2),I79)</f>
        <v>#NUM!</v>
      </c>
      <c r="C79" s="20" t="e">
        <v>#N/A</v>
      </c>
      <c r="D79" s="86" t="e">
        <f t="array" ref="D79:N79">_xll.BondInfo(C79,$D$5:$N$5)</f>
        <v>#VALUE!</v>
      </c>
      <c r="E79" s="20" t="e">
        <v>#VALUE!</v>
      </c>
      <c r="F79" s="87" t="e">
        <v>#VALUE!</v>
      </c>
      <c r="G79" s="19" t="e">
        <v>#VALUE!</v>
      </c>
      <c r="H79" s="19" t="e">
        <v>#VALUE!</v>
      </c>
      <c r="I79" s="19" t="e">
        <v>#VALUE!</v>
      </c>
      <c r="J79" s="20" t="e">
        <v>#VALUE!</v>
      </c>
      <c r="K79" s="20" t="e">
        <v>#VALUE!</v>
      </c>
      <c r="L79" s="20" t="e">
        <v>#VALUE!</v>
      </c>
      <c r="M79" s="20" t="e">
        <v>#VALUE!</v>
      </c>
      <c r="N79" s="20" t="e">
        <v>#VALUE!</v>
      </c>
      <c r="O79" s="21" t="e">
        <f>_xll.BondOutstanding(C79)</f>
        <v>#VALUE!</v>
      </c>
      <c r="P79" s="25" t="e">
        <f>_xll.xlBondYieldSensCustom(D79,E79,F79,G79,H79,I79,J79,B79,Q79,$AM$2,$AN$2,$AO$2,$AP$2,$AQ$2,"y")</f>
        <v>#NUM!</v>
      </c>
      <c r="Q79" s="26" t="e">
        <f>_xll.RtGet("IDN",$K79,IF(OR($D79="BTP,$E11=""CTZ"),Q$5,Q$4))</f>
        <v>#VALUE!</v>
      </c>
      <c r="R79" s="27" t="e">
        <f>_xll.RtGet("IDN",$K79,IF(OR($D79="BTP,$E11=""CTZ"),R$5,R$4))</f>
        <v>#VALUE!</v>
      </c>
      <c r="S79" s="28" t="e">
        <f>_xll.xlBondYieldSensCustom(D79,E79,F79,G79,H79,I79,J79,B79,R79,$AM$2,$AN$2,$AO$2,$AP$2,$AQ$2,"y")</f>
        <v>#NUM!</v>
      </c>
      <c r="T79" s="23" t="e">
        <f t="shared" si="8"/>
        <v>#VALUE!</v>
      </c>
      <c r="U79" s="83" t="e">
        <f>_xll.xlBondYieldSensCustom(D79,E79,F79,G79,H79,I79,J79,B79,T79,$AM$2,$AN$2,$AO$2,$AP$2,$AQ$2,"y")</f>
        <v>#NUM!</v>
      </c>
      <c r="V79" s="23"/>
      <c r="W79" s="23" t="e">
        <f t="shared" si="9"/>
        <v>#VALUE!</v>
      </c>
      <c r="X79" s="22"/>
      <c r="Y79" s="22" t="e">
        <f t="shared" si="10"/>
        <v>#NUM!</v>
      </c>
      <c r="Z79" s="23" t="e">
        <f>_xll.xlBondPriceCustom(D79,E79,F79,G79,H79,I79,J79,B79,Y79,$AM$2,$AN$2,$AO$2,$AP$2,$AQ$2)</f>
        <v>#NUM!</v>
      </c>
      <c r="AA79" s="20" t="e">
        <f t="array" ref="AA79:AG79">_xll.xlBondYieldSens(D79,E79,F79,G79,H79,I79,J79,B79,W79,$AA$5&amp;$AB$5&amp;$AC$5&amp;$AD$5&amp;$AE$5&amp;$AF$5&amp;$AG$5)</f>
        <v>#NUM!</v>
      </c>
      <c r="AB79" s="20" t="e">
        <v>#NUM!</v>
      </c>
      <c r="AC79" s="20" t="e">
        <v>#NUM!</v>
      </c>
      <c r="AD79" s="20" t="e">
        <v>#NUM!</v>
      </c>
      <c r="AE79" s="20" t="e">
        <v>#NUM!</v>
      </c>
      <c r="AF79" s="20" t="e">
        <v>#NUM!</v>
      </c>
      <c r="AG79" s="24" t="e">
        <v>#NUM!</v>
      </c>
      <c r="AH79" s="22" t="e">
        <f>_xll.xlBondYieldSensCustom(D79,E79,F79,G79,H79,I79,J79,B79,W79,$AM$2,$AN$2,$AO$2,$AP$2,$AQ$2,"y")</f>
        <v>#NUM!</v>
      </c>
      <c r="AI79" s="22"/>
      <c r="AJ79" s="85" t="e">
        <f t="shared" si="11"/>
        <v>#NUM!</v>
      </c>
    </row>
    <row r="80" spans="1:36" ht="15.75" x14ac:dyDescent="0.25">
      <c r="A80" s="2"/>
      <c r="B80" s="19" t="e">
        <f>MAX(_xll.xlBondValueDate(D80,$B$2),I80)</f>
        <v>#NUM!</v>
      </c>
      <c r="C80" s="20" t="e">
        <v>#N/A</v>
      </c>
      <c r="D80" s="86" t="e">
        <f t="array" ref="D80:N80">_xll.BondInfo(C80,$D$5:$N$5)</f>
        <v>#VALUE!</v>
      </c>
      <c r="E80" s="20" t="e">
        <v>#VALUE!</v>
      </c>
      <c r="F80" s="87" t="e">
        <v>#VALUE!</v>
      </c>
      <c r="G80" s="19" t="e">
        <v>#VALUE!</v>
      </c>
      <c r="H80" s="19" t="e">
        <v>#VALUE!</v>
      </c>
      <c r="I80" s="19" t="e">
        <v>#VALUE!</v>
      </c>
      <c r="J80" s="20" t="e">
        <v>#VALUE!</v>
      </c>
      <c r="K80" s="20" t="e">
        <v>#VALUE!</v>
      </c>
      <c r="L80" s="20" t="e">
        <v>#VALUE!</v>
      </c>
      <c r="M80" s="20" t="e">
        <v>#VALUE!</v>
      </c>
      <c r="N80" s="20" t="e">
        <v>#VALUE!</v>
      </c>
      <c r="O80" s="21" t="e">
        <f>_xll.BondOutstanding(C80)</f>
        <v>#VALUE!</v>
      </c>
      <c r="P80" s="25" t="e">
        <f>_xll.xlBondYieldSensCustom(D80,E80,F80,G80,H80,I80,J80,B80,Q80,$AM$2,$AN$2,$AO$2,$AP$2,$AQ$2,"y")</f>
        <v>#NUM!</v>
      </c>
      <c r="Q80" s="26" t="e">
        <f>_xll.RtGet("IDN",$K80,IF(OR($D80="BTP,$E11=""CTZ"),Q$5,Q$4))</f>
        <v>#VALUE!</v>
      </c>
      <c r="R80" s="27" t="e">
        <f>_xll.RtGet("IDN",$K80,IF(OR($D80="BTP,$E11=""CTZ"),R$5,R$4))</f>
        <v>#VALUE!</v>
      </c>
      <c r="S80" s="28" t="e">
        <f>_xll.xlBondYieldSensCustom(D80,E80,F80,G80,H80,I80,J80,B80,R80,$AM$2,$AN$2,$AO$2,$AP$2,$AQ$2,"y")</f>
        <v>#NUM!</v>
      </c>
      <c r="T80" s="23" t="e">
        <f t="shared" si="8"/>
        <v>#VALUE!</v>
      </c>
      <c r="U80" s="83" t="e">
        <f>_xll.xlBondYieldSensCustom(D80,E80,F80,G80,H80,I80,J80,B80,T80,$AM$2,$AN$2,$AO$2,$AP$2,$AQ$2,"y")</f>
        <v>#NUM!</v>
      </c>
      <c r="V80" s="23"/>
      <c r="W80" s="23" t="e">
        <f t="shared" si="9"/>
        <v>#VALUE!</v>
      </c>
      <c r="X80" s="22"/>
      <c r="Y80" s="22" t="e">
        <f t="shared" si="10"/>
        <v>#NUM!</v>
      </c>
      <c r="Z80" s="23" t="e">
        <f>_xll.xlBondPriceCustom(D80,E80,F80,G80,H80,I80,J80,B80,Y80,$AM$2,$AN$2,$AO$2,$AP$2,$AQ$2)</f>
        <v>#NUM!</v>
      </c>
      <c r="AA80" s="20" t="e">
        <f t="array" ref="AA80:AG80">_xll.xlBondYieldSens(D80,E80,F80,G80,H80,I80,J80,B80,W80,$AA$5&amp;$AB$5&amp;$AC$5&amp;$AD$5&amp;$AE$5&amp;$AF$5&amp;$AG$5)</f>
        <v>#NUM!</v>
      </c>
      <c r="AB80" s="20" t="e">
        <v>#NUM!</v>
      </c>
      <c r="AC80" s="20" t="e">
        <v>#NUM!</v>
      </c>
      <c r="AD80" s="20" t="e">
        <v>#NUM!</v>
      </c>
      <c r="AE80" s="20" t="e">
        <v>#NUM!</v>
      </c>
      <c r="AF80" s="20" t="e">
        <v>#NUM!</v>
      </c>
      <c r="AG80" s="24" t="e">
        <v>#NUM!</v>
      </c>
      <c r="AH80" s="22" t="e">
        <f>_xll.xlBondYieldSensCustom(D80,E80,F80,G80,H80,I80,J80,B80,W80,$AM$2,$AN$2,$AO$2,$AP$2,$AQ$2,"y")</f>
        <v>#NUM!</v>
      </c>
      <c r="AI80" s="22"/>
      <c r="AJ80" s="85" t="e">
        <f t="shared" si="11"/>
        <v>#NUM!</v>
      </c>
    </row>
  </sheetData>
  <phoneticPr fontId="0" type="noConversion"/>
  <conditionalFormatting sqref="A6:A80">
    <cfRule type="expression" dxfId="26" priority="1" stopIfTrue="1">
      <formula>$L6="Y"</formula>
    </cfRule>
    <cfRule type="expression" dxfId="25" priority="2" stopIfTrue="1">
      <formula>$D6=0</formula>
    </cfRule>
  </conditionalFormatting>
  <conditionalFormatting sqref="P6:AJ80 B6:N80">
    <cfRule type="expression" dxfId="24" priority="24" stopIfTrue="1">
      <formula>$N6="BKO"</formula>
    </cfRule>
    <cfRule type="expression" dxfId="23" priority="25" stopIfTrue="1">
      <formula>$N6="BUBILL"</formula>
    </cfRule>
    <cfRule type="expression" dxfId="22" priority="26" stopIfTrue="1">
      <formula>$C6=0</formula>
    </cfRule>
  </conditionalFormatting>
  <dataValidations disablePrompts="1" count="1">
    <dataValidation type="list" allowBlank="1" showInputMessage="1" showErrorMessage="1" sqref="D2">
      <formula1>BookList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Q80"/>
  <sheetViews>
    <sheetView showGridLines="0" topLeftCell="N1" zoomScale="85" workbookViewId="0">
      <selection activeCell="Z20" sqref="Z20"/>
    </sheetView>
  </sheetViews>
  <sheetFormatPr defaultRowHeight="12.75" outlineLevelCol="1" x14ac:dyDescent="0.2"/>
  <cols>
    <col min="1" max="1" width="9.7109375" hidden="1" customWidth="1"/>
    <col min="2" max="2" width="13.7109375" customWidth="1"/>
    <col min="3" max="3" width="14.28515625" customWidth="1" outlineLevel="1"/>
    <col min="4" max="4" width="10.7109375" customWidth="1"/>
    <col min="5" max="5" width="5.85546875" customWidth="1"/>
    <col min="6" max="6" width="13.28515625" customWidth="1"/>
    <col min="7" max="9" width="13.7109375" customWidth="1" outlineLevel="1"/>
    <col min="10" max="11" width="15" customWidth="1" outlineLevel="1"/>
    <col min="12" max="12" width="4.140625" customWidth="1"/>
    <col min="13" max="13" width="8.7109375" customWidth="1"/>
    <col min="14" max="15" width="9.140625" customWidth="1"/>
    <col min="16" max="16" width="9.7109375" customWidth="1" collapsed="1"/>
    <col min="17" max="17" width="9.85546875" customWidth="1"/>
    <col min="18" max="18" width="9.5703125" customWidth="1"/>
    <col min="19" max="19" width="9.42578125" customWidth="1" collapsed="1"/>
    <col min="20" max="26" width="10.7109375" customWidth="1"/>
    <col min="27" max="29" width="9.140625" hidden="1" customWidth="1" outlineLevel="1"/>
    <col min="30" max="32" width="12.7109375" hidden="1" customWidth="1" outlineLevel="1"/>
    <col min="33" max="33" width="10.7109375" customWidth="1" collapsed="1"/>
    <col min="34" max="36" width="10.7109375" customWidth="1"/>
    <col min="42" max="42" width="9.28515625" bestFit="1" customWidth="1"/>
  </cols>
  <sheetData>
    <row r="1" spans="1:43" ht="15" customHeight="1" x14ac:dyDescent="0.2">
      <c r="A1" s="1"/>
      <c r="B1" s="8" t="s">
        <v>27</v>
      </c>
      <c r="C1" s="3"/>
      <c r="D1" s="8" t="s">
        <v>29</v>
      </c>
      <c r="E1" s="6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1"/>
      <c r="U1" s="3"/>
      <c r="V1" s="1"/>
      <c r="W1" s="3"/>
      <c r="X1" s="8"/>
      <c r="Y1" s="8" t="s">
        <v>200</v>
      </c>
      <c r="Z1" s="8"/>
      <c r="AA1" s="3"/>
      <c r="AB1" s="3"/>
      <c r="AC1" s="3"/>
      <c r="AD1" s="3"/>
      <c r="AE1" s="3"/>
      <c r="AF1" s="3"/>
      <c r="AG1" s="3"/>
      <c r="AI1" s="8" t="s">
        <v>201</v>
      </c>
      <c r="AJ1" s="8" t="s">
        <v>202</v>
      </c>
      <c r="AM1" s="9" t="s">
        <v>92</v>
      </c>
      <c r="AN1" s="10" t="s">
        <v>93</v>
      </c>
      <c r="AO1" s="10" t="s">
        <v>94</v>
      </c>
      <c r="AP1" s="10" t="s">
        <v>95</v>
      </c>
      <c r="AQ1" s="11" t="s">
        <v>96</v>
      </c>
    </row>
    <row r="2" spans="1:43" ht="15" customHeight="1" thickBot="1" x14ac:dyDescent="0.25">
      <c r="A2" s="1"/>
      <c r="B2" s="12">
        <f ca="1">TODAY()</f>
        <v>41626</v>
      </c>
      <c r="C2" s="3"/>
      <c r="D2" s="13" t="s">
        <v>236</v>
      </c>
      <c r="E2" s="6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1"/>
      <c r="U2" s="3"/>
      <c r="V2" s="1"/>
      <c r="W2" s="3"/>
      <c r="X2" s="5"/>
      <c r="Y2" s="5"/>
      <c r="Z2" s="5"/>
      <c r="AA2" s="3"/>
      <c r="AB2" s="3"/>
      <c r="AC2" s="3"/>
      <c r="AD2" s="3"/>
      <c r="AE2" s="3"/>
      <c r="AF2" s="3"/>
      <c r="AG2" s="5" t="s">
        <v>42</v>
      </c>
      <c r="AH2" s="5" t="s">
        <v>42</v>
      </c>
      <c r="AI2" s="6"/>
      <c r="AJ2" s="3"/>
      <c r="AM2" s="14">
        <v>4</v>
      </c>
      <c r="AN2" s="15">
        <v>1</v>
      </c>
      <c r="AO2" s="15">
        <v>0</v>
      </c>
      <c r="AP2" s="15">
        <v>2</v>
      </c>
      <c r="AQ2" s="16">
        <v>1</v>
      </c>
    </row>
    <row r="3" spans="1:43" ht="15" customHeight="1" thickBot="1" x14ac:dyDescent="0.25">
      <c r="A3" s="7" t="s">
        <v>57</v>
      </c>
      <c r="B3" s="7" t="s">
        <v>37</v>
      </c>
      <c r="C3" s="7" t="s">
        <v>38</v>
      </c>
      <c r="D3" s="7" t="s">
        <v>39</v>
      </c>
      <c r="E3" s="7" t="s">
        <v>110</v>
      </c>
      <c r="F3" s="7" t="s">
        <v>43</v>
      </c>
      <c r="G3" s="7" t="s">
        <v>102</v>
      </c>
      <c r="H3" s="7" t="s">
        <v>103</v>
      </c>
      <c r="I3" s="7" t="s">
        <v>104</v>
      </c>
      <c r="J3" s="7" t="s">
        <v>13</v>
      </c>
      <c r="K3" s="7" t="s">
        <v>15</v>
      </c>
      <c r="L3" s="7" t="s">
        <v>40</v>
      </c>
      <c r="M3" s="7" t="s">
        <v>44</v>
      </c>
      <c r="N3" s="7"/>
      <c r="O3" s="7"/>
      <c r="P3" s="7" t="s">
        <v>106</v>
      </c>
      <c r="Q3" s="7" t="s">
        <v>18</v>
      </c>
      <c r="R3" s="7" t="s">
        <v>19</v>
      </c>
      <c r="S3" s="7" t="s">
        <v>105</v>
      </c>
      <c r="T3" s="7" t="s">
        <v>205</v>
      </c>
      <c r="U3" s="7" t="s">
        <v>203</v>
      </c>
      <c r="V3" s="7" t="s">
        <v>207</v>
      </c>
      <c r="W3" s="7" t="s">
        <v>41</v>
      </c>
      <c r="X3" s="7" t="s">
        <v>206</v>
      </c>
      <c r="Y3" s="7" t="s">
        <v>41</v>
      </c>
      <c r="Z3" s="7" t="s">
        <v>204</v>
      </c>
      <c r="AA3" s="7"/>
      <c r="AB3" s="7"/>
      <c r="AC3" s="7"/>
      <c r="AD3" s="7"/>
      <c r="AE3" s="7"/>
      <c r="AF3" s="7"/>
      <c r="AG3" s="7" t="s">
        <v>108</v>
      </c>
      <c r="AH3" s="7" t="s">
        <v>109</v>
      </c>
      <c r="AI3" s="7" t="s">
        <v>97</v>
      </c>
      <c r="AJ3" s="7" t="s">
        <v>107</v>
      </c>
    </row>
    <row r="4" spans="1:43" ht="15" hidden="1" customHeight="1" x14ac:dyDescent="0.2">
      <c r="B4" s="3"/>
      <c r="C4" s="3"/>
      <c r="D4" s="13"/>
      <c r="E4" s="6"/>
      <c r="F4" s="3"/>
      <c r="G4" s="3"/>
      <c r="H4" s="3"/>
      <c r="I4" s="3"/>
      <c r="J4" s="3"/>
      <c r="K4" s="3"/>
      <c r="L4" s="3"/>
      <c r="M4" s="8"/>
      <c r="N4" s="3"/>
      <c r="O4" s="3"/>
      <c r="P4" s="3"/>
      <c r="Q4" s="3" t="s">
        <v>25</v>
      </c>
      <c r="R4" s="3" t="s">
        <v>26</v>
      </c>
      <c r="S4" s="3"/>
      <c r="T4" s="8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6"/>
      <c r="AJ4" s="3"/>
    </row>
    <row r="5" spans="1:43" ht="15" hidden="1" customHeight="1" thickBot="1" x14ac:dyDescent="0.25">
      <c r="B5" s="7" t="s">
        <v>28</v>
      </c>
      <c r="C5" s="4">
        <f t="array" ref="C5:C80">_xll.GetLogicBookInstruments(D2,"n")</f>
        <v>37</v>
      </c>
      <c r="D5" s="7" t="s">
        <v>14</v>
      </c>
      <c r="E5" s="7" t="s">
        <v>8</v>
      </c>
      <c r="F5" s="7" t="s">
        <v>9</v>
      </c>
      <c r="G5" s="7" t="s">
        <v>10</v>
      </c>
      <c r="H5" s="7" t="s">
        <v>11</v>
      </c>
      <c r="I5" s="7" t="s">
        <v>12</v>
      </c>
      <c r="J5" s="7" t="s">
        <v>13</v>
      </c>
      <c r="K5" s="7" t="s">
        <v>15</v>
      </c>
      <c r="L5" s="7" t="s">
        <v>17</v>
      </c>
      <c r="M5" s="7" t="s">
        <v>62</v>
      </c>
      <c r="N5" s="7" t="s">
        <v>238</v>
      </c>
      <c r="O5" s="7" t="s">
        <v>16</v>
      </c>
      <c r="P5" s="4"/>
      <c r="Q5" s="7" t="s">
        <v>23</v>
      </c>
      <c r="R5" s="7" t="s">
        <v>24</v>
      </c>
      <c r="S5" s="4"/>
      <c r="T5" s="7" t="s">
        <v>20</v>
      </c>
      <c r="U5" s="7"/>
      <c r="V5" s="7" t="s">
        <v>21</v>
      </c>
      <c r="W5" s="7" t="s">
        <v>22</v>
      </c>
      <c r="X5" s="7" t="s">
        <v>21</v>
      </c>
      <c r="Y5" s="7" t="s">
        <v>22</v>
      </c>
      <c r="Z5" s="7"/>
      <c r="AA5" s="7" t="s">
        <v>35</v>
      </c>
      <c r="AB5" s="7" t="s">
        <v>31</v>
      </c>
      <c r="AC5" s="7" t="s">
        <v>32</v>
      </c>
      <c r="AD5" s="7" t="s">
        <v>33</v>
      </c>
      <c r="AE5" s="7" t="s">
        <v>34</v>
      </c>
      <c r="AF5" s="7" t="s">
        <v>36</v>
      </c>
      <c r="AG5" s="7" t="s">
        <v>30</v>
      </c>
      <c r="AH5" s="18"/>
      <c r="AI5" s="17"/>
      <c r="AJ5" s="18"/>
    </row>
    <row r="6" spans="1:43" ht="15.75" x14ac:dyDescent="0.25">
      <c r="A6" s="2" t="s">
        <v>59</v>
      </c>
      <c r="B6" s="19">
        <f ca="1">IF(C6=0,NA(),MAX(_xll.xlBondValueDate(D6,$B$2),I6))</f>
        <v>41627</v>
      </c>
      <c r="C6" s="20" t="str">
        <v>FR0121616041</v>
      </c>
      <c r="D6" s="86" t="str">
        <f t="array" ref="D6:N6">_xll.BondInfo(C6,$D$5:$N$5)</f>
        <v>BTF</v>
      </c>
      <c r="E6" s="20">
        <v>0</v>
      </c>
      <c r="F6" s="87">
        <v>41627</v>
      </c>
      <c r="G6" s="19">
        <v>41536</v>
      </c>
      <c r="H6" s="19">
        <v>41627</v>
      </c>
      <c r="I6" s="19">
        <v>41536</v>
      </c>
      <c r="J6" s="20">
        <v>999</v>
      </c>
      <c r="K6" s="20" t="str">
        <v>FR191213B=</v>
      </c>
      <c r="L6" s="20" t="str">
        <v>N</v>
      </c>
      <c r="M6" s="20" t="str">
        <v>EJ8355251</v>
      </c>
      <c r="N6" s="20" t="str">
        <v>BTF</v>
      </c>
      <c r="O6" s="21">
        <f>_xll.BondOutstanding(C6)</f>
        <v>8171000000</v>
      </c>
      <c r="P6" s="25" t="str">
        <f ca="1">_xll.xlBondYieldSensCustom(D6,E6,F6,G6,H6,I6,J6,B6,Q6,$AM$2,$AN$2,$AO$2,$AP$2,$AQ$2,"y")</f>
        <v>Bond not alive on calculation date</v>
      </c>
      <c r="Q6" s="26">
        <f>_xll.RtGet("IDN",$K6,IF(OR($D6="BTP,$E11=""CTZ"),Q$5,Q$4))</f>
        <v>99.998999999999995</v>
      </c>
      <c r="R6" s="27">
        <f>_xll.RtGet("IDN",$K6,IF(OR($D6="BTP,$E11=""CTZ"),R$5,R$4))</f>
        <v>99.998999999999995</v>
      </c>
      <c r="S6" s="28" t="str">
        <f ca="1">_xll.xlBondYieldSensCustom(D6,E6,F6,G6,H6,I6,J6,B6,R6,$AM$2,$AN$2,$AO$2,$AP$2,$AQ$2,"y")</f>
        <v>Bond not alive on calculation date</v>
      </c>
      <c r="T6" s="23">
        <f t="shared" ref="T6:T37" si="0">AVERAGE(Q6:R6)</f>
        <v>99.998999999999995</v>
      </c>
      <c r="U6" s="83" t="str">
        <f ca="1">_xll.xlBondYieldSensCustom(D6,E6,F6,G6,H6,I6,J6,B6,T6,$AM$2,$AN$2,$AO$2,$AP$2,$AQ$2,"y")</f>
        <v>Bond not alive on calculation date</v>
      </c>
      <c r="V6" s="23"/>
      <c r="W6" s="23">
        <f t="shared" ref="W6:W37" si="1">IF(ISNUMBER(V6),V6,T6)</f>
        <v>99.998999999999995</v>
      </c>
      <c r="X6" s="22"/>
      <c r="Y6" s="22" t="str">
        <f t="shared" ref="Y6:Y37" ca="1" si="2">IF(ISNUMBER(X6),X6,AH6)</f>
        <v>Bond not alive on calculation date</v>
      </c>
      <c r="Z6" s="23" t="e">
        <f ca="1">_xll.xlBondPriceCustom(D6,E6,F6,G6,H6,I6,J6,B6,Y6,$AM$2,$AN$2,$AO$2,$AP$2,$AQ$2)</f>
        <v>#NUM!</v>
      </c>
      <c r="AA6" s="20" t="str">
        <f t="array" aca="1" ref="AA6:AG6" ca="1">_xll.xlBondYieldSens(D6,E6,F6,G6,H6,I6,J6,B6,W6,$AA$5&amp;$AB$5&amp;$AC$5&amp;$AD$5&amp;$AE$5&amp;$AF$5&amp;$AG$5)</f>
        <v>Bond not alive on calculation date</v>
      </c>
      <c r="AB6" s="20" t="str">
        <f ca="1"/>
        <v>Bond not alive on calculation date</v>
      </c>
      <c r="AC6" s="20" t="str">
        <f ca="1"/>
        <v>Bond not alive on calculation date</v>
      </c>
      <c r="AD6" s="20" t="str">
        <f ca="1"/>
        <v>Bond not alive on calculation date</v>
      </c>
      <c r="AE6" s="20" t="str">
        <f ca="1"/>
        <v>Bond not alive on calculation date</v>
      </c>
      <c r="AF6" s="20" t="str">
        <f ca="1"/>
        <v>Bond not alive on calculation date</v>
      </c>
      <c r="AG6" s="24" t="str">
        <f ca="1"/>
        <v>Bond not alive on calculation date</v>
      </c>
      <c r="AH6" s="22" t="str">
        <f ca="1">_xll.xlBondYieldSensCustom(D6,E6,F6,G6,H6,I6,J6,B6,W6,$AM$2,$AN$2,$AO$2,$AP$2,$AQ$2,"y")</f>
        <v>Bond not alive on calculation date</v>
      </c>
      <c r="AI6" s="22" t="str">
        <f ca="1">IF(TRUE,_xll.xlShmInterpRateFwd("EONIA",_xll.xlDateSettle("target",$B$2,2),0,4,$F6),"")</f>
        <v>Invalid date.</v>
      </c>
      <c r="AJ6" s="85" t="e">
        <f t="shared" ref="AJ6:AJ37" ca="1" si="3">$Y6-$AI6</f>
        <v>#VALUE!</v>
      </c>
      <c r="AO6" s="84"/>
    </row>
    <row r="7" spans="1:43" ht="15.75" x14ac:dyDescent="0.25">
      <c r="A7" s="2" t="s">
        <v>60</v>
      </c>
      <c r="B7" s="19">
        <f ca="1">MAX(_xll.xlBondValueDate(D7,$B$2),I7)</f>
        <v>41627</v>
      </c>
      <c r="C7" s="20" t="str">
        <v>FR0121616066</v>
      </c>
      <c r="D7" s="86" t="str">
        <f t="array" ref="D7:N7">_xll.BondInfo(C7,$D$5:$N$5)</f>
        <v>BTF</v>
      </c>
      <c r="E7" s="20">
        <v>0</v>
      </c>
      <c r="F7" s="87">
        <v>41635</v>
      </c>
      <c r="G7" s="19">
        <v>41459</v>
      </c>
      <c r="H7" s="19">
        <v>41635</v>
      </c>
      <c r="I7" s="19">
        <v>41459</v>
      </c>
      <c r="J7" s="20">
        <v>999</v>
      </c>
      <c r="K7" s="20" t="str">
        <v>FR271213B=</v>
      </c>
      <c r="L7" s="20" t="str">
        <v>N</v>
      </c>
      <c r="M7" s="20" t="str">
        <v>EJ7391828</v>
      </c>
      <c r="N7" s="20" t="str">
        <v>BTF</v>
      </c>
      <c r="O7" s="21">
        <f>_xll.BondOutstanding(C7)</f>
        <v>7593000000</v>
      </c>
      <c r="P7" s="25">
        <f ca="1">_xll.xlBondYieldSensCustom(D7,E7,F7,G7,H7,I7,J7,B7,Q7,$AM$2,$AN$2,$AO$2,$AP$2,$AQ$2,"y")</f>
        <v>2.2501125056195725E-3</v>
      </c>
      <c r="Q7" s="26">
        <f>_xll.RtGet("IDN",$K7,IF(OR($D7="BTP,$E11=""CTZ"),Q$5,Q$4))</f>
        <v>99.995000000000005</v>
      </c>
      <c r="R7" s="27">
        <f>_xll.RtGet("IDN",$K7,IF(OR($D7="BTP,$E11=""CTZ"),R$5,R$4))</f>
        <v>99.997</v>
      </c>
      <c r="S7" s="28">
        <f ca="1">_xll.xlBondYieldSensCustom(D7,E7,F7,G7,H7,I7,J7,B7,R7,$AM$2,$AN$2,$AO$2,$AP$2,$AQ$2,"y")</f>
        <v>1.350040501211236E-3</v>
      </c>
      <c r="T7" s="23">
        <f t="shared" si="0"/>
        <v>99.996000000000009</v>
      </c>
      <c r="U7" s="83">
        <f ca="1">_xll.xlBondYieldSensCustom(D7,E7,F7,G7,H7,I7,J7,B7,T7,$AM$2,$AN$2,$AO$2,$AP$2,$AQ$2,"y")</f>
        <v>1.8000720028754635E-3</v>
      </c>
      <c r="V7" s="23"/>
      <c r="W7" s="23">
        <f t="shared" si="1"/>
        <v>99.996000000000009</v>
      </c>
      <c r="X7" s="22"/>
      <c r="Y7" s="22">
        <f t="shared" ca="1" si="2"/>
        <v>1.8000720028754635E-3</v>
      </c>
      <c r="Z7" s="23">
        <f ca="1">_xll.xlBondPriceCustom(D7,E7,F7,G7,H7,I7,J7,B7,Y7,$AM$2,$AN$2,$AO$2,$AP$2,$AQ$2)</f>
        <v>99.996000000000009</v>
      </c>
      <c r="AA7" s="20">
        <f t="array" aca="1" ref="AA7:AG7" ca="1">_xll.xlBondYieldSens(D7,E7,F7,G7,H7,I7,J7,B7,W7,$AA$5&amp;$AB$5&amp;$AC$5&amp;$AD$5&amp;$AE$5&amp;$AF$5&amp;$AG$5)</f>
        <v>0</v>
      </c>
      <c r="AB7" s="20">
        <f ca="1"/>
        <v>2.2221333333333336E-2</v>
      </c>
      <c r="AC7" s="20">
        <f ca="1"/>
        <v>-2.2220444480000004E-2</v>
      </c>
      <c r="AD7" s="20">
        <f ca="1"/>
        <v>9.8761481481481494E-6</v>
      </c>
      <c r="AE7" s="20">
        <f ca="1"/>
        <v>9.8753580720981388E-6</v>
      </c>
      <c r="AF7" s="20">
        <f ca="1"/>
        <v>2.2220444479614798E-2</v>
      </c>
      <c r="AG7" s="24">
        <f ca="1"/>
        <v>1.8000720028754635E-3</v>
      </c>
      <c r="AH7" s="22">
        <f ca="1">_xll.xlBondYieldSensCustom(D7,E7,F7,G7,H7,I7,J7,B7,W7,$AM$2,$AN$2,$AO$2,$AP$2,$AQ$2,"y")</f>
        <v>1.8000720028754635E-3</v>
      </c>
      <c r="AI7" s="22">
        <f ca="1">IF(TRUE,_xll.xlShmInterpRateFwd("EONIA",_xll.xlDateSettle("target",$B$2,2),0,4,$F7),"")</f>
        <v>1.9300000000044963E-3</v>
      </c>
      <c r="AJ7" s="85">
        <f t="shared" ca="1" si="3"/>
        <v>-1.2992799712903272E-4</v>
      </c>
      <c r="AO7" s="84"/>
    </row>
    <row r="8" spans="1:43" ht="15.75" x14ac:dyDescent="0.25">
      <c r="A8" s="2" t="s">
        <v>61</v>
      </c>
      <c r="B8" s="19">
        <f ca="1">MAX(_xll.xlBondValueDate(D8,$B$2),I8)</f>
        <v>41627</v>
      </c>
      <c r="C8" s="20" t="str">
        <v>FR0121616058</v>
      </c>
      <c r="D8" s="86" t="str">
        <f t="array" ref="D8:N8">_xll.BondInfo(C8,$D$5:$N$5)</f>
        <v>BTF</v>
      </c>
      <c r="E8" s="20">
        <v>0</v>
      </c>
      <c r="F8" s="87">
        <v>41641</v>
      </c>
      <c r="G8" s="19">
        <v>41550</v>
      </c>
      <c r="H8" s="19">
        <v>41641</v>
      </c>
      <c r="I8" s="19">
        <v>41550</v>
      </c>
      <c r="J8" s="20">
        <v>999</v>
      </c>
      <c r="K8" s="20" t="str">
        <v>FR020114B=</v>
      </c>
      <c r="L8" s="20" t="str">
        <v>N</v>
      </c>
      <c r="M8" s="20" t="str">
        <v>EJ8598553</v>
      </c>
      <c r="N8" s="20" t="str">
        <v>BTF</v>
      </c>
      <c r="O8" s="21">
        <f>_xll.BondOutstanding(C8)</f>
        <v>7793000000</v>
      </c>
      <c r="P8" s="25">
        <f ca="1">_xll.xlBondYieldSensCustom(D8,E8,F8,G8,H8,I8,J8,B8,Q8,$AM$2,$AN$2,$AO$2,$AP$2,$AQ$2,"y")</f>
        <v>2.8288826054295563E-3</v>
      </c>
      <c r="Q8" s="26">
        <f>_xll.RtGet("IDN",$K8,IF(OR($D8="BTP,$E11=""CTZ"),Q$5,Q$4))</f>
        <v>99.989000000000004</v>
      </c>
      <c r="R8" s="27">
        <f>_xll.RtGet("IDN",$K8,IF(OR($D8="BTP,$E11=""CTZ"),R$5,R$4))</f>
        <v>99.992999999999995</v>
      </c>
      <c r="S8" s="28">
        <f ca="1">_xll.xlBondYieldSensCustom(D8,E8,F8,G8,H8,I8,J8,B8,R8,$AM$2,$AN$2,$AO$2,$AP$2,$AQ$2,"y")</f>
        <v>1.8001260088208934E-3</v>
      </c>
      <c r="T8" s="23">
        <f t="shared" si="0"/>
        <v>99.991</v>
      </c>
      <c r="U8" s="83">
        <f ca="1">_xll.xlBondYieldSensCustom(D8,E8,F8,G8,H8,I8,J8,B8,T8,$AM$2,$AN$2,$AO$2,$AP$2,$AQ$2,"y")</f>
        <v>2.314494018521478E-3</v>
      </c>
      <c r="V8" s="23"/>
      <c r="W8" s="23">
        <f t="shared" si="1"/>
        <v>99.991</v>
      </c>
      <c r="X8" s="22"/>
      <c r="Y8" s="22">
        <f t="shared" ca="1" si="2"/>
        <v>2.314494018521478E-3</v>
      </c>
      <c r="Z8" s="23">
        <f ca="1">_xll.xlBondPriceCustom(D8,E8,F8,G8,H8,I8,J8,B8,Y8,$AM$2,$AN$2,$AO$2,$AP$2,$AQ$2)</f>
        <v>99.991000000000881</v>
      </c>
      <c r="AA8" s="20">
        <f t="array" aca="1" ref="AA8:AG8" ca="1">_xll.xlBondYieldSens(D8,E8,F8,G8,H8,I8,J8,B8,W8,$AA$5&amp;$AB$5&amp;$AC$5&amp;$AD$5&amp;$AE$5&amp;$AF$5&amp;$AG$5)</f>
        <v>0</v>
      </c>
      <c r="AB8" s="20">
        <f ca="1"/>
        <v>3.8885388888888886E-2</v>
      </c>
      <c r="AC8" s="20">
        <f ca="1"/>
        <v>-3.8881889203888881E-2</v>
      </c>
      <c r="AD8" s="20">
        <f ca="1"/>
        <v>3.0244191358024689E-5</v>
      </c>
      <c r="AE8" s="20">
        <f ca="1"/>
        <v>3.023874764855819E-5</v>
      </c>
      <c r="AF8" s="20">
        <f ca="1"/>
        <v>3.8881889204844811E-2</v>
      </c>
      <c r="AG8" s="24">
        <f ca="1"/>
        <v>2.314494018521478E-3</v>
      </c>
      <c r="AH8" s="22">
        <f ca="1">_xll.xlBondYieldSensCustom(D8,E8,F8,G8,H8,I8,J8,B8,W8,$AM$2,$AN$2,$AO$2,$AP$2,$AQ$2,"y")</f>
        <v>2.314494018521478E-3</v>
      </c>
      <c r="AI8" s="22">
        <f ca="1">IF(TRUE,_xll.xlShmInterpRateFwd("EONIA",_xll.xlDateSettle("target",$B$2,2),0,4,$F8),"")</f>
        <v>2.3205100494058336E-3</v>
      </c>
      <c r="AJ8" s="85">
        <f t="shared" ca="1" si="3"/>
        <v>-6.0160308843555839E-6</v>
      </c>
      <c r="AO8" s="84"/>
    </row>
    <row r="9" spans="1:43" ht="15.75" x14ac:dyDescent="0.25">
      <c r="A9" s="2" t="s">
        <v>52</v>
      </c>
      <c r="B9" s="19">
        <f ca="1">MAX(_xll.xlBondValueDate(D9,$B$2),I9)</f>
        <v>41627</v>
      </c>
      <c r="C9" s="20" t="str">
        <v>FR0121205290</v>
      </c>
      <c r="D9" s="86" t="str">
        <f t="array" ref="D9:N9">_xll.BondInfo(C9,$D$5:$N$5)</f>
        <v>BTF</v>
      </c>
      <c r="E9" s="20">
        <v>0</v>
      </c>
      <c r="F9" s="87">
        <v>41648</v>
      </c>
      <c r="G9" s="19">
        <v>41291</v>
      </c>
      <c r="H9" s="19">
        <v>41648</v>
      </c>
      <c r="I9" s="19">
        <v>41291</v>
      </c>
      <c r="J9" s="20">
        <v>999</v>
      </c>
      <c r="K9" s="20" t="str">
        <v>FR090114B=</v>
      </c>
      <c r="L9" s="20" t="str">
        <v>N</v>
      </c>
      <c r="M9" s="20" t="str">
        <v>EJ5125905</v>
      </c>
      <c r="N9" s="20" t="str">
        <v>BTF</v>
      </c>
      <c r="O9" s="21">
        <f>_xll.BondOutstanding(C9)</f>
        <v>6684000000</v>
      </c>
      <c r="P9" s="25">
        <f ca="1">_xll.xlBondYieldSensCustom(D9,E9,F9,G9,H9,I9,J9,B9,Q9,$AM$2,$AN$2,$AO$2,$AP$2,$AQ$2,"y")</f>
        <v>1.7144571600040998E-3</v>
      </c>
      <c r="Q9" s="26">
        <f>_xll.RtGet("IDN",$K9,IF(OR($D9="BTP,$E11=""CTZ"),Q$5,Q$4))</f>
        <v>99.99</v>
      </c>
      <c r="R9" s="27">
        <f>_xll.RtGet("IDN",$K9,IF(OR($D9="BTP,$E11=""CTZ"),R$5,R$4))</f>
        <v>99.992999999999995</v>
      </c>
      <c r="S9" s="28">
        <f ca="1">_xll.xlBondYieldSensCustom(D9,E9,F9,G9,H9,I9,J9,B9,R9,$AM$2,$AN$2,$AO$2,$AP$2,$AQ$2,"y")</f>
        <v>1.2000840058805956E-3</v>
      </c>
      <c r="T9" s="23">
        <f t="shared" si="0"/>
        <v>99.991500000000002</v>
      </c>
      <c r="U9" s="83">
        <f ca="1">_xll.xlBondYieldSensCustom(D9,E9,F9,G9,H9,I9,J9,B9,T9,$AM$2,$AN$2,$AO$2,$AP$2,$AQ$2,"y")</f>
        <v>1.4572667249288834E-3</v>
      </c>
      <c r="V9" s="23"/>
      <c r="W9" s="23">
        <f t="shared" si="1"/>
        <v>99.991500000000002</v>
      </c>
      <c r="X9" s="22"/>
      <c r="Y9" s="22">
        <f t="shared" ca="1" si="2"/>
        <v>1.4572667249288834E-3</v>
      </c>
      <c r="Z9" s="23">
        <f ca="1">_xll.xlBondPriceCustom(D9,E9,F9,G9,H9,I9,J9,B9,Y9,$AM$2,$AN$2,$AO$2,$AP$2,$AQ$2)</f>
        <v>99.991499999999334</v>
      </c>
      <c r="AA9" s="20">
        <f t="array" aca="1" ref="AA9:AG9" ca="1">_xll.xlBondYieldSens(D9,E9,F9,G9,H9,I9,J9,B9,W9,$AA$5&amp;$AB$5&amp;$AC$5&amp;$AD$5&amp;$AE$5&amp;$AF$5&amp;$AG$5)</f>
        <v>0</v>
      </c>
      <c r="AB9" s="20">
        <f ca="1"/>
        <v>5.8328374999999995E-2</v>
      </c>
      <c r="AC9" s="20">
        <f ca="1"/>
        <v>-5.8323417088124989E-2</v>
      </c>
      <c r="AD9" s="20">
        <f ca="1"/>
        <v>6.8049770833333333E-5</v>
      </c>
      <c r="AE9" s="20">
        <f ca="1"/>
        <v>6.8038202863951252E-5</v>
      </c>
      <c r="AF9" s="20">
        <f ca="1"/>
        <v>5.8323417089667373E-2</v>
      </c>
      <c r="AG9" s="24">
        <f ca="1"/>
        <v>1.4572667249288834E-3</v>
      </c>
      <c r="AH9" s="22">
        <f ca="1">_xll.xlBondYieldSensCustom(D9,E9,F9,G9,H9,I9,J9,B9,W9,$AM$2,$AN$2,$AO$2,$AP$2,$AQ$2,"y")</f>
        <v>1.4572667249288834E-3</v>
      </c>
      <c r="AI9" s="22">
        <f ca="1">IF(TRUE,_xll.xlShmInterpRateFwd("EONIA",_xll.xlDateSettle("target",$B$2,2),0,4,$F9),"")</f>
        <v>2.1901531159666536E-3</v>
      </c>
      <c r="AJ9" s="85">
        <f t="shared" ca="1" si="3"/>
        <v>-7.3288639103777017E-4</v>
      </c>
      <c r="AO9" s="84"/>
    </row>
    <row r="10" spans="1:43" ht="15.75" x14ac:dyDescent="0.25">
      <c r="A10" s="2" t="s">
        <v>53</v>
      </c>
      <c r="B10" s="19">
        <f ca="1">MAX(_xll.xlBondValueDate(D10,$B$2),I10)</f>
        <v>41627</v>
      </c>
      <c r="C10" s="20" t="str">
        <v>FR0116114978</v>
      </c>
      <c r="D10" s="86" t="str">
        <f t="array" ref="D10:N10">_xll.BondInfo(C10,$D$5:$N$5)</f>
        <v>BTAN</v>
      </c>
      <c r="E10" s="20">
        <v>2.5</v>
      </c>
      <c r="F10" s="87">
        <v>41651</v>
      </c>
      <c r="G10" s="19">
        <v>39825</v>
      </c>
      <c r="H10" s="19">
        <v>40190</v>
      </c>
      <c r="I10" s="19">
        <v>39840</v>
      </c>
      <c r="J10" s="20">
        <v>97.99</v>
      </c>
      <c r="K10" s="20" t="str">
        <v>FR090114B=</v>
      </c>
      <c r="L10" s="20" t="str">
        <v>N</v>
      </c>
      <c r="M10" s="20" t="str">
        <v>EH6932360</v>
      </c>
      <c r="N10" s="20" t="str">
        <v>BTNS</v>
      </c>
      <c r="O10" s="21">
        <f>_xll.BondOutstanding(C10)</f>
        <v>21652000000</v>
      </c>
      <c r="P10" s="25">
        <f ca="1">_xll.xlBondYieldSensCustom(D10,E10,F10,G10,H10,I10,J10,B10,Q10,$AM$2,$AN$2,$AO$2,$AP$2,$AQ$2,"y")</f>
        <v>2.4540516001593314E-2</v>
      </c>
      <c r="Q10" s="26">
        <f>_xll.RtGet("IDN",$K10,IF(OR($D10="BTP,$E11=""CTZ"),Q$5,Q$4))</f>
        <v>99.99</v>
      </c>
      <c r="R10" s="27">
        <f>_xll.RtGet("IDN",$K10,IF(OR($D10="BTP,$E11=""CTZ"),R$5,R$4))</f>
        <v>99.992999999999995</v>
      </c>
      <c r="S10" s="28">
        <f ca="1">_xll.xlBondYieldSensCustom(D10,E10,F10,G10,H10,I10,J10,B10,R10,$AM$2,$AN$2,$AO$2,$AP$2,$AQ$2,"y")</f>
        <v>2.4117628447650724E-2</v>
      </c>
      <c r="T10" s="23">
        <f t="shared" si="0"/>
        <v>99.991500000000002</v>
      </c>
      <c r="U10" s="83">
        <f ca="1">_xll.xlBondYieldSensCustom(D10,E10,F10,G10,H10,I10,J10,B10,T10,$AM$2,$AN$2,$AO$2,$AP$2,$AQ$2,"y")</f>
        <v>2.4329069130522105E-2</v>
      </c>
      <c r="V10" s="23"/>
      <c r="W10" s="23">
        <f t="shared" si="1"/>
        <v>99.991500000000002</v>
      </c>
      <c r="X10" s="22"/>
      <c r="Y10" s="22">
        <f t="shared" ca="1" si="2"/>
        <v>2.4329069130522105E-2</v>
      </c>
      <c r="Z10" s="23">
        <f ca="1">_xll.xlBondPriceCustom(D10,E10,F10,G10,H10,I10,J10,B10,Y10,$AM$2,$AN$2,$AO$2,$AP$2,$AQ$2)</f>
        <v>99.991499985990018</v>
      </c>
      <c r="AA10" s="20">
        <f t="array" aca="1" ref="AA10:AG10" ca="1">_xll.xlBondYieldSens(D10,E10,F10,G10,H10,I10,J10,B10,W10,$AA$5&amp;$AB$5&amp;$AC$5&amp;$AD$5&amp;$AE$5&amp;$AF$5&amp;$AG$5)</f>
        <v>2.3356164383561646</v>
      </c>
      <c r="AB10" s="20">
        <f ca="1"/>
        <v>6.575342465753424E-2</v>
      </c>
      <c r="AC10" s="20">
        <f ca="1"/>
        <v>-6.4086845711230883E-2</v>
      </c>
      <c r="AD10" s="20">
        <f ca="1"/>
        <v>7.0076937511728279E-4</v>
      </c>
      <c r="AE10" s="20">
        <f ca="1"/>
        <v>6.6569631481694944E-4</v>
      </c>
      <c r="AF10" s="20">
        <f ca="1"/>
        <v>6.5578191829018806E-2</v>
      </c>
      <c r="AG10" s="24">
        <f ca="1"/>
        <v>2.6005471774800702E-2</v>
      </c>
      <c r="AH10" s="22">
        <f ca="1">_xll.xlBondYieldSensCustom(D10,E10,F10,G10,H10,I10,J10,B10,W10,$AM$2,$AN$2,$AO$2,$AP$2,$AQ$2,"y")</f>
        <v>2.4329069130522105E-2</v>
      </c>
      <c r="AI10" s="22">
        <f ca="1">IF(TRUE,_xll.xlShmInterpRateFwd("EONIA",_xll.xlDateSettle("target",$B$2,2),0,4,$F10),"")</f>
        <v>2.1251746839623044E-3</v>
      </c>
      <c r="AJ10" s="85">
        <f t="shared" ca="1" si="3"/>
        <v>2.2203894446559801E-2</v>
      </c>
      <c r="AO10" s="84"/>
    </row>
    <row r="11" spans="1:43" ht="15.75" x14ac:dyDescent="0.25">
      <c r="A11" s="2" t="s">
        <v>56</v>
      </c>
      <c r="B11" s="19">
        <f ca="1">MAX(_xll.xlBondValueDate(D11,$B$2),I11)</f>
        <v>41627</v>
      </c>
      <c r="C11" s="20" t="str">
        <v>FR0121811592</v>
      </c>
      <c r="D11" s="86" t="str">
        <f t="array" ref="D11:N11">_xll.BondInfo(C11,$D$5:$N$5)</f>
        <v>BTF</v>
      </c>
      <c r="E11" s="20">
        <v>0</v>
      </c>
      <c r="F11" s="87">
        <v>41655</v>
      </c>
      <c r="G11" s="19">
        <v>41564</v>
      </c>
      <c r="H11" s="19">
        <v>41655</v>
      </c>
      <c r="I11" s="19">
        <v>41564</v>
      </c>
      <c r="J11" s="20">
        <v>999</v>
      </c>
      <c r="K11" s="20" t="str">
        <v>FR160114B=</v>
      </c>
      <c r="L11" s="20" t="str">
        <v>N</v>
      </c>
      <c r="M11" s="20" t="str">
        <v>EJ8805198</v>
      </c>
      <c r="N11" s="20" t="str">
        <v>BTF</v>
      </c>
      <c r="O11" s="21">
        <f>_xll.BondOutstanding(C11)</f>
        <v>7589000000</v>
      </c>
      <c r="P11" s="25">
        <f ca="1">_xll.xlBondYieldSensCustom(D11,E11,F11,G11,H11,I11,J11,B11,Q11,$AM$2,$AN$2,$AO$2,$AP$2,$AQ$2,"y")</f>
        <v>2.5719429599063226E-3</v>
      </c>
      <c r="Q11" s="26">
        <f>_xll.RtGet("IDN",$K11,IF(OR($D11="BTP,$E11=""CTZ"),Q$5,Q$4))</f>
        <v>99.98</v>
      </c>
      <c r="R11" s="27">
        <f>_xll.RtGet("IDN",$K11,IF(OR($D11="BTP,$E11=""CTZ"),R$5,R$4))</f>
        <v>99.989000000000004</v>
      </c>
      <c r="S11" s="28">
        <f ca="1">_xll.xlBondYieldSensCustom(D11,E11,F11,G11,H11,I11,J11,B11,R11,$AM$2,$AN$2,$AO$2,$AP$2,$AQ$2,"y")</f>
        <v>1.4144413027147782E-3</v>
      </c>
      <c r="T11" s="23">
        <f t="shared" si="0"/>
        <v>99.984499999999997</v>
      </c>
      <c r="U11" s="83">
        <f ca="1">_xll.xlBondYieldSensCustom(D11,E11,F11,G11,H11,I11,J11,B11,T11,$AM$2,$AN$2,$AO$2,$AP$2,$AQ$2,"y")</f>
        <v>1.9931660836003395E-3</v>
      </c>
      <c r="V11" s="23"/>
      <c r="W11" s="23">
        <f t="shared" si="1"/>
        <v>99.984499999999997</v>
      </c>
      <c r="X11" s="22"/>
      <c r="Y11" s="22">
        <f t="shared" ca="1" si="2"/>
        <v>1.9931660836003395E-3</v>
      </c>
      <c r="Z11" s="23">
        <f ca="1">_xll.xlBondPriceCustom(D11,E11,F11,G11,H11,I11,J11,B11,Y11,$AM$2,$AN$2,$AO$2,$AP$2,$AQ$2)</f>
        <v>99.984499999999997</v>
      </c>
      <c r="AA11" s="20">
        <f t="array" aca="1" ref="AA11:AG11" ca="1">_xll.xlBondYieldSens(D11,E11,F11,G11,H11,I11,J11,B11,W11,$AA$5&amp;$AB$5&amp;$AC$5&amp;$AD$5&amp;$AE$5&amp;$AF$5&amp;$AG$5)</f>
        <v>0</v>
      </c>
      <c r="AB11" s="20">
        <f ca="1"/>
        <v>7.7765722222222222E-2</v>
      </c>
      <c r="AC11" s="20">
        <f ca="1"/>
        <v>-7.7753668535277778E-2</v>
      </c>
      <c r="AD11" s="20">
        <f ca="1"/>
        <v>1.2096890123456792E-4</v>
      </c>
      <c r="AE11" s="20">
        <f ca="1"/>
        <v>1.2093140378146303E-4</v>
      </c>
      <c r="AF11" s="20">
        <f ca="1"/>
        <v>7.7753668541191701E-2</v>
      </c>
      <c r="AG11" s="24">
        <f ca="1"/>
        <v>1.9931660836003395E-3</v>
      </c>
      <c r="AH11" s="22">
        <f ca="1">_xll.xlBondYieldSensCustom(D11,E11,F11,G11,H11,I11,J11,B11,W11,$AM$2,$AN$2,$AO$2,$AP$2,$AQ$2,"y")</f>
        <v>1.9931660836003395E-3</v>
      </c>
      <c r="AI11" s="22">
        <f ca="1">IF(TRUE,_xll.xlShmInterpRateFwd("EONIA",_xll.xlDateSettle("target",$B$2,2),0,4,$F11),"")</f>
        <v>2.0569456870311821E-3</v>
      </c>
      <c r="AJ11" s="85">
        <f t="shared" ca="1" si="3"/>
        <v>-6.3779603430842539E-5</v>
      </c>
      <c r="AO11" s="84"/>
    </row>
    <row r="12" spans="1:43" ht="15.75" x14ac:dyDescent="0.25">
      <c r="A12" s="2" t="s">
        <v>55</v>
      </c>
      <c r="B12" s="19">
        <f ca="1">MAX(_xll.xlBondValueDate(D12,$B$2),I12)</f>
        <v>41627</v>
      </c>
      <c r="C12" s="20" t="str">
        <v>FR0121616074</v>
      </c>
      <c r="D12" s="86" t="str">
        <f t="array" ref="D12:N12">_xll.BondInfo(C12,$D$5:$N$5)</f>
        <v>BTF</v>
      </c>
      <c r="E12" s="20">
        <v>0</v>
      </c>
      <c r="F12" s="87">
        <v>41662</v>
      </c>
      <c r="G12" s="19">
        <v>41487</v>
      </c>
      <c r="H12" s="19">
        <v>41662</v>
      </c>
      <c r="I12" s="19">
        <v>41487</v>
      </c>
      <c r="J12" s="20">
        <v>999</v>
      </c>
      <c r="K12" s="20" t="str">
        <v>FR230114B=</v>
      </c>
      <c r="L12" s="20" t="str">
        <v>N</v>
      </c>
      <c r="M12" s="20" t="str">
        <v>EJ7711223</v>
      </c>
      <c r="N12" s="20" t="str">
        <v>BTF</v>
      </c>
      <c r="O12" s="21">
        <f>_xll.BondOutstanding(C12)</f>
        <v>8682000000</v>
      </c>
      <c r="P12" s="25">
        <f ca="1">_xll.xlBondYieldSensCustom(D12,E12,F12,G12,H12,I12,J12,B12,Q12,$AM$2,$AN$2,$AO$2,$AP$2,$AQ$2,"y")</f>
        <v>1.5430886061477927E-3</v>
      </c>
      <c r="Q12" s="26">
        <f>_xll.RtGet("IDN",$K12,IF(OR($D12="BTP,$E11=""CTZ"),Q$5,Q$4))</f>
        <v>99.984999999999999</v>
      </c>
      <c r="R12" s="27">
        <f>_xll.RtGet("IDN",$K12,IF(OR($D12="BTP,$E11=""CTZ"),R$5,R$4))</f>
        <v>99.986999999999995</v>
      </c>
      <c r="S12" s="28">
        <f ca="1">_xll.xlBondYieldSensCustom(D12,E12,F12,G12,H12,I12,J12,B12,R12,$AM$2,$AN$2,$AO$2,$AP$2,$AQ$2,"y")</f>
        <v>1.3373167083159387E-3</v>
      </c>
      <c r="T12" s="23">
        <f t="shared" si="0"/>
        <v>99.98599999999999</v>
      </c>
      <c r="U12" s="83">
        <f ca="1">_xll.xlBondYieldSensCustom(D12,E12,F12,G12,H12,I12,J12,B12,T12,$AM$2,$AN$2,$AO$2,$AP$2,$AQ$2,"y")</f>
        <v>1.4402016282298391E-3</v>
      </c>
      <c r="V12" s="23"/>
      <c r="W12" s="23">
        <f t="shared" si="1"/>
        <v>99.98599999999999</v>
      </c>
      <c r="X12" s="22"/>
      <c r="Y12" s="22">
        <f t="shared" ca="1" si="2"/>
        <v>1.4402016282298391E-3</v>
      </c>
      <c r="Z12" s="23">
        <f ca="1">_xll.xlBondPriceCustom(D12,E12,F12,G12,H12,I12,J12,B12,Y12,$AM$2,$AN$2,$AO$2,$AP$2,$AQ$2)</f>
        <v>99.98599999999999</v>
      </c>
      <c r="AA12" s="20">
        <f t="array" aca="1" ref="AA12:AG12" ca="1">_xll.xlBondYieldSens(D12,E12,F12,G12,H12,I12,J12,B12,W12,$AA$5&amp;$AB$5&amp;$AC$5&amp;$AD$5&amp;$AE$5&amp;$AF$5&amp;$AG$5)</f>
        <v>0</v>
      </c>
      <c r="AB12" s="20">
        <f ca="1"/>
        <v>9.7208611111111107E-2</v>
      </c>
      <c r="AC12" s="20">
        <f ca="1"/>
        <v>-9.7195001905555536E-2</v>
      </c>
      <c r="AD12" s="20">
        <f ca="1"/>
        <v>1.8901674382716048E-4</v>
      </c>
      <c r="AE12" s="20">
        <f ca="1"/>
        <v>1.8896382284361697E-4</v>
      </c>
      <c r="AF12" s="20">
        <f ca="1"/>
        <v>9.7195001914940349E-2</v>
      </c>
      <c r="AG12" s="24">
        <f ca="1"/>
        <v>1.4402016282298391E-3</v>
      </c>
      <c r="AH12" s="22">
        <f ca="1">_xll.xlBondYieldSensCustom(D12,E12,F12,G12,H12,I12,J12,B12,W12,$AM$2,$AN$2,$AO$2,$AP$2,$AQ$2,"y")</f>
        <v>1.4402016282298391E-3</v>
      </c>
      <c r="AI12" s="22">
        <f ca="1">IF(TRUE,_xll.xlShmInterpRateFwd("EONIA",_xll.xlDateSettle("target",$B$2,2),0,4,$F12),"")</f>
        <v>1.9753697788030956E-3</v>
      </c>
      <c r="AJ12" s="85">
        <f t="shared" ca="1" si="3"/>
        <v>-5.3516815057325648E-4</v>
      </c>
      <c r="AO12" s="84"/>
    </row>
    <row r="13" spans="1:43" ht="15.75" x14ac:dyDescent="0.25">
      <c r="A13" s="2" t="s">
        <v>54</v>
      </c>
      <c r="B13" s="19">
        <f ca="1">MAX(_xll.xlBondValueDate(D13,$B$2),I13)</f>
        <v>41627</v>
      </c>
      <c r="C13" s="20" t="str">
        <v>FR0121811600</v>
      </c>
      <c r="D13" s="86" t="str">
        <f t="array" ref="D13:N13">_xll.BondInfo(C13,$D$5:$N$5)</f>
        <v>BTF</v>
      </c>
      <c r="E13" s="20">
        <v>0</v>
      </c>
      <c r="F13" s="87">
        <v>41669</v>
      </c>
      <c r="G13" s="19">
        <v>41578</v>
      </c>
      <c r="H13" s="19">
        <v>41669</v>
      </c>
      <c r="I13" s="19">
        <v>41578</v>
      </c>
      <c r="J13" s="20">
        <v>999</v>
      </c>
      <c r="K13" s="20" t="str">
        <v>FR300114B=</v>
      </c>
      <c r="L13" s="20" t="str">
        <v>N</v>
      </c>
      <c r="M13" s="20" t="str">
        <v>EJ9051677</v>
      </c>
      <c r="N13" s="20" t="str">
        <v>BTF</v>
      </c>
      <c r="O13" s="21">
        <f>_xll.BondOutstanding(C13)</f>
        <v>8002000000</v>
      </c>
      <c r="P13" s="25">
        <f ca="1">_xll.xlBondYieldSensCustom(D13,E13,F13,G13,H13,I13,J13,B13,Q13,$AM$2,$AN$2,$AO$2,$AP$2,$AQ$2,"y")</f>
        <v>2.1433929911055367E-3</v>
      </c>
      <c r="Q13" s="26">
        <f>_xll.RtGet("IDN",$K13,IF(OR($D13="BTP,$E11=""CTZ"),Q$5,Q$4))</f>
        <v>99.974999999999994</v>
      </c>
      <c r="R13" s="27">
        <f>_xll.RtGet("IDN",$K13,IF(OR($D13="BTP,$E11=""CTZ"),R$5,R$4))</f>
        <v>99.988</v>
      </c>
      <c r="S13" s="28">
        <f ca="1">_xll.xlBondYieldSensCustom(D13,E13,F13,G13,H13,I13,J13,B13,R13,$AM$2,$AN$2,$AO$2,$AP$2,$AQ$2,"y")</f>
        <v>1.0286948718987482E-3</v>
      </c>
      <c r="T13" s="23">
        <f t="shared" si="0"/>
        <v>99.981499999999997</v>
      </c>
      <c r="U13" s="83">
        <f ca="1">_xll.xlBondYieldSensCustom(D13,E13,F13,G13,H13,I13,J13,B13,T13,$AM$2,$AN$2,$AO$2,$AP$2,$AQ$2,"y")</f>
        <v>1.586007697137935E-3</v>
      </c>
      <c r="V13" s="23"/>
      <c r="W13" s="23">
        <f t="shared" si="1"/>
        <v>99.981499999999997</v>
      </c>
      <c r="X13" s="22"/>
      <c r="Y13" s="22">
        <f t="shared" ca="1" si="2"/>
        <v>1.586007697137935E-3</v>
      </c>
      <c r="Z13" s="23">
        <f ca="1">_xll.xlBondPriceCustom(D13,E13,F13,G13,H13,I13,J13,B13,Y13,$AM$2,$AN$2,$AO$2,$AP$2,$AQ$2)</f>
        <v>99.981499999999997</v>
      </c>
      <c r="AA13" s="20">
        <f t="array" aca="1" ref="AA13:AG13" ca="1">_xll.xlBondYieldSens(D13,E13,F13,G13,H13,I13,J13,B13,W13,$AA$5&amp;$AB$5&amp;$AC$5&amp;$AD$5&amp;$AE$5&amp;$AF$5&amp;$AG$5)</f>
        <v>0</v>
      </c>
      <c r="AB13" s="20">
        <f ca="1"/>
        <v>0.11664508333333333</v>
      </c>
      <c r="AC13" s="20">
        <f ca="1"/>
        <v>-0.11662350399291667</v>
      </c>
      <c r="AD13" s="20">
        <f ca="1"/>
        <v>2.7217186111111111E-4</v>
      </c>
      <c r="AE13" s="20">
        <f ca="1"/>
        <v>2.7207116683758198E-4</v>
      </c>
      <c r="AF13" s="20">
        <f ca="1"/>
        <v>0.11662350400953869</v>
      </c>
      <c r="AG13" s="24">
        <f ca="1"/>
        <v>1.586007697137935E-3</v>
      </c>
      <c r="AH13" s="22">
        <f ca="1">_xll.xlBondYieldSensCustom(D13,E13,F13,G13,H13,I13,J13,B13,W13,$AM$2,$AN$2,$AO$2,$AP$2,$AQ$2,"y")</f>
        <v>1.586007697137935E-3</v>
      </c>
      <c r="AI13" s="22">
        <f ca="1">IF(TRUE,_xll.xlShmInterpRateFwd("EONIA",_xll.xlDateSettle("target",$B$2,2),0,4,$F13),"")</f>
        <v>1.9413771982123909E-3</v>
      </c>
      <c r="AJ13" s="85">
        <f t="shared" ca="1" si="3"/>
        <v>-3.5536950107445593E-4</v>
      </c>
      <c r="AO13" s="84"/>
    </row>
    <row r="14" spans="1:43" ht="15.75" x14ac:dyDescent="0.25">
      <c r="A14" s="2" t="s">
        <v>101</v>
      </c>
      <c r="B14" s="19">
        <f ca="1">MAX(_xll.xlBondValueDate(D14,$B$2),I14)</f>
        <v>41627</v>
      </c>
      <c r="C14" s="20" t="str">
        <v>FR0121205308</v>
      </c>
      <c r="D14" s="86" t="str">
        <f t="array" ref="D14:N14">_xll.BondInfo(C14,$D$5:$N$5)</f>
        <v>BTF</v>
      </c>
      <c r="E14" s="20">
        <v>0</v>
      </c>
      <c r="F14" s="87">
        <v>41676</v>
      </c>
      <c r="G14" s="19">
        <v>41319</v>
      </c>
      <c r="H14" s="19">
        <v>41676</v>
      </c>
      <c r="I14" s="19">
        <v>41319</v>
      </c>
      <c r="J14" s="20">
        <v>999</v>
      </c>
      <c r="K14" s="20" t="str">
        <v>FR060214B=</v>
      </c>
      <c r="L14" s="20" t="str">
        <v>N</v>
      </c>
      <c r="M14" s="20" t="str">
        <v>EJ5509116</v>
      </c>
      <c r="N14" s="20" t="str">
        <v>BTF</v>
      </c>
      <c r="O14" s="21">
        <f>_xll.BondOutstanding(C14)</f>
        <v>7538000000</v>
      </c>
      <c r="P14" s="25">
        <f ca="1">_xll.xlBondYieldSensCustom(D14,E14,F14,G14,H14,I14,J14,B14,Q14,$AM$2,$AN$2,$AO$2,$AP$2,$AQ$2,"y")</f>
        <v>1.32268706320583E-3</v>
      </c>
      <c r="Q14" s="26">
        <f>_xll.RtGet("IDN",$K14,IF(OR($D14="BTP,$E11=""CTZ"),Q$5,Q$4))</f>
        <v>99.981999999999999</v>
      </c>
      <c r="R14" s="27">
        <f>_xll.RtGet("IDN",$K14,IF(OR($D14="BTP,$E11=""CTZ"),R$5,R$4))</f>
        <v>99.983999999999995</v>
      </c>
      <c r="S14" s="28">
        <f ca="1">_xll.xlBondYieldSensCustom(D14,E14,F14,G14,H14,I14,J14,B14,R14,$AM$2,$AN$2,$AO$2,$AP$2,$AQ$2,"y")</f>
        <v>1.1756983158130827E-3</v>
      </c>
      <c r="T14" s="23">
        <f t="shared" si="0"/>
        <v>99.983000000000004</v>
      </c>
      <c r="U14" s="83">
        <f ca="1">_xll.xlBondYieldSensCustom(D14,E14,F14,G14,H14,I14,J14,B14,T14,$AM$2,$AN$2,$AO$2,$AP$2,$AQ$2,"y")</f>
        <v>1.2491919544687297E-3</v>
      </c>
      <c r="V14" s="23"/>
      <c r="W14" s="23">
        <f t="shared" si="1"/>
        <v>99.983000000000004</v>
      </c>
      <c r="X14" s="22"/>
      <c r="Y14" s="22">
        <f t="shared" ca="1" si="2"/>
        <v>1.2491919544687297E-3</v>
      </c>
      <c r="Z14" s="23">
        <f ca="1">_xll.xlBondPriceCustom(D14,E14,F14,G14,H14,I14,J14,B14,Y14,$AM$2,$AN$2,$AO$2,$AP$2,$AQ$2)</f>
        <v>99.983000000000004</v>
      </c>
      <c r="AA14" s="20">
        <f t="array" aca="1" ref="AA14:AG14" ca="1">_xll.xlBondYieldSens(D14,E14,F14,G14,H14,I14,J14,B14,W14,$AA$5&amp;$AB$5&amp;$AC$5&amp;$AD$5&amp;$AE$5&amp;$AF$5&amp;$AG$5)</f>
        <v>0</v>
      </c>
      <c r="AB14" s="20">
        <f ca="1"/>
        <v>0.13608797222222221</v>
      </c>
      <c r="AC14" s="20">
        <f ca="1"/>
        <v>-0.13606483726694443</v>
      </c>
      <c r="AD14" s="20">
        <f ca="1"/>
        <v>3.7046170216049375E-4</v>
      </c>
      <c r="AE14" s="20">
        <f ca="1"/>
        <v>3.7033575588810245E-4</v>
      </c>
      <c r="AF14" s="20">
        <f ca="1"/>
        <v>0.13606483729233787</v>
      </c>
      <c r="AG14" s="24">
        <f ca="1"/>
        <v>1.2491919544687297E-3</v>
      </c>
      <c r="AH14" s="22">
        <f ca="1">_xll.xlBondYieldSensCustom(D14,E14,F14,G14,H14,I14,J14,B14,W14,$AM$2,$AN$2,$AO$2,$AP$2,$AQ$2,"y")</f>
        <v>1.2491919544687297E-3</v>
      </c>
      <c r="AI14" s="22">
        <f ca="1">IF(TRUE,_xll.xlShmInterpRateFwd("EONIA",_xll.xlDateSettle("target",$B$2,2),0,4,$F14),"")</f>
        <v>1.9075145455279439E-3</v>
      </c>
      <c r="AJ14" s="85">
        <f t="shared" ca="1" si="3"/>
        <v>-6.5832259105921419E-4</v>
      </c>
      <c r="AO14" s="84"/>
    </row>
    <row r="15" spans="1:43" ht="15.75" x14ac:dyDescent="0.25">
      <c r="A15" s="2" t="s">
        <v>235</v>
      </c>
      <c r="B15" s="19">
        <f ca="1">MAX(_xll.xlBondValueDate(D15,$B$2),I15)</f>
        <v>41627</v>
      </c>
      <c r="C15" s="20" t="str">
        <v>FR0121811618</v>
      </c>
      <c r="D15" s="86" t="str">
        <f t="array" ref="D15:N15">_xll.BondInfo(C15,$D$5:$N$5)</f>
        <v>BTF</v>
      </c>
      <c r="E15" s="20">
        <v>0</v>
      </c>
      <c r="F15" s="87">
        <v>41683</v>
      </c>
      <c r="G15" s="19">
        <v>41592</v>
      </c>
      <c r="H15" s="19">
        <v>41683</v>
      </c>
      <c r="I15" s="19">
        <v>41592</v>
      </c>
      <c r="J15" s="20">
        <v>999</v>
      </c>
      <c r="K15" s="20" t="str">
        <v>FR130214B=</v>
      </c>
      <c r="L15" s="20" t="str">
        <v>N</v>
      </c>
      <c r="M15" s="20" t="str">
        <v>EJ9298336</v>
      </c>
      <c r="N15" s="20" t="str">
        <v>BTF</v>
      </c>
      <c r="O15" s="21">
        <f>_xll.BondOutstanding(C15)</f>
        <v>7291000000</v>
      </c>
      <c r="P15" s="25">
        <f ca="1">_xll.xlBondYieldSensCustom(D15,E15,F15,G15,H15,I15,J15,B15,Q15,$AM$2,$AN$2,$AO$2,$AP$2,$AQ$2,"y")</f>
        <v>2.3794518257478992E-3</v>
      </c>
      <c r="Q15" s="26">
        <f>_xll.RtGet("IDN",$K15,IF(OR($D15="BTP,$E11=""CTZ"),Q$5,Q$4))</f>
        <v>99.962999999999994</v>
      </c>
      <c r="R15" s="27">
        <f>_xll.RtGet("IDN",$K15,IF(OR($D15="BTP,$E11=""CTZ"),R$5,R$4))</f>
        <v>99.98</v>
      </c>
      <c r="S15" s="28">
        <f ca="1">_xll.xlBondYieldSensCustom(D15,E15,F15,G15,H15,I15,J15,B15,R15,$AM$2,$AN$2,$AO$2,$AP$2,$AQ$2,"y")</f>
        <v>1.2859714799531613E-3</v>
      </c>
      <c r="T15" s="23">
        <f t="shared" si="0"/>
        <v>99.971499999999992</v>
      </c>
      <c r="U15" s="83">
        <f ca="1">_xll.xlBondYieldSensCustom(D15,E15,F15,G15,H15,I15,J15,B15,T15,$AM$2,$AN$2,$AO$2,$AP$2,$AQ$2,"y")</f>
        <v>1.8326651667161758E-3</v>
      </c>
      <c r="V15" s="23"/>
      <c r="W15" s="23">
        <f t="shared" si="1"/>
        <v>99.971499999999992</v>
      </c>
      <c r="X15" s="22"/>
      <c r="Y15" s="22">
        <f t="shared" ca="1" si="2"/>
        <v>1.8326651667161758E-3</v>
      </c>
      <c r="Z15" s="23">
        <f ca="1">_xll.xlBondPriceCustom(D15,E15,F15,G15,H15,I15,J15,B15,Y15,$AM$2,$AN$2,$AO$2,$AP$2,$AQ$2)</f>
        <v>99.971499999999992</v>
      </c>
      <c r="AA15" s="20">
        <f t="array" aca="1" ref="AA15:AG15" ca="1">_xll.xlBondYieldSens(D15,E15,F15,G15,H15,I15,J15,B15,W15,$AA$5&amp;$AB$5&amp;$AC$5&amp;$AD$5&amp;$AE$5&amp;$AF$5&amp;$AG$5)</f>
        <v>0</v>
      </c>
      <c r="AB15" s="20">
        <f ca="1"/>
        <v>0.15551122222222219</v>
      </c>
      <c r="AC15" s="20">
        <f ca="1"/>
        <v>-0.15546690152388884</v>
      </c>
      <c r="AD15" s="20">
        <f ca="1"/>
        <v>4.8381269135802456E-4</v>
      </c>
      <c r="AE15" s="20">
        <f ca="1"/>
        <v>4.8353695742163623E-4</v>
      </c>
      <c r="AF15" s="20">
        <f ca="1"/>
        <v>0.15546690156327259</v>
      </c>
      <c r="AG15" s="24">
        <f ca="1"/>
        <v>1.8326651667161758E-3</v>
      </c>
      <c r="AH15" s="22">
        <f ca="1">_xll.xlBondYieldSensCustom(D15,E15,F15,G15,H15,I15,J15,B15,W15,$AM$2,$AN$2,$AO$2,$AP$2,$AQ$2,"y")</f>
        <v>1.8326651667161758E-3</v>
      </c>
      <c r="AI15" s="22">
        <f ca="1">IF(TRUE,_xll.xlShmInterpRateFwd("EONIA",_xll.xlDateSettle("target",$B$2,2),0,4,$F15),"")</f>
        <v>1.87373136021124E-3</v>
      </c>
      <c r="AJ15" s="85">
        <f t="shared" ca="1" si="3"/>
        <v>-4.1066193495064131E-5</v>
      </c>
      <c r="AO15" s="84"/>
    </row>
    <row r="16" spans="1:43" ht="15.75" x14ac:dyDescent="0.25">
      <c r="A16" s="2" t="s">
        <v>236</v>
      </c>
      <c r="B16" s="19">
        <f ca="1">MAX(_xll.xlBondValueDate(D16,$B$2),I16)</f>
        <v>41627</v>
      </c>
      <c r="C16" s="20" t="str">
        <v>FR0121616082</v>
      </c>
      <c r="D16" s="86" t="str">
        <f t="array" ref="D16:N16">_xll.BondInfo(C16,$D$5:$N$5)</f>
        <v>BTF</v>
      </c>
      <c r="E16" s="20">
        <v>0</v>
      </c>
      <c r="F16" s="87">
        <v>41690</v>
      </c>
      <c r="G16" s="19">
        <v>41522</v>
      </c>
      <c r="H16" s="19">
        <v>41690</v>
      </c>
      <c r="I16" s="19">
        <v>41522</v>
      </c>
      <c r="J16" s="20">
        <v>999</v>
      </c>
      <c r="K16" s="20" t="str">
        <v>FR200214B=</v>
      </c>
      <c r="L16" s="20" t="str">
        <v>N</v>
      </c>
      <c r="M16" s="20" t="str">
        <v>EJ8132205</v>
      </c>
      <c r="N16" s="20" t="str">
        <v>BTF</v>
      </c>
      <c r="O16" s="21">
        <f>_xll.BondOutstanding(C16)</f>
        <v>7218000000</v>
      </c>
      <c r="P16" s="25">
        <f ca="1">_xll.xlBondYieldSensCustom(D16,E16,F16,G16,H16,I16,J16,B16,Q16,$AM$2,$AN$2,$AO$2,$AP$2,$AQ$2,"y")</f>
        <v>2.0007002450851885E-3</v>
      </c>
      <c r="Q16" s="26">
        <f>_xll.RtGet("IDN",$K16,IF(OR($D16="BTP,$E11=""CTZ"),Q$5,Q$4))</f>
        <v>99.965000000000003</v>
      </c>
      <c r="R16" s="27">
        <f>_xll.RtGet("IDN",$K16,IF(OR($D16="BTP,$E11=""CTZ"),R$5,R$4))</f>
        <v>99.977999999999994</v>
      </c>
      <c r="S16" s="28">
        <f ca="1">_xll.xlBondYieldSensCustom(D16,E16,F16,G16,H16,I16,J16,B16,R16,$AM$2,$AN$2,$AO$2,$AP$2,$AQ$2,"y")</f>
        <v>1.2574194894313503E-3</v>
      </c>
      <c r="T16" s="23">
        <f t="shared" si="0"/>
        <v>99.971499999999992</v>
      </c>
      <c r="U16" s="83">
        <f ca="1">_xll.xlBondYieldSensCustom(D16,E16,F16,G16,H16,I16,J16,B16,T16,$AM$2,$AN$2,$AO$2,$AP$2,$AQ$2,"y")</f>
        <v>1.6290357038045552E-3</v>
      </c>
      <c r="V16" s="23"/>
      <c r="W16" s="23">
        <f t="shared" si="1"/>
        <v>99.971499999999992</v>
      </c>
      <c r="X16" s="22"/>
      <c r="Y16" s="22">
        <f t="shared" ca="1" si="2"/>
        <v>1.6290357038045552E-3</v>
      </c>
      <c r="Z16" s="23">
        <f ca="1">_xll.xlBondPriceCustom(D16,E16,F16,G16,H16,I16,J16,B16,Y16,$AM$2,$AN$2,$AO$2,$AP$2,$AQ$2)</f>
        <v>99.971499999998997</v>
      </c>
      <c r="AA16" s="20">
        <f t="array" aca="1" ref="AA16:AG16" ca="1">_xll.xlBondYieldSens(D16,E16,F16,G16,H16,I16,J16,B16,W16,$AA$5&amp;$AB$5&amp;$AC$5&amp;$AD$5&amp;$AE$5&amp;$AF$5&amp;$AG$5)</f>
        <v>0</v>
      </c>
      <c r="AB16" s="20">
        <f ca="1"/>
        <v>0.17495012499999996</v>
      </c>
      <c r="AC16" s="20">
        <f ca="1"/>
        <v>-0.17490026421437493</v>
      </c>
      <c r="AD16" s="20">
        <f ca="1"/>
        <v>6.1232543749999981E-4</v>
      </c>
      <c r="AE16" s="20">
        <f ca="1"/>
        <v>6.1197646173675828E-4</v>
      </c>
      <c r="AF16" s="20">
        <f ca="1"/>
        <v>0.17490026426756344</v>
      </c>
      <c r="AG16" s="24">
        <f ca="1"/>
        <v>1.6290357038045552E-3</v>
      </c>
      <c r="AH16" s="22">
        <f ca="1">_xll.xlBondYieldSensCustom(D16,E16,F16,G16,H16,I16,J16,B16,W16,$AM$2,$AN$2,$AO$2,$AP$2,$AQ$2,"y")</f>
        <v>1.6290357038045552E-3</v>
      </c>
      <c r="AI16" s="22">
        <f ca="1">IF(TRUE,_xll.xlShmInterpRateFwd("EONIA",_xll.xlDateSettle("target",$B$2,2),0,4,$F16),"")</f>
        <v>1.8400000000007824E-3</v>
      </c>
      <c r="AJ16" s="85">
        <f t="shared" ca="1" si="3"/>
        <v>-2.1096429619622717E-4</v>
      </c>
      <c r="AO16" s="84"/>
    </row>
    <row r="17" spans="1:41" ht="15.75" x14ac:dyDescent="0.25">
      <c r="A17" s="2" t="s">
        <v>237</v>
      </c>
      <c r="B17" s="19">
        <f ca="1">MAX(_xll.xlBondValueDate(D17,$B$2),I17)</f>
        <v>41627</v>
      </c>
      <c r="C17" s="20" t="str">
        <v>FR0121811626</v>
      </c>
      <c r="D17" s="86" t="str">
        <f t="array" ref="D17:N17">_xll.BondInfo(C17,$D$5:$N$5)</f>
        <v>BTF</v>
      </c>
      <c r="E17" s="20">
        <v>0</v>
      </c>
      <c r="F17" s="87">
        <v>41697</v>
      </c>
      <c r="G17" s="19">
        <v>41606</v>
      </c>
      <c r="H17" s="19">
        <v>41697</v>
      </c>
      <c r="I17" s="19">
        <v>41606</v>
      </c>
      <c r="J17" s="20">
        <v>999</v>
      </c>
      <c r="K17" s="20" t="str">
        <v>FR270214B=</v>
      </c>
      <c r="L17" s="20" t="str">
        <v>N</v>
      </c>
      <c r="M17" s="20" t="str">
        <v>EJ9558994</v>
      </c>
      <c r="N17" s="20" t="str">
        <v>BTF</v>
      </c>
      <c r="O17" s="21">
        <f>_xll.BondOutstanding(C17)</f>
        <v>7156000000</v>
      </c>
      <c r="P17" s="25">
        <f ca="1">_xll.xlBondYieldSensCustom(D17,E17,F17,G17,H17,I17,J17,B17,Q17,$AM$2,$AN$2,$AO$2,$AP$2,$AQ$2,"y")</f>
        <v>1.5433201388984788E-3</v>
      </c>
      <c r="Q17" s="26">
        <f>_xll.RtGet("IDN",$K17,IF(OR($D17="BTP,$E11=""CTZ"),Q$5,Q$4))</f>
        <v>99.97</v>
      </c>
      <c r="R17" s="27">
        <f>_xll.RtGet("IDN",$K17,IF(OR($D17="BTP,$E11=""CTZ"),R$5,R$4))</f>
        <v>99.981999999999999</v>
      </c>
      <c r="S17" s="28">
        <f ca="1">_xll.xlBondYieldSensCustom(D17,E17,F17,G17,H17,I17,J17,B17,R17,$AM$2,$AN$2,$AO$2,$AP$2,$AQ$2,"y")</f>
        <v>9.2588094428387128E-4</v>
      </c>
      <c r="T17" s="23">
        <f t="shared" si="0"/>
        <v>99.975999999999999</v>
      </c>
      <c r="U17" s="83">
        <f ca="1">_xll.xlBondYieldSensCustom(D17,E17,F17,G17,H17,I17,J17,B17,T17,$AM$2,$AN$2,$AO$2,$AP$2,$AQ$2,"y")</f>
        <v>1.2345820139120381E-3</v>
      </c>
      <c r="V17" s="23"/>
      <c r="W17" s="23">
        <f t="shared" si="1"/>
        <v>99.975999999999999</v>
      </c>
      <c r="X17" s="22"/>
      <c r="Y17" s="22">
        <f t="shared" ca="1" si="2"/>
        <v>1.2345820139120381E-3</v>
      </c>
      <c r="Z17" s="23">
        <f ca="1">_xll.xlBondPriceCustom(D17,E17,F17,G17,H17,I17,J17,B17,Y17,$AM$2,$AN$2,$AO$2,$AP$2,$AQ$2)</f>
        <v>99.976000000001108</v>
      </c>
      <c r="AA17" s="20">
        <f t="array" aca="1" ref="AA17:AG17" ca="1">_xll.xlBondYieldSens(D17,E17,F17,G17,H17,I17,J17,B17,W17,$AA$5&amp;$AB$5&amp;$AC$5&amp;$AD$5&amp;$AE$5&amp;$AF$5&amp;$AG$5)</f>
        <v>0</v>
      </c>
      <c r="AB17" s="20">
        <f ca="1"/>
        <v>0.19439777777777784</v>
      </c>
      <c r="AC17" s="20">
        <f ca="1"/>
        <v>-0.19435112231111118</v>
      </c>
      <c r="AD17" s="20">
        <f ca="1"/>
        <v>7.5599135802469162E-4</v>
      </c>
      <c r="AE17" s="20">
        <f ca="1"/>
        <v>7.556285257179421E-4</v>
      </c>
      <c r="AF17" s="20">
        <f ca="1"/>
        <v>0.194351122384262</v>
      </c>
      <c r="AG17" s="24">
        <f ca="1"/>
        <v>1.2345820139120381E-3</v>
      </c>
      <c r="AH17" s="22">
        <f ca="1">_xll.xlBondYieldSensCustom(D17,E17,F17,G17,H17,I17,J17,B17,W17,$AM$2,$AN$2,$AO$2,$AP$2,$AQ$2,"y")</f>
        <v>1.2345820139120381E-3</v>
      </c>
      <c r="AI17" s="22">
        <f ca="1">IF(TRUE,_xll.xlShmInterpRateFwd("EONIA",_xll.xlDateSettle("target",$B$2,2),0,4,$F17),"")</f>
        <v>1.8225741877663925E-3</v>
      </c>
      <c r="AJ17" s="85">
        <f t="shared" ca="1" si="3"/>
        <v>-5.8799217385435438E-4</v>
      </c>
      <c r="AO17" s="84"/>
    </row>
    <row r="18" spans="1:41" ht="15.75" x14ac:dyDescent="0.25">
      <c r="A18" s="2" t="s">
        <v>45</v>
      </c>
      <c r="B18" s="19">
        <f ca="1">MAX(_xll.xlBondValueDate(D18,$B$2),I18)</f>
        <v>41627</v>
      </c>
      <c r="C18" s="20" t="str">
        <v>FR0121205316</v>
      </c>
      <c r="D18" s="86" t="str">
        <f t="array" ref="D18:N18">_xll.BondInfo(C18,$D$5:$N$5)</f>
        <v>BTF</v>
      </c>
      <c r="E18" s="20">
        <v>0</v>
      </c>
      <c r="F18" s="87">
        <v>41704</v>
      </c>
      <c r="G18" s="19">
        <v>41347</v>
      </c>
      <c r="H18" s="19">
        <v>41704</v>
      </c>
      <c r="I18" s="19">
        <v>41347</v>
      </c>
      <c r="J18" s="20">
        <v>999</v>
      </c>
      <c r="K18" s="20" t="str">
        <v>FR060314B=</v>
      </c>
      <c r="L18" s="20" t="str">
        <v>N</v>
      </c>
      <c r="M18" s="20" t="str">
        <v>EJ5868983</v>
      </c>
      <c r="N18" s="20" t="str">
        <v>BTF</v>
      </c>
      <c r="O18" s="21">
        <f>_xll.BondOutstanding(C18)</f>
        <v>5319000000</v>
      </c>
      <c r="P18" s="25">
        <f ca="1">_xll.xlBondYieldSensCustom(D18,E18,F18,G18,H18,I18,J18,B18,Q18,$AM$2,$AN$2,$AO$2,$AP$2,$AQ$2,"y")</f>
        <v>1.3562374647086524E-3</v>
      </c>
      <c r="Q18" s="26">
        <f>_xll.RtGet("IDN",$K18,IF(OR($D18="BTP,$E11=""CTZ"),Q$5,Q$4))</f>
        <v>99.971000000000004</v>
      </c>
      <c r="R18" s="27">
        <f>_xll.RtGet("IDN",$K18,IF(OR($D18="BTP,$E11=""CTZ"),R$5,R$4))</f>
        <v>99.975999999999999</v>
      </c>
      <c r="S18" s="28">
        <f ca="1">_xll.xlBondYieldSensCustom(D18,E18,F18,G18,H18,I18,J18,B18,R18,$AM$2,$AN$2,$AO$2,$AP$2,$AQ$2,"y")</f>
        <v>1.1223472854546778E-3</v>
      </c>
      <c r="T18" s="23">
        <f t="shared" si="0"/>
        <v>99.973500000000001</v>
      </c>
      <c r="U18" s="83">
        <f ca="1">_xll.xlBondYieldSensCustom(D18,E18,F18,G18,H18,I18,J18,B18,T18,$AM$2,$AN$2,$AO$2,$AP$2,$AQ$2,"y")</f>
        <v>1.2392894506649157E-3</v>
      </c>
      <c r="V18" s="23"/>
      <c r="W18" s="23">
        <f t="shared" si="1"/>
        <v>99.973500000000001</v>
      </c>
      <c r="X18" s="22"/>
      <c r="Y18" s="22">
        <f t="shared" ca="1" si="2"/>
        <v>1.2392894506649157E-3</v>
      </c>
      <c r="Z18" s="23">
        <f ca="1">_xll.xlBondPriceCustom(D18,E18,F18,G18,H18,I18,J18,B18,Y18,$AM$2,$AN$2,$AO$2,$AP$2,$AQ$2)</f>
        <v>99.973500000000016</v>
      </c>
      <c r="AA18" s="20">
        <f t="array" aca="1" ref="AA18:AG18" ca="1">_xll.xlBondYieldSens(D18,E18,F18,G18,H18,I18,J18,B18,W18,$AA$5&amp;$AB$5&amp;$AC$5&amp;$AD$5&amp;$AE$5&amp;$AF$5&amp;$AG$5)</f>
        <v>0</v>
      </c>
      <c r="AB18" s="20">
        <f ca="1"/>
        <v>0.21383220833333333</v>
      </c>
      <c r="AC18" s="20">
        <f ca="1"/>
        <v>-0.21377554279812502</v>
      </c>
      <c r="AD18" s="20">
        <f ca="1"/>
        <v>9.1472666898148147E-4</v>
      </c>
      <c r="AE18" s="20">
        <f ca="1"/>
        <v>9.1424192808360182E-4</v>
      </c>
      <c r="AF18" s="20">
        <f ca="1"/>
        <v>0.21377554289614409</v>
      </c>
      <c r="AG18" s="24">
        <f ca="1"/>
        <v>1.2392894506649157E-3</v>
      </c>
      <c r="AH18" s="22">
        <f ca="1">_xll.xlBondYieldSensCustom(D18,E18,F18,G18,H18,I18,J18,B18,W18,$AM$2,$AN$2,$AO$2,$AP$2,$AQ$2,"y")</f>
        <v>1.2392894506649157E-3</v>
      </c>
      <c r="AI18" s="22">
        <f ca="1">IF(TRUE,_xll.xlShmInterpRateFwd("EONIA",_xll.xlDateSettle("target",$B$2,2),0,4,$F18),"")</f>
        <v>1.8050900127802925E-3</v>
      </c>
      <c r="AJ18" s="85">
        <f t="shared" ca="1" si="3"/>
        <v>-5.658005621153768E-4</v>
      </c>
      <c r="AO18" s="84"/>
    </row>
    <row r="19" spans="1:41" ht="15.75" x14ac:dyDescent="0.25">
      <c r="A19" s="2" t="s">
        <v>45</v>
      </c>
      <c r="B19" s="19">
        <f ca="1">MAX(_xll.xlBondValueDate(D19,$B$2),I19)</f>
        <v>41627</v>
      </c>
      <c r="C19" s="20" t="str">
        <v>FR0121811634</v>
      </c>
      <c r="D19" s="86" t="str">
        <f t="array" ref="D19:N19">_xll.BondInfo(C19,$D$5:$N$5)</f>
        <v>BTF</v>
      </c>
      <c r="E19" s="20">
        <v>0</v>
      </c>
      <c r="F19" s="87">
        <v>41711</v>
      </c>
      <c r="G19" s="19">
        <v>41620</v>
      </c>
      <c r="H19" s="19">
        <v>41711</v>
      </c>
      <c r="I19" s="19">
        <v>41620</v>
      </c>
      <c r="J19" s="20">
        <v>999</v>
      </c>
      <c r="K19" s="20" t="str">
        <v>FR130314B=</v>
      </c>
      <c r="L19" s="20" t="str">
        <v>Y</v>
      </c>
      <c r="M19" s="20" t="str">
        <v>EJ9795083</v>
      </c>
      <c r="N19" s="20" t="str">
        <v>BTF</v>
      </c>
      <c r="O19" s="21">
        <f>_xll.BondOutstanding(C19)</f>
        <v>6986000000</v>
      </c>
      <c r="P19" s="25">
        <f ca="1">_xll.xlBondYieldSensCustom(D19,E19,F19,G19,H19,I19,J19,B19,Q19,$AM$2,$AN$2,$AO$2,$AP$2,$AQ$2,"y")</f>
        <v>2.0152328737648795E-3</v>
      </c>
      <c r="Q19" s="26">
        <f>_xll.RtGet("IDN",$K19,IF(OR($D19="BTP,$E11=""CTZ"),Q$5,Q$4))</f>
        <v>99.953000000000003</v>
      </c>
      <c r="R19" s="27">
        <f>_xll.RtGet("IDN",$K19,IF(OR($D19="BTP,$E11=""CTZ"),R$5,R$4))</f>
        <v>99.96</v>
      </c>
      <c r="S19" s="28">
        <f ca="1">_xll.xlBondYieldSensCustom(D19,E19,F19,G19,H19,I19,J19,B19,R19,$AM$2,$AN$2,$AO$2,$AP$2,$AQ$2,"y")</f>
        <v>1.7149717029675746E-3</v>
      </c>
      <c r="T19" s="23">
        <f t="shared" si="0"/>
        <v>99.956500000000005</v>
      </c>
      <c r="U19" s="83">
        <f ca="1">_xll.xlBondYieldSensCustom(D19,E19,F19,G19,H19,I19,J19,B19,T19,$AM$2,$AN$2,$AO$2,$AP$2,$AQ$2,"y")</f>
        <v>1.86509703149421E-3</v>
      </c>
      <c r="V19" s="23"/>
      <c r="W19" s="23">
        <f t="shared" si="1"/>
        <v>99.956500000000005</v>
      </c>
      <c r="X19" s="22"/>
      <c r="Y19" s="22">
        <f t="shared" ca="1" si="2"/>
        <v>1.86509703149421E-3</v>
      </c>
      <c r="Z19" s="23">
        <f ca="1">_xll.xlBondPriceCustom(D19,E19,F19,G19,H19,I19,J19,B19,Y19,$AM$2,$AN$2,$AO$2,$AP$2,$AQ$2)</f>
        <v>99.956500000000005</v>
      </c>
      <c r="AA19" s="20">
        <f t="array" aca="1" ref="AA19:AG19" ca="1">_xll.xlBondYieldSens(D19,E19,F19,G19,H19,I19,J19,B19,W19,$AA$5&amp;$AB$5&amp;$AC$5&amp;$AD$5&amp;$AE$5&amp;$AF$5&amp;$AG$5)</f>
        <v>0</v>
      </c>
      <c r="AB19" s="20">
        <f ca="1"/>
        <v>0.23323183333333333</v>
      </c>
      <c r="AC19" s="20">
        <f ca="1"/>
        <v>-0.23313037748583335</v>
      </c>
      <c r="AD19" s="20">
        <f ca="1"/>
        <v>1.0884152222222223E-3</v>
      </c>
      <c r="AE19" s="20">
        <f ca="1"/>
        <v>1.0874685069342594E-3</v>
      </c>
      <c r="AF19" s="20">
        <f ca="1"/>
        <v>0.23313037761241162</v>
      </c>
      <c r="AG19" s="24">
        <f ca="1"/>
        <v>1.86509703149421E-3</v>
      </c>
      <c r="AH19" s="22">
        <f ca="1">_xll.xlBondYieldSensCustom(D19,E19,F19,G19,H19,I19,J19,B19,W19,$AM$2,$AN$2,$AO$2,$AP$2,$AQ$2,"y")</f>
        <v>1.86509703149421E-3</v>
      </c>
      <c r="AI19" s="22">
        <f ca="1">IF(TRUE,_xll.xlShmInterpRateFwd("EONIA",_xll.xlDateSettle("target",$B$2,2),0,4,$F19),"")</f>
        <v>1.7875619562959962E-3</v>
      </c>
      <c r="AJ19" s="85">
        <f t="shared" ca="1" si="3"/>
        <v>7.7535075198213862E-5</v>
      </c>
      <c r="AO19" s="84"/>
    </row>
    <row r="20" spans="1:41" ht="15.75" x14ac:dyDescent="0.25">
      <c r="A20" s="2" t="s">
        <v>46</v>
      </c>
      <c r="B20" s="19">
        <f ca="1">MAX(_xll.xlBondValueDate(D20,$B$2),I20)</f>
        <v>41627</v>
      </c>
      <c r="C20" s="20" t="str">
        <v>FR0121811584</v>
      </c>
      <c r="D20" s="86" t="str">
        <f t="array" ref="D20:N20">_xll.BondInfo(C20,$D$5:$N$5)</f>
        <v>BTF</v>
      </c>
      <c r="E20" s="20">
        <v>0</v>
      </c>
      <c r="F20" s="87">
        <v>41718</v>
      </c>
      <c r="G20" s="19">
        <v>41550</v>
      </c>
      <c r="H20" s="19">
        <v>41718</v>
      </c>
      <c r="I20" s="19">
        <v>41550</v>
      </c>
      <c r="J20" s="20">
        <v>999</v>
      </c>
      <c r="K20" s="20" t="str">
        <v>FR200314B=</v>
      </c>
      <c r="L20" s="20" t="str">
        <v>N</v>
      </c>
      <c r="M20" s="20" t="str">
        <v>EJ8598611</v>
      </c>
      <c r="N20" s="20" t="str">
        <v>BTF</v>
      </c>
      <c r="O20" s="21">
        <f>_xll.BondOutstanding(C20)</f>
        <v>6861000000</v>
      </c>
      <c r="P20" s="25">
        <f ca="1">_xll.xlBondYieldSensCustom(D20,E20,F20,G20,H20,I20,J20,B20,Q20,$AM$2,$AN$2,$AO$2,$AP$2,$AQ$2,"y")</f>
        <v>1.5434590919029222E-3</v>
      </c>
      <c r="Q20" s="26">
        <f>_xll.RtGet("IDN",$K20,IF(OR($D20="BTP,$E11=""CTZ"),Q$5,Q$4))</f>
        <v>99.960999999999999</v>
      </c>
      <c r="R20" s="27">
        <f>_xll.RtGet("IDN",$K20,IF(OR($D20="BTP,$E11=""CTZ"),R$5,R$4))</f>
        <v>99.965999999999994</v>
      </c>
      <c r="S20" s="28">
        <f ca="1">_xll.xlBondYieldSensCustom(D20,E20,F20,G20,H20,I20,J20,B20,R20,$AM$2,$AN$2,$AO$2,$AP$2,$AQ$2,"y")</f>
        <v>1.3455124193062936E-3</v>
      </c>
      <c r="T20" s="23">
        <f t="shared" si="0"/>
        <v>99.963499999999996</v>
      </c>
      <c r="U20" s="83">
        <f ca="1">_xll.xlBondYieldSensCustom(D20,E20,F20,G20,H20,I20,J20,B20,T20,$AM$2,$AN$2,$AO$2,$AP$2,$AQ$2,"y")</f>
        <v>1.4444832803820998E-3</v>
      </c>
      <c r="V20" s="23"/>
      <c r="W20" s="23">
        <f t="shared" si="1"/>
        <v>99.963499999999996</v>
      </c>
      <c r="X20" s="22"/>
      <c r="Y20" s="22">
        <f t="shared" ca="1" si="2"/>
        <v>1.4444832803820998E-3</v>
      </c>
      <c r="Z20" s="23">
        <f ca="1">_xll.xlBondPriceCustom(D20,E20,F20,G20,H20,I20,J20,B20,Y20,$AM$2,$AN$2,$AO$2,$AP$2,$AQ$2)</f>
        <v>99.963499999999286</v>
      </c>
      <c r="AA20" s="20">
        <f t="array" aca="1" ref="AA20:AG20" ca="1">_xll.xlBondYieldSens(D20,E20,F20,G20,H20,I20,J20,B20,W20,$AA$5&amp;$AB$5&amp;$AC$5&amp;$AD$5&amp;$AE$5&amp;$AF$5&amp;$AG$5)</f>
        <v>0</v>
      </c>
      <c r="AB20" s="20">
        <f ca="1"/>
        <v>0.25268551388888888</v>
      </c>
      <c r="AC20" s="20">
        <f ca="1"/>
        <v>-0.25259328367631939</v>
      </c>
      <c r="AD20" s="20">
        <f ca="1"/>
        <v>1.2774656535493826E-3</v>
      </c>
      <c r="AE20" s="20">
        <f ca="1"/>
        <v>1.2765332738126532E-3</v>
      </c>
      <c r="AF20" s="20">
        <f ca="1"/>
        <v>0.25259328383739899</v>
      </c>
      <c r="AG20" s="24">
        <f ca="1"/>
        <v>1.4444832803820998E-3</v>
      </c>
      <c r="AH20" s="22">
        <f ca="1">_xll.xlBondYieldSensCustom(D20,E20,F20,G20,H20,I20,J20,B20,W20,$AM$2,$AN$2,$AO$2,$AP$2,$AQ$2,"y")</f>
        <v>1.4444832803820998E-3</v>
      </c>
      <c r="AI20" s="22">
        <f ca="1">IF(TRUE,_xll.xlShmInterpRateFwd("EONIA",_xll.xlDateSettle("target",$B$2,2),0,4,$F20),"")</f>
        <v>1.770000000000535E-3</v>
      </c>
      <c r="AJ20" s="85">
        <f t="shared" ca="1" si="3"/>
        <v>-3.2551671961843524E-4</v>
      </c>
      <c r="AO20" s="84"/>
    </row>
    <row r="21" spans="1:41" ht="15.75" x14ac:dyDescent="0.25">
      <c r="A21" s="2" t="s">
        <v>50</v>
      </c>
      <c r="B21" s="19">
        <f ca="1">MAX(_xll.xlBondValueDate(D21,$B$2),I21)</f>
        <v>41627</v>
      </c>
      <c r="C21" s="20" t="str">
        <v>FR0121411740</v>
      </c>
      <c r="D21" s="86" t="str">
        <f t="array" ref="D21:N21">_xll.BondInfo(C21,$D$5:$N$5)</f>
        <v>BTF</v>
      </c>
      <c r="E21" s="20">
        <v>0</v>
      </c>
      <c r="F21" s="87">
        <v>41732</v>
      </c>
      <c r="G21" s="19">
        <v>41368</v>
      </c>
      <c r="H21" s="19">
        <v>41732</v>
      </c>
      <c r="I21" s="19">
        <v>41368</v>
      </c>
      <c r="J21" s="20">
        <v>999</v>
      </c>
      <c r="K21" s="20" t="str">
        <v>FR030414B=</v>
      </c>
      <c r="L21" s="20" t="str">
        <v>N</v>
      </c>
      <c r="M21" s="20" t="str">
        <v>EJ6151918</v>
      </c>
      <c r="N21" s="20" t="str">
        <v>BTF</v>
      </c>
      <c r="O21" s="21">
        <f>_xll.BondOutstanding(C21)</f>
        <v>8117000000</v>
      </c>
      <c r="P21" s="25">
        <f ca="1">_xll.xlBondYieldSensCustom(D21,E21,F21,G21,H21,I21,J21,B21,Q21,$AM$2,$AN$2,$AO$2,$AP$2,$AQ$2,"y")</f>
        <v>1.3376645463442874E-3</v>
      </c>
      <c r="Q21" s="26">
        <f>_xll.RtGet("IDN",$K21,IF(OR($D21="BTP,$E11=""CTZ"),Q$5,Q$4))</f>
        <v>99.960999999999999</v>
      </c>
      <c r="R21" s="27">
        <f>_xll.RtGet("IDN",$K21,IF(OR($D21="BTP,$E11=""CTZ"),R$5,R$4))</f>
        <v>99.966999999999999</v>
      </c>
      <c r="S21" s="28">
        <f ca="1">_xll.xlBondYieldSensCustom(D21,E21,F21,G21,H21,I21,J21,B21,R21,$AM$2,$AN$2,$AO$2,$AP$2,$AQ$2,"y")</f>
        <v>1.13180206611041E-3</v>
      </c>
      <c r="T21" s="23">
        <f t="shared" si="0"/>
        <v>99.963999999999999</v>
      </c>
      <c r="U21" s="83">
        <f ca="1">_xll.xlBondYieldSensCustom(D21,E21,F21,G21,H21,I21,J21,B21,T21,$AM$2,$AN$2,$AO$2,$AP$2,$AQ$2,"y")</f>
        <v>1.2347302171641212E-3</v>
      </c>
      <c r="V21" s="23"/>
      <c r="W21" s="23">
        <f t="shared" si="1"/>
        <v>99.963999999999999</v>
      </c>
      <c r="X21" s="22"/>
      <c r="Y21" s="22">
        <f t="shared" ca="1" si="2"/>
        <v>1.2347302171641212E-3</v>
      </c>
      <c r="Z21" s="23">
        <f ca="1">_xll.xlBondPriceCustom(D21,E21,F21,G21,H21,I21,J21,B21,Y21,$AM$2,$AN$2,$AO$2,$AP$2,$AQ$2)</f>
        <v>99.963999999999999</v>
      </c>
      <c r="AA21" s="20">
        <f t="array" aca="1" ref="AA21:AG21" ca="1">_xll.xlBondYieldSens(D21,E21,F21,G21,H21,I21,J21,B21,W21,$AA$5&amp;$AB$5&amp;$AC$5&amp;$AD$5&amp;$AE$5&amp;$AF$5&amp;$AG$5)</f>
        <v>0</v>
      </c>
      <c r="AB21" s="20">
        <f ca="1"/>
        <v>0.29156166666666666</v>
      </c>
      <c r="AC21" s="20">
        <f ca="1"/>
        <v>-0.29145670446666666</v>
      </c>
      <c r="AD21" s="20">
        <f ca="1"/>
        <v>1.700776388888889E-3</v>
      </c>
      <c r="AE21" s="20">
        <f ca="1"/>
        <v>1.6995520503095085E-3</v>
      </c>
      <c r="AF21" s="20">
        <f ca="1"/>
        <v>0.29145670471564245</v>
      </c>
      <c r="AG21" s="24">
        <f ca="1"/>
        <v>1.2347302171641212E-3</v>
      </c>
      <c r="AH21" s="22">
        <f ca="1">_xll.xlBondYieldSensCustom(D21,E21,F21,G21,H21,I21,J21,B21,W21,$AM$2,$AN$2,$AO$2,$AP$2,$AQ$2,"y")</f>
        <v>1.2347302171641212E-3</v>
      </c>
      <c r="AI21" s="22">
        <f ca="1">IF(TRUE,_xll.xlShmInterpRateFwd("EONIA",_xll.xlDateSettle("target",$B$2,2),0,4,$F21),"")</f>
        <v>1.7403656368762176E-3</v>
      </c>
      <c r="AJ21" s="85">
        <f t="shared" ca="1" si="3"/>
        <v>-5.056354197120964E-4</v>
      </c>
      <c r="AO21" s="84"/>
    </row>
    <row r="22" spans="1:41" ht="15.75" x14ac:dyDescent="0.25">
      <c r="A22" s="2" t="s">
        <v>48</v>
      </c>
      <c r="B22" s="19">
        <f ca="1">MAX(_xll.xlBondValueDate(D22,$B$2),I22)</f>
        <v>41627</v>
      </c>
      <c r="C22" s="20" t="str">
        <v>FR0121811659</v>
      </c>
      <c r="D22" s="86" t="str">
        <f t="array" ref="D22:N22">_xll.BondInfo(C22,$D$5:$N$5)</f>
        <v>BTF</v>
      </c>
      <c r="E22" s="20">
        <v>0</v>
      </c>
      <c r="F22" s="87">
        <v>41746</v>
      </c>
      <c r="G22" s="19">
        <v>41578</v>
      </c>
      <c r="H22" s="19">
        <v>41746</v>
      </c>
      <c r="I22" s="19">
        <v>41578</v>
      </c>
      <c r="J22" s="20">
        <v>999</v>
      </c>
      <c r="K22" s="20" t="str">
        <v>FR170414B=</v>
      </c>
      <c r="L22" s="20" t="str">
        <v>N</v>
      </c>
      <c r="M22" s="20" t="str">
        <v>EJ9051735</v>
      </c>
      <c r="N22" s="20" t="str">
        <v>BTF</v>
      </c>
      <c r="O22" s="21">
        <f>_xll.BondOutstanding(C22)</f>
        <v>6493000000</v>
      </c>
      <c r="P22" s="25">
        <f ca="1">_xll.xlBondYieldSensCustom(D22,E22,F22,G22,H22,I22,J22,B22,Q22,$AM$2,$AN$2,$AO$2,$AP$2,$AQ$2,"y")</f>
        <v>2.0585426661273824E-3</v>
      </c>
      <c r="Q22" s="26">
        <f>_xll.RtGet("IDN",$K22,IF(OR($D22="BTP,$E11=""CTZ"),Q$5,Q$4))</f>
        <v>99.932000000000002</v>
      </c>
      <c r="R22" s="27">
        <f>_xll.RtGet("IDN",$K22,IF(OR($D22="BTP,$E11=""CTZ"),R$5,R$4))</f>
        <v>99.959000000000003</v>
      </c>
      <c r="S22" s="28">
        <f ca="1">_xll.xlBondYieldSensCustom(D22,E22,F22,G22,H22,I22,J22,B22,R22,$AM$2,$AN$2,$AO$2,$AP$2,$AQ$2,"y")</f>
        <v>1.2408448808548197E-3</v>
      </c>
      <c r="T22" s="23">
        <f t="shared" si="0"/>
        <v>99.94550000000001</v>
      </c>
      <c r="U22" s="83">
        <f ca="1">_xll.xlBondYieldSensCustom(D22,E22,F22,G22,H22,I22,J22,B22,T22,$AM$2,$AN$2,$AO$2,$AP$2,$AQ$2,"y")</f>
        <v>1.6496385488072201E-3</v>
      </c>
      <c r="V22" s="23"/>
      <c r="W22" s="23">
        <f t="shared" si="1"/>
        <v>99.94550000000001</v>
      </c>
      <c r="X22" s="22"/>
      <c r="Y22" s="22">
        <f t="shared" ca="1" si="2"/>
        <v>1.6496385488072201E-3</v>
      </c>
      <c r="Z22" s="23">
        <f ca="1">_xll.xlBondPriceCustom(D22,E22,F22,G22,H22,I22,J22,B22,Y22,$AM$2,$AN$2,$AO$2,$AP$2,$AQ$2)</f>
        <v>99.94550000000001</v>
      </c>
      <c r="AA22" s="20">
        <f t="array" aca="1" ref="AA22:AG22" ca="1">_xll.xlBondYieldSens(D22,E22,F22,G22,H22,I22,J22,B22,W22,$AA$5&amp;$AB$5&amp;$AC$5&amp;$AD$5&amp;$AE$5&amp;$AF$5&amp;$AG$5)</f>
        <v>0</v>
      </c>
      <c r="AB22" s="20">
        <f ca="1"/>
        <v>0.33037540277777777</v>
      </c>
      <c r="AC22" s="20">
        <f ca="1"/>
        <v>-0.3301953481832639</v>
      </c>
      <c r="AD22" s="20">
        <f ca="1"/>
        <v>2.1841484961419751E-3</v>
      </c>
      <c r="AE22" s="20">
        <f ca="1"/>
        <v>2.1817684230278876E-3</v>
      </c>
      <c r="AF22" s="20">
        <f ca="1"/>
        <v>0.33019534854474841</v>
      </c>
      <c r="AG22" s="24">
        <f ca="1"/>
        <v>1.6496385488072201E-3</v>
      </c>
      <c r="AH22" s="22">
        <f ca="1">_xll.xlBondYieldSensCustom(D22,E22,F22,G22,H22,I22,J22,B22,W22,$AM$2,$AN$2,$AO$2,$AP$2,$AQ$2,"y")</f>
        <v>1.6496385488072201E-3</v>
      </c>
      <c r="AI22" s="22">
        <f ca="1">IF(TRUE,_xll.xlShmInterpRateFwd("EONIA",_xll.xlDateSettle("target",$B$2,2),0,4,$F22),"")</f>
        <v>1.7106352505313247E-3</v>
      </c>
      <c r="AJ22" s="85">
        <f t="shared" ca="1" si="3"/>
        <v>-6.0996701724104615E-5</v>
      </c>
      <c r="AO22" s="84"/>
    </row>
    <row r="23" spans="1:41" ht="15.75" x14ac:dyDescent="0.25">
      <c r="A23" s="2" t="s">
        <v>58</v>
      </c>
      <c r="B23" s="19">
        <f ca="1">MAX(_xll.xlBondValueDate(D23,$B$2),I23)</f>
        <v>41631</v>
      </c>
      <c r="C23" s="20" t="str">
        <v>FR0010061242</v>
      </c>
      <c r="D23" s="86" t="str">
        <f t="array" ref="D23:N23">_xll.BondInfo(C23,$D$5:$N$5)</f>
        <v>OAT</v>
      </c>
      <c r="E23" s="20">
        <v>4</v>
      </c>
      <c r="F23" s="87">
        <v>41754</v>
      </c>
      <c r="G23" s="19">
        <v>37736</v>
      </c>
      <c r="H23" s="19">
        <v>38102</v>
      </c>
      <c r="I23" s="19">
        <v>38055</v>
      </c>
      <c r="J23" s="20">
        <v>98.68</v>
      </c>
      <c r="K23" s="20" t="str">
        <v>FR0010061242=</v>
      </c>
      <c r="L23" s="20" t="str">
        <v>N</v>
      </c>
      <c r="M23" s="20" t="str">
        <v>ED3441505</v>
      </c>
      <c r="N23" s="20" t="str">
        <v>FRTR</v>
      </c>
      <c r="O23" s="21">
        <f>_xll.BondOutstanding(C23)</f>
        <v>21089102000</v>
      </c>
      <c r="P23" s="25">
        <f ca="1">_xll.xlBondYieldSensCustom(D23,E23,F23,G23,H23,I23,J23,B23,Q23,$AM$2,$AN$2,$AO$2,$AP$2,$AQ$2,"y")</f>
        <v>1.9149479815365744E-3</v>
      </c>
      <c r="Q23" s="26">
        <f>_xll.RtGet("IDN",$K23,IF(OR($D23="BTP,$E11=""CTZ"),Q$5,Q$4))</f>
        <v>101.28</v>
      </c>
      <c r="R23" s="27">
        <f>_xll.RtGet("IDN",$K23,IF(OR($D23="BTP,$E11=""CTZ"),R$5,R$4))</f>
        <v>101.29</v>
      </c>
      <c r="S23" s="28">
        <f ca="1">_xll.xlBondYieldSensCustom(D23,E23,F23,G23,H23,I23,J23,B23,R23,$AM$2,$AN$2,$AO$2,$AP$2,$AQ$2,"y")</f>
        <v>1.6331808719402749E-3</v>
      </c>
      <c r="T23" s="23">
        <f t="shared" si="0"/>
        <v>101.285</v>
      </c>
      <c r="U23" s="83">
        <f ca="1">_xll.xlBondYieldSensCustom(D23,E23,F23,G23,H23,I23,J23,B23,T23,$AM$2,$AN$2,$AO$2,$AP$2,$AQ$2,"y")</f>
        <v>1.774057650456802E-3</v>
      </c>
      <c r="V23" s="23"/>
      <c r="W23" s="23">
        <f t="shared" si="1"/>
        <v>101.285</v>
      </c>
      <c r="X23" s="22"/>
      <c r="Y23" s="22">
        <f t="shared" ca="1" si="2"/>
        <v>1.774057650456802E-3</v>
      </c>
      <c r="Z23" s="23">
        <f ca="1">_xll.xlBondPriceCustom(D23,E23,F23,G23,H23,I23,J23,B23,Y23,$AM$2,$AN$2,$AO$2,$AP$2,$AQ$2)</f>
        <v>101.28500000474183</v>
      </c>
      <c r="AA23" s="20">
        <f t="array" aca="1" ref="AA23:AG23" ca="1">_xll.xlBondYieldSens(D23,E23,F23,G23,H23,I23,J23,B23,W23,$AA$5&amp;$AB$5&amp;$AC$5&amp;$AD$5&amp;$AE$5&amp;$AF$5&amp;$AG$5)</f>
        <v>2.6520000000000001</v>
      </c>
      <c r="AB23" s="20">
        <f ca="1"/>
        <v>0.33698630136986302</v>
      </c>
      <c r="AC23" s="20">
        <f ca="1"/>
        <v>-0.336380918237627</v>
      </c>
      <c r="AD23" s="20">
        <f ca="1"/>
        <v>4.5054606868080316E-3</v>
      </c>
      <c r="AE23" s="20">
        <f ca="1"/>
        <v>4.4892874480765765E-3</v>
      </c>
      <c r="AF23" s="20">
        <f ca="1"/>
        <v>0.34962421063156057</v>
      </c>
      <c r="AG23" s="24">
        <f ca="1"/>
        <v>1.7997702134440255E-3</v>
      </c>
      <c r="AH23" s="22">
        <f ca="1">_xll.xlBondYieldSensCustom(D23,E23,F23,G23,H23,I23,J23,B23,W23,$AM$2,$AN$2,$AO$2,$AP$2,$AQ$2,"y")</f>
        <v>1.774057650456802E-3</v>
      </c>
      <c r="AI23" s="22">
        <f ca="1">IF(TRUE,_xll.xlShmInterpRateFwd("EONIA",_xll.xlDateSettle("target",$B$2,2),0,4,$F23),"")</f>
        <v>1.6946544587909454E-3</v>
      </c>
      <c r="AJ23" s="85">
        <f t="shared" ca="1" si="3"/>
        <v>7.9403191665856606E-5</v>
      </c>
      <c r="AO23" s="84"/>
    </row>
    <row r="24" spans="1:41" ht="15.75" x14ac:dyDescent="0.25">
      <c r="A24" s="2" t="s">
        <v>51</v>
      </c>
      <c r="B24" s="19">
        <f ca="1">MAX(_xll.xlBondValueDate(D24,$B$2),I24)</f>
        <v>41627</v>
      </c>
      <c r="C24" s="20" t="str">
        <v>FR0121411757</v>
      </c>
      <c r="D24" s="86" t="str">
        <f t="array" ref="D24:N24">_xll.BondInfo(C24,$D$5:$N$5)</f>
        <v>BTF</v>
      </c>
      <c r="E24" s="20">
        <v>0</v>
      </c>
      <c r="F24" s="87">
        <v>41759</v>
      </c>
      <c r="G24" s="19">
        <v>41396</v>
      </c>
      <c r="H24" s="19">
        <v>41759</v>
      </c>
      <c r="I24" s="19">
        <v>41396</v>
      </c>
      <c r="J24" s="20">
        <v>999</v>
      </c>
      <c r="K24" s="20" t="str">
        <v>FR300414B=</v>
      </c>
      <c r="L24" s="20" t="str">
        <v>N</v>
      </c>
      <c r="M24" s="20" t="str">
        <v>EJ6548147</v>
      </c>
      <c r="N24" s="20" t="str">
        <v>BTF</v>
      </c>
      <c r="O24" s="21">
        <f>_xll.BondOutstanding(C24)</f>
        <v>7444000000</v>
      </c>
      <c r="P24" s="25">
        <f ca="1">_xll.xlBondYieldSensCustom(D24,E24,F24,G24,H24,I24,J24,B24,Q24,$AM$2,$AN$2,$AO$2,$AP$2,$AQ$2,"y")</f>
        <v>1.7738802949190443E-3</v>
      </c>
      <c r="Q24" s="26">
        <f>_xll.RtGet("IDN",$K24,IF(OR($D24="BTP,$E11=""CTZ"),Q$5,Q$4))</f>
        <v>99.935000000000002</v>
      </c>
      <c r="R24" s="27">
        <f>_xll.RtGet("IDN",$K24,IF(OR($D24="BTP,$E11=""CTZ"),R$5,R$4))</f>
        <v>99.941999999999993</v>
      </c>
      <c r="S24" s="28">
        <f ca="1">_xll.xlBondYieldSensCustom(D24,E24,F24,G24,H24,I24,J24,B24,R24,$AM$2,$AN$2,$AO$2,$AP$2,$AQ$2,"y")</f>
        <v>1.5827361687961981E-3</v>
      </c>
      <c r="T24" s="23">
        <f t="shared" si="0"/>
        <v>99.938500000000005</v>
      </c>
      <c r="U24" s="83">
        <f ca="1">_xll.xlBondYieldSensCustom(D24,E24,F24,G24,H24,I24,J24,B24,T24,$AM$2,$AN$2,$AO$2,$AP$2,$AQ$2,"y")</f>
        <v>1.6783048848049457E-3</v>
      </c>
      <c r="V24" s="23"/>
      <c r="W24" s="23">
        <f t="shared" si="1"/>
        <v>99.938500000000005</v>
      </c>
      <c r="X24" s="22"/>
      <c r="Y24" s="22">
        <f t="shared" ca="1" si="2"/>
        <v>1.6783048848049457E-3</v>
      </c>
      <c r="Z24" s="23">
        <f ca="1">_xll.xlBondPriceCustom(D24,E24,F24,G24,H24,I24,J24,B24,Y24,$AM$2,$AN$2,$AO$2,$AP$2,$AQ$2)</f>
        <v>99.938499999998982</v>
      </c>
      <c r="AA24" s="20">
        <f t="array" aca="1" ref="AA24:AG24" ca="1">_xll.xlBondYieldSens(D24,E24,F24,G24,H24,I24,J24,B24,W24,$AA$5&amp;$AB$5&amp;$AC$5&amp;$AD$5&amp;$AE$5&amp;$AF$5&amp;$AG$5)</f>
        <v>0</v>
      </c>
      <c r="AB24" s="20">
        <f ca="1"/>
        <v>0.36644116666666671</v>
      </c>
      <c r="AC24" s="20">
        <f ca="1"/>
        <v>-0.36621580534916676</v>
      </c>
      <c r="AD24" s="20">
        <f ca="1"/>
        <v>2.6872352222222225E-3</v>
      </c>
      <c r="AE24" s="20">
        <f ca="1"/>
        <v>2.6839309392784317E-3</v>
      </c>
      <c r="AF24" s="20">
        <f ca="1"/>
        <v>0.36621580584181856</v>
      </c>
      <c r="AG24" s="24">
        <f ca="1"/>
        <v>1.6783048848049457E-3</v>
      </c>
      <c r="AH24" s="22">
        <f ca="1">_xll.xlBondYieldSensCustom(D24,E24,F24,G24,H24,I24,J24,B24,W24,$AM$2,$AN$2,$AO$2,$AP$2,$AQ$2,"y")</f>
        <v>1.6783048848049457E-3</v>
      </c>
      <c r="AI24" s="22">
        <f ca="1">IF(TRUE,_xll.xlShmInterpRateFwd("EONIA",_xll.xlDateSettle("target",$B$2,2),0,4,$F24),"")</f>
        <v>1.6857381355233423E-3</v>
      </c>
      <c r="AJ24" s="85">
        <f t="shared" ca="1" si="3"/>
        <v>-7.4332507183966137E-6</v>
      </c>
      <c r="AO24" s="84"/>
    </row>
    <row r="25" spans="1:41" ht="15.75" x14ac:dyDescent="0.25">
      <c r="A25" s="2" t="s">
        <v>49</v>
      </c>
      <c r="B25" s="19">
        <f ca="1">MAX(_xll.xlBondValueDate(D25,$B$2),I25)</f>
        <v>41627</v>
      </c>
      <c r="C25" s="20" t="str">
        <v>FR0121811667</v>
      </c>
      <c r="D25" s="86" t="str">
        <f t="array" ref="D25:N25">_xll.BondInfo(C25,$D$5:$N$5)</f>
        <v>BTF</v>
      </c>
      <c r="E25" s="20">
        <v>0</v>
      </c>
      <c r="F25" s="87">
        <v>41774</v>
      </c>
      <c r="G25" s="19">
        <v>41606</v>
      </c>
      <c r="H25" s="19">
        <v>41774</v>
      </c>
      <c r="I25" s="19">
        <v>41606</v>
      </c>
      <c r="J25" s="20">
        <v>999</v>
      </c>
      <c r="K25" s="20" t="str">
        <v>FR150514B=</v>
      </c>
      <c r="L25" s="20" t="str">
        <v>Y</v>
      </c>
      <c r="M25" s="20" t="str">
        <v>EJ9559059</v>
      </c>
      <c r="N25" s="20" t="str">
        <v>BTF</v>
      </c>
      <c r="O25" s="21">
        <f>_xll.BondOutstanding(C25)</f>
        <v>5809000000</v>
      </c>
      <c r="P25" s="25">
        <f ca="1">_xll.xlBondYieldSensCustom(D25,E25,F25,G25,H25,I25,J25,B25,Q25,$AM$2,$AN$2,$AO$2,$AP$2,$AQ$2,"y")</f>
        <v>2.4268924194134679E-3</v>
      </c>
      <c r="Q25" s="26">
        <f>_xll.RtGet("IDN",$K25,IF(OR($D25="BTP,$E11=""CTZ"),Q$5,Q$4))</f>
        <v>99.900999999999996</v>
      </c>
      <c r="R25" s="27">
        <f>_xll.RtGet("IDN",$K25,IF(OR($D25="BTP,$E11=""CTZ"),R$5,R$4))</f>
        <v>99.929000000000002</v>
      </c>
      <c r="S25" s="28">
        <f ca="1">_xll.xlBondYieldSensCustom(D25,E25,F25,G25,H25,I25,J25,B25,R25,$AM$2,$AN$2,$AO$2,$AP$2,$AQ$2,"y")</f>
        <v>1.7400109179556622E-3</v>
      </c>
      <c r="T25" s="23">
        <f t="shared" si="0"/>
        <v>99.914999999999992</v>
      </c>
      <c r="U25" s="83">
        <f ca="1">_xll.xlBondYieldSensCustom(D25,E25,F25,G25,H25,I25,J25,B25,T25,$AM$2,$AN$2,$AO$2,$AP$2,$AQ$2,"y")</f>
        <v>2.0834035460755383E-3</v>
      </c>
      <c r="V25" s="23"/>
      <c r="W25" s="23">
        <f t="shared" si="1"/>
        <v>99.914999999999992</v>
      </c>
      <c r="X25" s="22"/>
      <c r="Y25" s="22">
        <f t="shared" ca="1" si="2"/>
        <v>2.0834035460755383E-3</v>
      </c>
      <c r="Z25" s="23">
        <f ca="1">_xll.xlBondPriceCustom(D25,E25,F25,G25,H25,I25,J25,B25,Y25,$AM$2,$AN$2,$AO$2,$AP$2,$AQ$2)</f>
        <v>99.914999999999992</v>
      </c>
      <c r="AA25" s="20">
        <f t="array" aca="1" ref="AA25:AG25" ca="1">_xll.xlBondYieldSens(D25,E25,F25,G25,H25,I25,J25,B25,W25,$AA$5&amp;$AB$5&amp;$AC$5&amp;$AD$5&amp;$AE$5&amp;$AF$5&amp;$AG$5)</f>
        <v>0</v>
      </c>
      <c r="AB25" s="20">
        <f ca="1"/>
        <v>0.40798624999999999</v>
      </c>
      <c r="AC25" s="20">
        <f ca="1"/>
        <v>-0.40763946168749998</v>
      </c>
      <c r="AD25" s="20">
        <f ca="1"/>
        <v>3.3318877083333334E-3</v>
      </c>
      <c r="AE25" s="20">
        <f ca="1"/>
        <v>3.3262259065180355E-3</v>
      </c>
      <c r="AF25" s="20">
        <f ca="1"/>
        <v>0.40763946236523907</v>
      </c>
      <c r="AG25" s="24">
        <f ca="1"/>
        <v>2.0834035460755383E-3</v>
      </c>
      <c r="AH25" s="22">
        <f ca="1">_xll.xlBondYieldSensCustom(D25,E25,F25,G25,H25,I25,J25,B25,W25,$AM$2,$AN$2,$AO$2,$AP$2,$AQ$2,"y")</f>
        <v>2.0834035460755383E-3</v>
      </c>
      <c r="AI25" s="22">
        <f ca="1">IF(TRUE,_xll.xlShmInterpRateFwd("EONIA",_xll.xlDateSettle("target",$B$2,2),0,4,$F25),"")</f>
        <v>1.6589440369311572E-3</v>
      </c>
      <c r="AJ25" s="85">
        <f t="shared" ca="1" si="3"/>
        <v>4.2445950914438103E-4</v>
      </c>
      <c r="AO25" s="84"/>
    </row>
    <row r="26" spans="1:41" ht="15.75" x14ac:dyDescent="0.25">
      <c r="A26" s="2" t="s">
        <v>47</v>
      </c>
      <c r="B26" s="19">
        <f ca="1">MAX(_xll.xlBondValueDate(D26,$B$2),I26)</f>
        <v>41627</v>
      </c>
      <c r="C26" s="20" t="str">
        <v>FR0121411765</v>
      </c>
      <c r="D26" s="86" t="str">
        <f t="array" ref="D26:N26">_xll.BondInfo(C26,$D$5:$N$5)</f>
        <v>BTF</v>
      </c>
      <c r="E26" s="20">
        <v>0</v>
      </c>
      <c r="F26" s="87">
        <v>41787</v>
      </c>
      <c r="G26" s="19">
        <v>41424</v>
      </c>
      <c r="H26" s="19">
        <v>41787</v>
      </c>
      <c r="I26" s="19">
        <v>41424</v>
      </c>
      <c r="J26" s="20">
        <v>999</v>
      </c>
      <c r="K26" s="20" t="str">
        <v>FR280514B=</v>
      </c>
      <c r="L26" s="20" t="str">
        <v>N</v>
      </c>
      <c r="M26" s="20" t="str">
        <v>EJ6940765</v>
      </c>
      <c r="N26" s="20" t="str">
        <v>BTF</v>
      </c>
      <c r="O26" s="21">
        <f>_xll.BondOutstanding(C26)</f>
        <v>7105000000</v>
      </c>
      <c r="P26" s="25">
        <f ca="1">_xll.xlBondYieldSensCustom(D26,E26,F26,G26,H26,I26,J26,B26,Q26,$AM$2,$AN$2,$AO$2,$AP$2,$AQ$2,"y")</f>
        <v>1.959204507922141E-3</v>
      </c>
      <c r="Q26" s="26">
        <f>_xll.RtGet("IDN",$K26,IF(OR($D26="BTP,$E11=""CTZ"),Q$5,Q$4))</f>
        <v>99.912999999999997</v>
      </c>
      <c r="R26" s="27">
        <f>_xll.RtGet("IDN",$K26,IF(OR($D26="BTP,$E11=""CTZ"),R$5,R$4))</f>
        <v>99.921999999999997</v>
      </c>
      <c r="S26" s="28">
        <f ca="1">_xll.xlBondYieldSensCustom(D26,E26,F26,G26,H26,I26,J26,B26,R26,$AM$2,$AN$2,$AO$2,$AP$2,$AQ$2,"y")</f>
        <v>1.7563699685897993E-3</v>
      </c>
      <c r="T26" s="23">
        <f t="shared" si="0"/>
        <v>99.91749999999999</v>
      </c>
      <c r="U26" s="83">
        <f ca="1">_xll.xlBondYieldSensCustom(D26,E26,F26,G26,H26,I26,J26,B26,T26,$AM$2,$AN$2,$AO$2,$AP$2,$AQ$2,"y")</f>
        <v>1.8577826707035228E-3</v>
      </c>
      <c r="V26" s="23"/>
      <c r="W26" s="23">
        <f t="shared" si="1"/>
        <v>99.91749999999999</v>
      </c>
      <c r="X26" s="22"/>
      <c r="Y26" s="22">
        <f t="shared" ca="1" si="2"/>
        <v>1.8577826707035228E-3</v>
      </c>
      <c r="Z26" s="23">
        <f ca="1">_xll.xlBondPriceCustom(D26,E26,F26,G26,H26,I26,J26,B26,Y26,$AM$2,$AN$2,$AO$2,$AP$2,$AQ$2)</f>
        <v>99.91749999999999</v>
      </c>
      <c r="AA26" s="20">
        <f t="array" aca="1" ref="AA26:AG26" ca="1">_xll.xlBondYieldSens(D26,E26,F26,G26,H26,I26,J26,B26,W26,$AA$5&amp;$AB$5&amp;$AC$5&amp;$AD$5&amp;$AE$5&amp;$AF$5&amp;$AG$5)</f>
        <v>0</v>
      </c>
      <c r="AB26" s="20">
        <f ca="1"/>
        <v>0.44407777777777779</v>
      </c>
      <c r="AC26" s="20">
        <f ca="1"/>
        <v>-0.44371141361111111</v>
      </c>
      <c r="AD26" s="20">
        <f ca="1"/>
        <v>3.9473580246913572E-3</v>
      </c>
      <c r="AE26" s="20">
        <f ca="1"/>
        <v>3.9408475706211718E-3</v>
      </c>
      <c r="AF26" s="20">
        <f ca="1"/>
        <v>0.44371141448635854</v>
      </c>
      <c r="AG26" s="24">
        <f ca="1"/>
        <v>1.8577826707035228E-3</v>
      </c>
      <c r="AH26" s="22">
        <f ca="1">_xll.xlBondYieldSensCustom(D26,E26,F26,G26,H26,I26,J26,B26,W26,$AM$2,$AN$2,$AO$2,$AP$2,$AQ$2,"y")</f>
        <v>1.8577826707035228E-3</v>
      </c>
      <c r="AI26" s="22">
        <f ca="1">IF(TRUE,_xll.xlShmInterpRateFwd("EONIA",_xll.xlDateSettle("target",$B$2,2),0,4,$F26),"")</f>
        <v>1.6396992207463222E-3</v>
      </c>
      <c r="AJ26" s="85">
        <f t="shared" ca="1" si="3"/>
        <v>2.1808344995720061E-4</v>
      </c>
      <c r="AO26" s="84"/>
    </row>
    <row r="27" spans="1:41" ht="15.75" x14ac:dyDescent="0.25">
      <c r="A27" s="2" t="s">
        <v>234</v>
      </c>
      <c r="B27" s="19">
        <f ca="1">MAX(_xll.xlBondValueDate(D27,$B$2),I27)</f>
        <v>41627</v>
      </c>
      <c r="C27" s="20" t="str">
        <v>FR0121411773</v>
      </c>
      <c r="D27" s="86" t="str">
        <f t="array" ref="D27:N27">_xll.BondInfo(C27,$D$5:$N$5)</f>
        <v>BTF</v>
      </c>
      <c r="E27" s="20">
        <v>0</v>
      </c>
      <c r="F27" s="87">
        <v>41816</v>
      </c>
      <c r="G27" s="19">
        <v>41452</v>
      </c>
      <c r="H27" s="19">
        <v>41816</v>
      </c>
      <c r="I27" s="19">
        <v>41452</v>
      </c>
      <c r="J27" s="20">
        <v>999</v>
      </c>
      <c r="K27" s="20" t="str">
        <v>FR260614B=</v>
      </c>
      <c r="L27" s="20" t="str">
        <v>N</v>
      </c>
      <c r="M27" s="20" t="str">
        <v>EJ7302486</v>
      </c>
      <c r="N27" s="20" t="str">
        <v>BTF</v>
      </c>
      <c r="O27" s="21">
        <f>_xll.BondOutstanding(C27)</f>
        <v>8266000000</v>
      </c>
      <c r="P27" s="25">
        <f ca="1">_xll.xlBondYieldSensCustom(D27,E27,F27,G27,H27,I27,J27,B27,Q27,$AM$2,$AN$2,$AO$2,$AP$2,$AQ$2,"y")</f>
        <v>1.9639276073402101E-3</v>
      </c>
      <c r="Q27" s="26">
        <f>_xll.RtGet("IDN",$K27,IF(OR($D27="BTP,$E11=""CTZ"),Q$5,Q$4))</f>
        <v>99.897000000000006</v>
      </c>
      <c r="R27" s="27">
        <f>_xll.RtGet("IDN",$K27,IF(OR($D27="BTP,$E11=""CTZ"),R$5,R$4))</f>
        <v>99.906999999999996</v>
      </c>
      <c r="S27" s="28">
        <f ca="1">_xll.xlBondYieldSensCustom(D27,E27,F27,G27,H27,I27,J27,B27,R27,$AM$2,$AN$2,$AO$2,$AP$2,$AQ$2,"y")</f>
        <v>1.7730775335204538E-3</v>
      </c>
      <c r="T27" s="23">
        <f t="shared" si="0"/>
        <v>99.902000000000001</v>
      </c>
      <c r="U27" s="83">
        <f ca="1">_xll.xlBondYieldSensCustom(D27,E27,F27,G27,H27,I27,J27,B27,T27,$AM$2,$AN$2,$AO$2,$AP$2,$AQ$2,"y")</f>
        <v>1.8684977945051951E-3</v>
      </c>
      <c r="V27" s="23"/>
      <c r="W27" s="23">
        <f t="shared" si="1"/>
        <v>99.902000000000001</v>
      </c>
      <c r="X27" s="22"/>
      <c r="Y27" s="22">
        <f t="shared" ca="1" si="2"/>
        <v>1.8684977945051951E-3</v>
      </c>
      <c r="Z27" s="23">
        <f ca="1">_xll.xlBondPriceCustom(D27,E27,F27,G27,H27,I27,J27,B27,Y27,$AM$2,$AN$2,$AO$2,$AP$2,$AQ$2)</f>
        <v>99.902000000000001</v>
      </c>
      <c r="AA27" s="20">
        <f t="array" aca="1" ref="AA27:AG27" ca="1">_xll.xlBondYieldSens(D27,E27,F27,G27,H27,I27,J27,B27,W27,$AA$5&amp;$AB$5&amp;$AC$5&amp;$AD$5&amp;$AE$5&amp;$AF$5&amp;$AG$5)</f>
        <v>0</v>
      </c>
      <c r="AB27" s="20">
        <f ca="1"/>
        <v>0.52448550000000005</v>
      </c>
      <c r="AC27" s="20">
        <f ca="1"/>
        <v>-0.52397150421000005</v>
      </c>
      <c r="AD27" s="20">
        <f ca="1"/>
        <v>5.5070977500000012E-3</v>
      </c>
      <c r="AE27" s="20">
        <f ca="1"/>
        <v>5.4963091274266808E-3</v>
      </c>
      <c r="AF27" s="20">
        <f ca="1"/>
        <v>0.52397150565184347</v>
      </c>
      <c r="AG27" s="24">
        <f ca="1"/>
        <v>1.8684977945051951E-3</v>
      </c>
      <c r="AH27" s="22">
        <f ca="1">_xll.xlBondYieldSensCustom(D27,E27,F27,G27,H27,I27,J27,B27,W27,$AM$2,$AN$2,$AO$2,$AP$2,$AQ$2,"y")</f>
        <v>1.8684977945051951E-3</v>
      </c>
      <c r="AI27" s="22">
        <f ca="1">IF(TRUE,_xll.xlShmInterpRateFwd("EONIA",_xll.xlDateSettle("target",$B$2,2),0,4,$F27),"")</f>
        <v>1.6042067553284133E-3</v>
      </c>
      <c r="AJ27" s="85">
        <f t="shared" ca="1" si="3"/>
        <v>2.6429103917678188E-4</v>
      </c>
      <c r="AO27" s="84"/>
    </row>
    <row r="28" spans="1:41" ht="15.75" x14ac:dyDescent="0.25">
      <c r="A28" s="2"/>
      <c r="B28" s="19">
        <f ca="1">MAX(_xll.xlBondValueDate(D28,$B$2),I28)</f>
        <v>41627</v>
      </c>
      <c r="C28" s="20" t="str">
        <v>FR0116843535</v>
      </c>
      <c r="D28" s="86" t="str">
        <f t="array" ref="D28:N28">_xll.BondInfo(C28,$D$5:$N$5)</f>
        <v>BTAN</v>
      </c>
      <c r="E28" s="20">
        <v>3</v>
      </c>
      <c r="F28" s="87">
        <v>41832</v>
      </c>
      <c r="G28" s="19">
        <v>39641</v>
      </c>
      <c r="H28" s="19">
        <v>40006</v>
      </c>
      <c r="I28" s="19">
        <v>39987</v>
      </c>
      <c r="J28" s="20">
        <v>100.11</v>
      </c>
      <c r="K28" s="20" t="str">
        <v>FR090714B=</v>
      </c>
      <c r="L28" s="20" t="str">
        <v>N</v>
      </c>
      <c r="M28" s="20" t="str">
        <v>EH8659680</v>
      </c>
      <c r="N28" s="20" t="str">
        <v>BTNS</v>
      </c>
      <c r="O28" s="21">
        <f>_xll.BondOutstanding(C28)</f>
        <v>25786000000</v>
      </c>
      <c r="P28" s="25" t="e">
        <f>_xll.xlBondYieldSensCustom(D28,E28,F28,G28,H28,I28,J28,B28,Q28,$AM$2,$AN$2,$AO$2,$AP$2,$AQ$2,"y")</f>
        <v>#NUM!</v>
      </c>
      <c r="Q28" s="26" t="str">
        <f>_xll.RtGet("IDN",$K28,IF(OR($D28="BTP,$E11=""CTZ"),Q$5,Q$4))</f>
        <v>#N/A The record could not be found</v>
      </c>
      <c r="R28" s="27" t="str">
        <f>_xll.RtGet("IDN",$K28,IF(OR($D28="BTP,$E11=""CTZ"),R$5,R$4))</f>
        <v>#N/A The record could not be found</v>
      </c>
      <c r="S28" s="28" t="e">
        <f>_xll.xlBondYieldSensCustom(D28,E28,F28,G28,H28,I28,J28,B28,R28,$AM$2,$AN$2,$AO$2,$AP$2,$AQ$2,"y")</f>
        <v>#NUM!</v>
      </c>
      <c r="T28" s="23" t="e">
        <f t="shared" si="0"/>
        <v>#DIV/0!</v>
      </c>
      <c r="U28" s="83" t="e">
        <f>_xll.xlBondYieldSensCustom(D28,E28,F28,G28,H28,I28,J28,B28,T28,$AM$2,$AN$2,$AO$2,$AP$2,$AQ$2,"y")</f>
        <v>#NUM!</v>
      </c>
      <c r="V28" s="23"/>
      <c r="W28" s="23" t="e">
        <f t="shared" si="1"/>
        <v>#DIV/0!</v>
      </c>
      <c r="X28" s="22"/>
      <c r="Y28" s="22" t="e">
        <f t="shared" si="2"/>
        <v>#NUM!</v>
      </c>
      <c r="Z28" s="23" t="e">
        <f>_xll.xlBondPriceCustom(D28,E28,F28,G28,H28,I28,J28,B28,Y28,$AM$2,$AN$2,$AO$2,$AP$2,$AQ$2)</f>
        <v>#NUM!</v>
      </c>
      <c r="AA28" s="20" t="e">
        <f t="array" ref="AA28:AG28">_xll.xlBondYieldSens(D28,E28,F28,G28,H28,I28,J28,B28,W28,$AA$5&amp;$AB$5&amp;$AC$5&amp;$AD$5&amp;$AE$5&amp;$AF$5&amp;$AG$5)</f>
        <v>#NUM!</v>
      </c>
      <c r="AB28" s="20" t="e">
        <v>#NUM!</v>
      </c>
      <c r="AC28" s="20" t="e">
        <v>#NUM!</v>
      </c>
      <c r="AD28" s="20" t="e">
        <v>#NUM!</v>
      </c>
      <c r="AE28" s="20" t="e">
        <v>#NUM!</v>
      </c>
      <c r="AF28" s="20" t="e">
        <v>#NUM!</v>
      </c>
      <c r="AG28" s="24" t="e">
        <v>#NUM!</v>
      </c>
      <c r="AH28" s="22" t="e">
        <f>_xll.xlBondYieldSensCustom(D28,E28,F28,G28,H28,I28,J28,B28,W28,$AM$2,$AN$2,$AO$2,$AP$2,$AQ$2,"y")</f>
        <v>#NUM!</v>
      </c>
      <c r="AI28" s="22">
        <f ca="1">IF(TRUE,_xll.xlShmInterpRateFwd("EONIA",_xll.xlDateSettle("target",$B$2,2),0,4,$F28),"")</f>
        <v>1.5887258030061705E-3</v>
      </c>
      <c r="AJ28" s="85" t="e">
        <f t="shared" ca="1" si="3"/>
        <v>#NUM!</v>
      </c>
      <c r="AO28" s="84"/>
    </row>
    <row r="29" spans="1:41" ht="15.75" x14ac:dyDescent="0.25">
      <c r="A29" s="2"/>
      <c r="B29" s="19">
        <f ca="1">MAX(_xll.xlBondValueDate(D29,$B$2),I29)</f>
        <v>41627</v>
      </c>
      <c r="C29" s="20" t="str">
        <v>FR0121616090</v>
      </c>
      <c r="D29" s="86" t="str">
        <f t="array" ref="D29:N29">_xll.BondInfo(C29,$D$5:$N$5)</f>
        <v>BTF</v>
      </c>
      <c r="E29" s="20">
        <v>0</v>
      </c>
      <c r="F29" s="87">
        <v>41844</v>
      </c>
      <c r="G29" s="19">
        <v>41480</v>
      </c>
      <c r="H29" s="19">
        <v>41844</v>
      </c>
      <c r="I29" s="19">
        <v>41480</v>
      </c>
      <c r="J29" s="20">
        <v>999</v>
      </c>
      <c r="K29" s="20" t="str">
        <v>FR240714B=</v>
      </c>
      <c r="L29" s="20" t="str">
        <v>N</v>
      </c>
      <c r="M29" s="20" t="str">
        <v>EJ7637881</v>
      </c>
      <c r="N29" s="20" t="str">
        <v>BTF</v>
      </c>
      <c r="O29" s="21">
        <f>_xll.BondOutstanding(C29)</f>
        <v>9478000000</v>
      </c>
      <c r="P29" s="25">
        <f ca="1">_xll.xlBondYieldSensCustom(D29,E29,F29,G29,H29,I29,J29,B29,Q29,$AM$2,$AN$2,$AO$2,$AP$2,$AQ$2,"y")</f>
        <v>1.943287471226046E-3</v>
      </c>
      <c r="Q29" s="26">
        <f>_xll.RtGet("IDN",$K29,IF(OR($D29="BTP,$E11=""CTZ"),Q$5,Q$4))</f>
        <v>99.882999999999996</v>
      </c>
      <c r="R29" s="27">
        <f>_xll.RtGet("IDN",$K29,IF(OR($D29="BTP,$E11=""CTZ"),R$5,R$4))</f>
        <v>99.894999999999996</v>
      </c>
      <c r="S29" s="28">
        <f ca="1">_xll.xlBondYieldSensCustom(D29,E29,F29,G29,H29,I29,J29,B29,R29,$AM$2,$AN$2,$AO$2,$AP$2,$AQ$2,"y")</f>
        <v>1.7437664386316699E-3</v>
      </c>
      <c r="T29" s="23">
        <f t="shared" si="0"/>
        <v>99.888999999999996</v>
      </c>
      <c r="U29" s="83">
        <f ca="1">_xll.xlBondYieldSensCustom(D29,E29,F29,G29,H29,I29,J29,B29,T29,$AM$2,$AN$2,$AO$2,$AP$2,$AQ$2,"y")</f>
        <v>1.8435209626464272E-3</v>
      </c>
      <c r="V29" s="23"/>
      <c r="W29" s="23">
        <f t="shared" si="1"/>
        <v>99.888999999999996</v>
      </c>
      <c r="X29" s="22"/>
      <c r="Y29" s="22">
        <f t="shared" ca="1" si="2"/>
        <v>1.8435209626464272E-3</v>
      </c>
      <c r="Z29" s="23">
        <f ca="1">_xll.xlBondPriceCustom(D29,E29,F29,G29,H29,I29,J29,B29,Y29,$AM$2,$AN$2,$AO$2,$AP$2,$AQ$2)</f>
        <v>99.888999999999996</v>
      </c>
      <c r="AA29" s="20">
        <f t="array" aca="1" ref="AA29:AG29" ca="1">_xll.xlBondYieldSens(D29,E29,F29,G29,H29,I29,J29,B29,W29,$AA$5&amp;$AB$5&amp;$AC$5&amp;$AD$5&amp;$AE$5&amp;$AF$5&amp;$AG$5)</f>
        <v>0</v>
      </c>
      <c r="AB29" s="20">
        <f ca="1"/>
        <v>0.60210869444444437</v>
      </c>
      <c r="AC29" s="20">
        <f ca="1"/>
        <v>-0.60144035379361105</v>
      </c>
      <c r="AD29" s="20">
        <f ca="1"/>
        <v>7.2587548163580238E-3</v>
      </c>
      <c r="AE29" s="20">
        <f ca="1"/>
        <v>7.2426493241775185E-3</v>
      </c>
      <c r="AF29" s="20">
        <f ca="1"/>
        <v>0.60144035597460288</v>
      </c>
      <c r="AG29" s="24">
        <f ca="1"/>
        <v>1.8435209626464272E-3</v>
      </c>
      <c r="AH29" s="22">
        <f ca="1">_xll.xlBondYieldSensCustom(D29,E29,F29,G29,H29,I29,J29,B29,W29,$AM$2,$AN$2,$AO$2,$AP$2,$AQ$2,"y")</f>
        <v>1.8435209626464272E-3</v>
      </c>
      <c r="AI29" s="22">
        <f ca="1">IF(TRUE,_xll.xlShmInterpRateFwd("EONIA",_xll.xlDateSettle("target",$B$2,2),0,4,$F29),"")</f>
        <v>1.5780055954200032E-3</v>
      </c>
      <c r="AJ29" s="85">
        <f t="shared" ca="1" si="3"/>
        <v>2.6551536722642399E-4</v>
      </c>
      <c r="AO29" s="84"/>
    </row>
    <row r="30" spans="1:41" ht="15.75" x14ac:dyDescent="0.25">
      <c r="A30" s="2"/>
      <c r="B30" s="19">
        <f ca="1">MAX(_xll.xlBondValueDate(D30,$B$2),I30)</f>
        <v>41627</v>
      </c>
      <c r="C30" s="20" t="str">
        <v>FR0121616108</v>
      </c>
      <c r="D30" s="86" t="str">
        <f t="array" ref="D30:N30">_xll.BondInfo(C30,$D$5:$N$5)</f>
        <v>BTF</v>
      </c>
      <c r="E30" s="20">
        <v>0</v>
      </c>
      <c r="F30" s="87">
        <v>41872</v>
      </c>
      <c r="G30" s="19">
        <v>41515</v>
      </c>
      <c r="H30" s="19">
        <v>41872</v>
      </c>
      <c r="I30" s="19">
        <v>41515</v>
      </c>
      <c r="J30" s="20">
        <v>999</v>
      </c>
      <c r="K30" s="20" t="str">
        <v>FR210814B=</v>
      </c>
      <c r="L30" s="20" t="str">
        <v>N</v>
      </c>
      <c r="M30" s="20" t="str">
        <v>EJ8051975</v>
      </c>
      <c r="N30" s="20" t="str">
        <v>BTF</v>
      </c>
      <c r="O30" s="21">
        <f>_xll.BondOutstanding(C30)</f>
        <v>5234000000</v>
      </c>
      <c r="P30" s="25">
        <f ca="1">_xll.xlBondYieldSensCustom(D30,E30,F30,G30,H30,I30,J30,B30,Q30,$AM$2,$AN$2,$AO$2,$AP$2,$AQ$2,"y")</f>
        <v>2.3695292277710737E-3</v>
      </c>
      <c r="Q30" s="26">
        <f>_xll.RtGet("IDN",$K30,IF(OR($D30="BTP,$E11=""CTZ"),Q$5,Q$4))</f>
        <v>99.838999999999999</v>
      </c>
      <c r="R30" s="27">
        <f>_xll.RtGet("IDN",$K30,IF(OR($D30="BTP,$E11=""CTZ"),R$5,R$4))</f>
        <v>99.893000000000001</v>
      </c>
      <c r="S30" s="28">
        <f ca="1">_xll.xlBondYieldSensCustom(D30,E30,F30,G30,H30,I30,J30,B30,R30,$AM$2,$AN$2,$AO$2,$AP$2,$AQ$2,"y")</f>
        <v>1.5739290019914354E-3</v>
      </c>
      <c r="T30" s="23">
        <f t="shared" si="0"/>
        <v>99.866</v>
      </c>
      <c r="U30" s="83">
        <f ca="1">_xll.xlBondYieldSensCustom(D30,E30,F30,G30,H30,I30,J30,B30,T30,$AM$2,$AN$2,$AO$2,$AP$2,$AQ$2,"y")</f>
        <v>1.9716215647333649E-3</v>
      </c>
      <c r="V30" s="23"/>
      <c r="W30" s="23">
        <f t="shared" si="1"/>
        <v>99.866</v>
      </c>
      <c r="X30" s="22"/>
      <c r="Y30" s="22">
        <f t="shared" ca="1" si="2"/>
        <v>1.9716215647333649E-3</v>
      </c>
      <c r="Z30" s="23">
        <f ca="1">_xll.xlBondPriceCustom(D30,E30,F30,G30,H30,I30,J30,B30,Y30,$AM$2,$AN$2,$AO$2,$AP$2,$AQ$2)</f>
        <v>99.866000000000014</v>
      </c>
      <c r="AA30" s="20">
        <f t="array" aca="1" ref="AA30:AG30" ca="1">_xll.xlBondYieldSens(D30,E30,F30,G30,H30,I30,J30,B30,W30,$AA$5&amp;$AB$5&amp;$AC$5&amp;$AD$5&amp;$AE$5&amp;$AF$5&amp;$AG$5)</f>
        <v>0</v>
      </c>
      <c r="AB30" s="20">
        <f ca="1"/>
        <v>0.67964361111111105</v>
      </c>
      <c r="AC30" s="20">
        <f ca="1"/>
        <v>-0.67873288867222226</v>
      </c>
      <c r="AD30" s="20">
        <f ca="1"/>
        <v>9.2507047067901232E-3</v>
      </c>
      <c r="AE30" s="20">
        <f ca="1"/>
        <v>9.2259294287412984E-3</v>
      </c>
      <c r="AF30" s="20">
        <f ca="1"/>
        <v>0.67873289180653273</v>
      </c>
      <c r="AG30" s="24">
        <f ca="1"/>
        <v>1.9716215647333649E-3</v>
      </c>
      <c r="AH30" s="22">
        <f ca="1">_xll.xlBondYieldSensCustom(D30,E30,F30,G30,H30,I30,J30,B30,W30,$AM$2,$AN$2,$AO$2,$AP$2,$AQ$2,"y")</f>
        <v>1.9716215647333649E-3</v>
      </c>
      <c r="AI30" s="22">
        <f ca="1">IF(TRUE,_xll.xlShmInterpRateFwd("EONIA",_xll.xlDateSettle("target",$B$2,2),0,4,$F30),"")</f>
        <v>1.5593955291006644E-3</v>
      </c>
      <c r="AJ30" s="85">
        <f t="shared" ca="1" si="3"/>
        <v>4.1222603563270048E-4</v>
      </c>
      <c r="AO30" s="84"/>
    </row>
    <row r="31" spans="1:41" ht="15.75" x14ac:dyDescent="0.25">
      <c r="A31" s="2"/>
      <c r="B31" s="19">
        <f ca="1">MAX(_xll.xlBondValueDate(D31,$B$2),I31)</f>
        <v>41627</v>
      </c>
      <c r="C31" s="20" t="str">
        <v>FR0121616116</v>
      </c>
      <c r="D31" s="86" t="str">
        <f t="array" ref="D31:N31">_xll.BondInfo(C31,$D$5:$N$5)</f>
        <v>BTF</v>
      </c>
      <c r="E31" s="20">
        <v>0</v>
      </c>
      <c r="F31" s="87">
        <v>41900</v>
      </c>
      <c r="G31" s="19">
        <v>41536</v>
      </c>
      <c r="H31" s="19">
        <v>41900</v>
      </c>
      <c r="I31" s="19">
        <v>41536</v>
      </c>
      <c r="J31" s="20">
        <v>999</v>
      </c>
      <c r="K31" s="20" t="str">
        <v>FR180914B=</v>
      </c>
      <c r="L31" s="20" t="str">
        <v>N</v>
      </c>
      <c r="M31" s="20" t="str">
        <v>EJ8355376</v>
      </c>
      <c r="N31" s="20" t="str">
        <v>BTF</v>
      </c>
      <c r="O31" s="21">
        <f>_xll.BondOutstanding(C31)</f>
        <v>6895000000</v>
      </c>
      <c r="P31" s="25">
        <f ca="1">_xll.xlBondYieldSensCustom(D31,E31,F31,G31,H31,I31,J31,B31,Q31,$AM$2,$AN$2,$AO$2,$AP$2,$AQ$2,"y")</f>
        <v>2.0206740488771667E-3</v>
      </c>
      <c r="Q31" s="26">
        <f>_xll.RtGet("IDN",$K31,IF(OR($D31="BTP,$E11=""CTZ"),Q$5,Q$4))</f>
        <v>99.846999999999994</v>
      </c>
      <c r="R31" s="27">
        <f>_xll.RtGet("IDN",$K31,IF(OR($D31="BTP,$E11=""CTZ"),R$5,R$4))</f>
        <v>99.861999999999995</v>
      </c>
      <c r="S31" s="28">
        <f ca="1">_xll.xlBondYieldSensCustom(D31,E31,F31,G31,H31,I31,J31,B31,R31,$AM$2,$AN$2,$AO$2,$AP$2,$AQ$2,"y")</f>
        <v>1.8222949868621826E-3</v>
      </c>
      <c r="T31" s="23">
        <f t="shared" si="0"/>
        <v>99.854500000000002</v>
      </c>
      <c r="U31" s="83">
        <f ca="1">_xll.xlBondYieldSensCustom(D31,E31,F31,G31,H31,I31,J31,B31,T31,$AM$2,$AN$2,$AO$2,$AP$2,$AQ$2,"y")</f>
        <v>1.9214770678150357E-3</v>
      </c>
      <c r="V31" s="23"/>
      <c r="W31" s="23">
        <f t="shared" si="1"/>
        <v>99.854500000000002</v>
      </c>
      <c r="X31" s="22"/>
      <c r="Y31" s="22">
        <f t="shared" ca="1" si="2"/>
        <v>1.9214770678150357E-3</v>
      </c>
      <c r="Z31" s="23">
        <f ca="1">_xll.xlBondPriceCustom(D31,E31,F31,G31,H31,I31,J31,B31,Y31,$AM$2,$AN$2,$AO$2,$AP$2,$AQ$2)</f>
        <v>99.854500000000002</v>
      </c>
      <c r="AA31" s="20">
        <f t="array" aca="1" ref="AA31:AG31" ca="1">_xll.xlBondYieldSens(D31,E31,F31,G31,H31,I31,J31,B31,W31,$AA$5&amp;$AB$5&amp;$AC$5&amp;$AD$5&amp;$AE$5&amp;$AF$5&amp;$AG$5)</f>
        <v>0</v>
      </c>
      <c r="AB31" s="20">
        <f ca="1"/>
        <v>0.75722995833333329</v>
      </c>
      <c r="AC31" s="20">
        <f ca="1"/>
        <v>-0.75612818874395826</v>
      </c>
      <c r="AD31" s="20">
        <f ca="1"/>
        <v>1.1484654368055553E-2</v>
      </c>
      <c r="AE31" s="20">
        <f ca="1"/>
        <v>1.1451258337144925E-2</v>
      </c>
      <c r="AF31" s="20">
        <f ca="1"/>
        <v>0.7561281930790642</v>
      </c>
      <c r="AG31" s="24">
        <f ca="1"/>
        <v>1.9214770678150357E-3</v>
      </c>
      <c r="AH31" s="22">
        <f ca="1">_xll.xlBondYieldSensCustom(D31,E31,F31,G31,H31,I31,J31,B31,W31,$AM$2,$AN$2,$AO$2,$AP$2,$AQ$2,"y")</f>
        <v>1.9214770678150357E-3</v>
      </c>
      <c r="AI31" s="22">
        <f ca="1">IF(TRUE,_xll.xlShmInterpRateFwd("EONIA",_xll.xlDateSettle("target",$B$2,2),0,4,$F31),"")</f>
        <v>1.5424294405229288E-3</v>
      </c>
      <c r="AJ31" s="85">
        <f t="shared" ca="1" si="3"/>
        <v>3.7904762729210691E-4</v>
      </c>
      <c r="AO31" s="84"/>
    </row>
    <row r="32" spans="1:41" ht="15.75" x14ac:dyDescent="0.25">
      <c r="A32" s="2"/>
      <c r="B32" s="19">
        <f ca="1">MAX(_xll.xlBondValueDate(D32,$B$2),I32)</f>
        <v>41627</v>
      </c>
      <c r="C32" s="20" t="str">
        <v>FR0120634490</v>
      </c>
      <c r="D32" s="86" t="str">
        <f t="array" ref="D32:N32">_xll.BondInfo(C32,$D$5:$N$5)</f>
        <v>BTAN</v>
      </c>
      <c r="E32" s="20">
        <v>0.75</v>
      </c>
      <c r="F32" s="87">
        <v>41907</v>
      </c>
      <c r="G32" s="19">
        <v>40811</v>
      </c>
      <c r="H32" s="19">
        <v>41177</v>
      </c>
      <c r="I32" s="19">
        <v>41023</v>
      </c>
      <c r="J32" s="20">
        <v>99.77</v>
      </c>
      <c r="K32" s="20" t="str">
        <v>FR120914B=</v>
      </c>
      <c r="L32" s="20" t="str">
        <v>N</v>
      </c>
      <c r="M32" s="20" t="str">
        <v>EJ1318272</v>
      </c>
      <c r="N32" s="20" t="str">
        <v>BTNS</v>
      </c>
      <c r="O32" s="21">
        <f>_xll.BondOutstanding(C32)</f>
        <v>15154000000</v>
      </c>
      <c r="P32" s="25" t="e">
        <f>_xll.xlBondYieldSensCustom(D32,E32,F32,G32,H32,I32,J32,B32,Q32,$AM$2,$AN$2,$AO$2,$AP$2,$AQ$2,"y")</f>
        <v>#NUM!</v>
      </c>
      <c r="Q32" s="26" t="str">
        <f>_xll.RtGet("IDN",$K32,IF(OR($D32="BTP,$E11=""CTZ"),Q$5,Q$4))</f>
        <v>#N/A The record could not be found</v>
      </c>
      <c r="R32" s="27" t="str">
        <f>_xll.RtGet("IDN",$K32,IF(OR($D32="BTP,$E11=""CTZ"),R$5,R$4))</f>
        <v>#N/A The record could not be found</v>
      </c>
      <c r="S32" s="28" t="e">
        <f>_xll.xlBondYieldSensCustom(D32,E32,F32,G32,H32,I32,J32,B32,R32,$AM$2,$AN$2,$AO$2,$AP$2,$AQ$2,"y")</f>
        <v>#NUM!</v>
      </c>
      <c r="T32" s="23" t="e">
        <f t="shared" si="0"/>
        <v>#DIV/0!</v>
      </c>
      <c r="U32" s="83" t="e">
        <f>_xll.xlBondYieldSensCustom(D32,E32,F32,G32,H32,I32,J32,B32,T32,$AM$2,$AN$2,$AO$2,$AP$2,$AQ$2,"y")</f>
        <v>#NUM!</v>
      </c>
      <c r="V32" s="23"/>
      <c r="W32" s="23" t="e">
        <f t="shared" si="1"/>
        <v>#DIV/0!</v>
      </c>
      <c r="X32" s="22"/>
      <c r="Y32" s="22" t="e">
        <f t="shared" si="2"/>
        <v>#NUM!</v>
      </c>
      <c r="Z32" s="23" t="e">
        <f>_xll.xlBondPriceCustom(D32,E32,F32,G32,H32,I32,J32,B32,Y32,$AM$2,$AN$2,$AO$2,$AP$2,$AQ$2)</f>
        <v>#NUM!</v>
      </c>
      <c r="AA32" s="20" t="e">
        <f t="array" ref="AA32:AG32">_xll.xlBondYieldSens(D32,E32,F32,G32,H32,I32,J32,B32,W32,$AA$5&amp;$AB$5&amp;$AC$5&amp;$AD$5&amp;$AE$5&amp;$AF$5&amp;$AG$5)</f>
        <v>#NUM!</v>
      </c>
      <c r="AB32" s="20" t="e">
        <v>#NUM!</v>
      </c>
      <c r="AC32" s="20" t="e">
        <v>#NUM!</v>
      </c>
      <c r="AD32" s="20" t="e">
        <v>#NUM!</v>
      </c>
      <c r="AE32" s="20" t="e">
        <v>#NUM!</v>
      </c>
      <c r="AF32" s="20" t="e">
        <v>#NUM!</v>
      </c>
      <c r="AG32" s="24" t="e">
        <v>#NUM!</v>
      </c>
      <c r="AH32" s="22" t="e">
        <f>_xll.xlBondYieldSensCustom(D32,E32,F32,G32,H32,I32,J32,B32,W32,$AM$2,$AN$2,$AO$2,$AP$2,$AQ$2,"y")</f>
        <v>#NUM!</v>
      </c>
      <c r="AI32" s="22">
        <f ca="1">IF(TRUE,_xll.xlShmInterpRateFwd("EONIA",_xll.xlDateSettle("target",$B$2,2),0,4,$F32),"")</f>
        <v>1.5389315984434277E-3</v>
      </c>
      <c r="AJ32" s="85" t="e">
        <f t="shared" ca="1" si="3"/>
        <v>#NUM!</v>
      </c>
      <c r="AO32" s="84"/>
    </row>
    <row r="33" spans="1:41" ht="15.75" x14ac:dyDescent="0.25">
      <c r="A33" s="2"/>
      <c r="B33" s="19">
        <f ca="1">MAX(_xll.xlBondValueDate(D33,$B$2),I33)</f>
        <v>41627</v>
      </c>
      <c r="C33" s="20" t="str">
        <v>FR0121811683</v>
      </c>
      <c r="D33" s="86" t="str">
        <f t="array" ref="D33:N33">_xll.BondInfo(C33,$D$5:$N$5)</f>
        <v>BTF</v>
      </c>
      <c r="E33" s="20">
        <v>0</v>
      </c>
      <c r="F33" s="87">
        <v>41928</v>
      </c>
      <c r="G33" s="19">
        <v>41564</v>
      </c>
      <c r="H33" s="19">
        <v>41928</v>
      </c>
      <c r="I33" s="19">
        <v>41564</v>
      </c>
      <c r="J33" s="20">
        <v>999</v>
      </c>
      <c r="K33" s="20" t="str">
        <v>FR161014B=</v>
      </c>
      <c r="L33" s="20" t="str">
        <v>N</v>
      </c>
      <c r="M33" s="20" t="str">
        <v>EJ8805255</v>
      </c>
      <c r="N33" s="20" t="str">
        <v>BTF</v>
      </c>
      <c r="O33" s="21">
        <f>_xll.BondOutstanding(C33)</f>
        <v>8432000000</v>
      </c>
      <c r="P33" s="25">
        <f ca="1">_xll.xlBondYieldSensCustom(D33,E33,F33,G33,H33,I33,J33,B33,Q33,$AM$2,$AN$2,$AO$2,$AP$2,$AQ$2,"y")</f>
        <v>2.4928928583413329E-3</v>
      </c>
      <c r="Q33" s="26">
        <f>_xll.RtGet("IDN",$K33,IF(OR($D33="BTP,$E11=""CTZ"),Q$5,Q$4))</f>
        <v>99.792000000000002</v>
      </c>
      <c r="R33" s="27">
        <f>_xll.RtGet("IDN",$K33,IF(OR($D33="BTP,$E11=""CTZ"),R$5,R$4))</f>
        <v>99.858000000000004</v>
      </c>
      <c r="S33" s="28">
        <f ca="1">_xll.xlBondYieldSensCustom(D33,E33,F33,G33,H33,I33,J33,B33,R33,$AM$2,$AN$2,$AO$2,$AP$2,$AQ$2,"y")</f>
        <v>1.7007539410279972E-3</v>
      </c>
      <c r="T33" s="23">
        <f t="shared" si="0"/>
        <v>99.825000000000003</v>
      </c>
      <c r="U33" s="83">
        <f ca="1">_xll.xlBondYieldSensCustom(D33,E33,F33,G33,H33,I33,J33,B33,T33,$AM$2,$AN$2,$AO$2,$AP$2,$AQ$2,"y")</f>
        <v>2.0966924676322227E-3</v>
      </c>
      <c r="V33" s="23"/>
      <c r="W33" s="23">
        <f t="shared" si="1"/>
        <v>99.825000000000003</v>
      </c>
      <c r="X33" s="22"/>
      <c r="Y33" s="22">
        <f t="shared" ca="1" si="2"/>
        <v>2.0966924676322227E-3</v>
      </c>
      <c r="Z33" s="23">
        <f ca="1">_xll.xlBondPriceCustom(D33,E33,F33,G33,H33,I33,J33,B33,Y33,$AM$2,$AN$2,$AO$2,$AP$2,$AQ$2)</f>
        <v>99.825000000000003</v>
      </c>
      <c r="AA33" s="20">
        <f t="array" aca="1" ref="AA33:AG33" ca="1">_xll.xlBondYieldSens(D33,E33,F33,G33,H33,I33,J33,B33,W33,$AA$5&amp;$AB$5&amp;$AC$5&amp;$AD$5&amp;$AE$5&amp;$AF$5&amp;$AG$5)</f>
        <v>0</v>
      </c>
      <c r="AB33" s="20">
        <f ca="1"/>
        <v>0.83464791666666671</v>
      </c>
      <c r="AC33" s="20">
        <f ca="1"/>
        <v>-0.8331872828125001</v>
      </c>
      <c r="AD33" s="20">
        <f ca="1"/>
        <v>1.3957167939814816E-2</v>
      </c>
      <c r="AE33" s="20">
        <f ca="1"/>
        <v>1.3908360595852281E-2</v>
      </c>
      <c r="AF33" s="20">
        <f ca="1"/>
        <v>0.83318728861740965</v>
      </c>
      <c r="AG33" s="24">
        <f ca="1"/>
        <v>2.0966924676322227E-3</v>
      </c>
      <c r="AH33" s="22">
        <f ca="1">_xll.xlBondYieldSensCustom(D33,E33,F33,G33,H33,I33,J33,B33,W33,$AM$2,$AN$2,$AO$2,$AP$2,$AQ$2,"y")</f>
        <v>2.0966924676322227E-3</v>
      </c>
      <c r="AI33" s="22">
        <f ca="1">IF(TRUE,_xll.xlShmInterpRateFwd("EONIA",_xll.xlDateSettle("target",$B$2,2),0,4,$F33),"")</f>
        <v>1.531432184670918E-3</v>
      </c>
      <c r="AJ33" s="85">
        <f t="shared" ca="1" si="3"/>
        <v>5.6526028296130472E-4</v>
      </c>
      <c r="AO33" s="84"/>
    </row>
    <row r="34" spans="1:41" ht="15.75" x14ac:dyDescent="0.25">
      <c r="A34" s="2"/>
      <c r="B34" s="19">
        <f ca="1">MAX(_xll.xlBondValueDate(D34,$B$2),I34)</f>
        <v>41631</v>
      </c>
      <c r="C34" s="20" t="str">
        <v>FR0010112052</v>
      </c>
      <c r="D34" s="86" t="str">
        <f t="array" ref="D34:N34">_xll.BondInfo(C34,$D$5:$N$5)</f>
        <v>OAT</v>
      </c>
      <c r="E34" s="20">
        <v>4</v>
      </c>
      <c r="F34" s="87">
        <v>41937</v>
      </c>
      <c r="G34" s="19">
        <v>37919</v>
      </c>
      <c r="H34" s="19">
        <v>38285</v>
      </c>
      <c r="I34" s="19">
        <v>38237</v>
      </c>
      <c r="J34" s="20">
        <v>99.25</v>
      </c>
      <c r="K34" s="20" t="str">
        <v>FR0010112052=</v>
      </c>
      <c r="L34" s="20" t="str">
        <v>N</v>
      </c>
      <c r="M34" s="20" t="str">
        <v>ED5882433</v>
      </c>
      <c r="N34" s="20" t="str">
        <v>FRTR</v>
      </c>
      <c r="O34" s="21">
        <f>_xll.BondOutstanding(C34)</f>
        <v>21153972000</v>
      </c>
      <c r="P34" s="25">
        <f ca="1">_xll.xlBondYieldSensCustom(D34,E34,F34,G34,H34,I34,J34,B34,Q34,$AM$2,$AN$2,$AO$2,$AP$2,$AQ$2,"y")</f>
        <v>2.1731118916710201E-3</v>
      </c>
      <c r="Q34" s="26">
        <f>_xll.RtGet("IDN",$K34,IF(OR($D34="BTP,$E11=""CTZ"),Q$5,Q$4))</f>
        <v>103.16</v>
      </c>
      <c r="R34" s="27">
        <f>_xll.RtGet("IDN",$K34,IF(OR($D34="BTP,$E11=""CTZ"),R$5,R$4))</f>
        <v>103.18</v>
      </c>
      <c r="S34" s="28">
        <f ca="1">_xll.xlBondYieldSensCustom(D34,E34,F34,G34,H34,I34,J34,B34,R34,$AM$2,$AN$2,$AO$2,$AP$2,$AQ$2,"y")</f>
        <v>1.9475441253758996E-3</v>
      </c>
      <c r="T34" s="23">
        <f t="shared" si="0"/>
        <v>103.17</v>
      </c>
      <c r="U34" s="83">
        <f ca="1">_xll.xlBondYieldSensCustom(D34,E34,F34,G34,H34,I34,J34,B34,T34,$AM$2,$AN$2,$AO$2,$AP$2,$AQ$2,"y")</f>
        <v>2.0603171557566219E-3</v>
      </c>
      <c r="V34" s="23"/>
      <c r="W34" s="23">
        <f t="shared" si="1"/>
        <v>103.17</v>
      </c>
      <c r="X34" s="22"/>
      <c r="Y34" s="22">
        <f t="shared" ca="1" si="2"/>
        <v>2.0603171557566219E-3</v>
      </c>
      <c r="Z34" s="23">
        <f ca="1">_xll.xlBondPriceCustom(D34,E34,F34,G34,H34,I34,J34,B34,Y34,$AM$2,$AN$2,$AO$2,$AP$2,$AQ$2)</f>
        <v>103.17000013471522</v>
      </c>
      <c r="AA34" s="20">
        <f t="array" aca="1" ref="AA34:AG34" ca="1">_xll.xlBondYieldSens(D34,E34,F34,G34,H34,I34,J34,B34,W34,$AA$5&amp;$AB$5&amp;$AC$5&amp;$AD$5&amp;$AE$5&amp;$AF$5&amp;$AG$5)</f>
        <v>0.64700000000000002</v>
      </c>
      <c r="AB34" s="20">
        <f ca="1"/>
        <v>0.83835616438356164</v>
      </c>
      <c r="AC34" s="20">
        <f ca="1"/>
        <v>-0.83659684866805673</v>
      </c>
      <c r="AD34" s="20">
        <f ca="1"/>
        <v>1.5411972227434787E-2</v>
      </c>
      <c r="AE34" s="20">
        <f ca="1"/>
        <v>1.5347355121310063E-2</v>
      </c>
      <c r="AF34" s="20">
        <f ca="1"/>
        <v>0.86852975683058276</v>
      </c>
      <c r="AG34" s="24">
        <f ca="1"/>
        <v>2.1029445112331763E-3</v>
      </c>
      <c r="AH34" s="22">
        <f ca="1">_xll.xlBondYieldSensCustom(D34,E34,F34,G34,H34,I34,J34,B34,W34,$AM$2,$AN$2,$AO$2,$AP$2,$AQ$2,"y")</f>
        <v>2.0603171557566219E-3</v>
      </c>
      <c r="AI34" s="22">
        <f ca="1">IF(TRUE,_xll.xlShmInterpRateFwd("EONIA",_xll.xlDateSettle("target",$B$2,2),0,4,$F34),"")</f>
        <v>1.5283911211493798E-3</v>
      </c>
      <c r="AJ34" s="85">
        <f t="shared" ca="1" si="3"/>
        <v>5.3192603460724204E-4</v>
      </c>
      <c r="AO34" s="84"/>
    </row>
    <row r="35" spans="1:41" ht="15.75" x14ac:dyDescent="0.25">
      <c r="A35" s="2"/>
      <c r="B35" s="19">
        <f ca="1">MAX(_xll.xlBondValueDate(D35,$B$2),I35)</f>
        <v>41627</v>
      </c>
      <c r="C35" s="20" t="str">
        <v>FR0121811691</v>
      </c>
      <c r="D35" s="86" t="str">
        <f t="array" ref="D35:N35">_xll.BondInfo(C35,$D$5:$N$5)</f>
        <v>BTF</v>
      </c>
      <c r="E35" s="20">
        <v>0</v>
      </c>
      <c r="F35" s="87">
        <v>41956</v>
      </c>
      <c r="G35" s="19">
        <v>41599</v>
      </c>
      <c r="H35" s="19">
        <v>41956</v>
      </c>
      <c r="I35" s="19">
        <v>41599</v>
      </c>
      <c r="J35" s="20">
        <v>999</v>
      </c>
      <c r="K35" s="20" t="str">
        <v>FR131114B=</v>
      </c>
      <c r="L35" s="20" t="str">
        <v>N</v>
      </c>
      <c r="M35" s="20" t="str">
        <v>EJ9412630</v>
      </c>
      <c r="N35" s="20" t="str">
        <v>BTF</v>
      </c>
      <c r="O35" s="21">
        <f>_xll.BondOutstanding(C35)</f>
        <v>6366000000</v>
      </c>
      <c r="P35" s="25">
        <f ca="1">_xll.xlBondYieldSensCustom(D35,E35,F35,G35,H35,I35,J35,B35,Q35,$AM$2,$AN$2,$AO$2,$AP$2,$AQ$2,"y")</f>
        <v>2.5005340443688268E-3</v>
      </c>
      <c r="Q35" s="26">
        <f>_xll.RtGet("IDN",$K35,IF(OR($D35="BTP,$E11=""CTZ"),Q$5,Q$4))</f>
        <v>99.772000000000006</v>
      </c>
      <c r="R35" s="27">
        <f>_xll.RtGet("IDN",$K35,IF(OR($D35="BTP,$E11=""CTZ"),R$5,R$4))</f>
        <v>99.844999999999999</v>
      </c>
      <c r="S35" s="28">
        <f ca="1">_xll.xlBondYieldSensCustom(D35,E35,F35,G35,H35,I35,J35,B35,R35,$AM$2,$AN$2,$AO$2,$AP$2,$AQ$2,"y")</f>
        <v>1.6986815886883462E-3</v>
      </c>
      <c r="T35" s="23">
        <f t="shared" si="0"/>
        <v>99.808500000000009</v>
      </c>
      <c r="U35" s="83">
        <f ca="1">_xll.xlBondYieldSensCustom(D35,E35,F35,G35,H35,I35,J35,B35,T35,$AM$2,$AN$2,$AO$2,$AP$2,$AQ$2,"y")</f>
        <v>2.0994611976766645E-3</v>
      </c>
      <c r="V35" s="23"/>
      <c r="W35" s="23">
        <f t="shared" si="1"/>
        <v>99.808500000000009</v>
      </c>
      <c r="X35" s="22"/>
      <c r="Y35" s="22">
        <f t="shared" ca="1" si="2"/>
        <v>2.0994611976766645E-3</v>
      </c>
      <c r="Z35" s="23">
        <f ca="1">_xll.xlBondPriceCustom(D35,E35,F35,G35,H35,I35,J35,B35,Y35,$AM$2,$AN$2,$AO$2,$AP$2,$AQ$2)</f>
        <v>99.808500000000009</v>
      </c>
      <c r="AA35" s="20">
        <f t="array" aca="1" ref="AA35:AG35" ca="1">_xll.xlBondYieldSens(D35,E35,F35,G35,H35,I35,J35,B35,W35,$AA$5&amp;$AB$5&amp;$AC$5&amp;$AD$5&amp;$AE$5&amp;$AF$5&amp;$AG$5)</f>
        <v>0</v>
      </c>
      <c r="AB35" s="20">
        <f ca="1"/>
        <v>0.91213879166666678</v>
      </c>
      <c r="AC35" s="20">
        <f ca="1"/>
        <v>-0.91039204588062528</v>
      </c>
      <c r="AD35" s="20">
        <f ca="1"/>
        <v>1.6671870136574073E-2</v>
      </c>
      <c r="AE35" s="20">
        <f ca="1"/>
        <v>1.6608078013449962E-2</v>
      </c>
      <c r="AF35" s="20">
        <f ca="1"/>
        <v>0.91039205345637697</v>
      </c>
      <c r="AG35" s="24">
        <f ca="1"/>
        <v>2.0994611976766645E-3</v>
      </c>
      <c r="AH35" s="22">
        <f ca="1">_xll.xlBondYieldSensCustom(D35,E35,F35,G35,H35,I35,J35,B35,W35,$AM$2,$AN$2,$AO$2,$AP$2,$AQ$2,"y")</f>
        <v>2.0994611976766645E-3</v>
      </c>
      <c r="AI35" s="22">
        <f ca="1">IF(TRUE,_xll.xlShmInterpRateFwd("EONIA",_xll.xlDateSettle("target",$B$2,2),0,4,$F35),"")</f>
        <v>1.5222629768104907E-3</v>
      </c>
      <c r="AJ35" s="85">
        <f t="shared" ca="1" si="3"/>
        <v>5.7719822086617378E-4</v>
      </c>
      <c r="AO35" s="84"/>
    </row>
    <row r="36" spans="1:41" ht="15.75" x14ac:dyDescent="0.25">
      <c r="A36" s="2"/>
      <c r="B36" s="19">
        <f ca="1">MAX(_xll.xlBondValueDate(D36,$B$2),I36)</f>
        <v>41627</v>
      </c>
      <c r="C36" s="20" t="str">
        <v>FR0121811709</v>
      </c>
      <c r="D36" s="86" t="str">
        <f t="array" ref="D36:N36">_xll.BondInfo(C36,$D$5:$N$5)</f>
        <v>BTF</v>
      </c>
      <c r="E36" s="20">
        <v>0</v>
      </c>
      <c r="F36" s="87">
        <v>41984</v>
      </c>
      <c r="G36" s="19">
        <v>41627</v>
      </c>
      <c r="H36" s="19">
        <v>41984</v>
      </c>
      <c r="I36" s="19">
        <v>41627</v>
      </c>
      <c r="J36" s="20">
        <v>999</v>
      </c>
      <c r="K36" s="20" t="str">
        <v>FR111214B=</v>
      </c>
      <c r="L36" s="20" t="str">
        <v>Y</v>
      </c>
      <c r="M36" s="20" t="str">
        <v>EJ9903224</v>
      </c>
      <c r="N36" s="20" t="str">
        <v>BTF</v>
      </c>
      <c r="O36" s="21">
        <f>_xll.BondOutstanding(C36)</f>
        <v>1700000000</v>
      </c>
      <c r="P36" s="25" t="str">
        <f ca="1">_xll.xlBondYieldSensCustom(D36,E36,F36,G36,H36,I36,J36,B36,Q36,$AM$2,$AN$2,$AO$2,$AP$2,$AQ$2,"y")</f>
        <v>Invalid price</v>
      </c>
      <c r="Q36" s="26">
        <f>_xll.RtGet("IDN",$K36,IF(OR($D36="BTP,$E11=""CTZ"),Q$5,Q$4))</f>
        <v>0</v>
      </c>
      <c r="R36" s="27">
        <f>_xll.RtGet("IDN",$K36,IF(OR($D36="BTP,$E11=""CTZ"),R$5,R$4))</f>
        <v>0</v>
      </c>
      <c r="S36" s="28" t="str">
        <f ca="1">_xll.xlBondYieldSensCustom(D36,E36,F36,G36,H36,I36,J36,B36,R36,$AM$2,$AN$2,$AO$2,$AP$2,$AQ$2,"y")</f>
        <v>Invalid price</v>
      </c>
      <c r="T36" s="23">
        <f t="shared" si="0"/>
        <v>0</v>
      </c>
      <c r="U36" s="83" t="str">
        <f ca="1">_xll.xlBondYieldSensCustom(D36,E36,F36,G36,H36,I36,J36,B36,T36,$AM$2,$AN$2,$AO$2,$AP$2,$AQ$2,"y")</f>
        <v>Invalid price</v>
      </c>
      <c r="V36" s="23"/>
      <c r="W36" s="23">
        <f t="shared" si="1"/>
        <v>0</v>
      </c>
      <c r="X36" s="22"/>
      <c r="Y36" s="22" t="str">
        <f t="shared" ca="1" si="2"/>
        <v>Invalid price</v>
      </c>
      <c r="Z36" s="23" t="e">
        <f ca="1">_xll.xlBondPriceCustom(D36,E36,F36,G36,H36,I36,J36,B36,Y36,$AM$2,$AN$2,$AO$2,$AP$2,$AQ$2)</f>
        <v>#NUM!</v>
      </c>
      <c r="AA36" s="20" t="str">
        <f t="array" aca="1" ref="AA36:AG36" ca="1">_xll.xlBondYieldSens(D36,E36,F36,G36,H36,I36,J36,B36,W36,$AA$5&amp;$AB$5&amp;$AC$5&amp;$AD$5&amp;$AE$5&amp;$AF$5&amp;$AG$5)</f>
        <v>Invalid price</v>
      </c>
      <c r="AB36" s="20" t="str">
        <f ca="1"/>
        <v>Invalid price</v>
      </c>
      <c r="AC36" s="20" t="str">
        <f ca="1"/>
        <v>Invalid price</v>
      </c>
      <c r="AD36" s="20" t="str">
        <f ca="1"/>
        <v>Invalid price</v>
      </c>
      <c r="AE36" s="20" t="str">
        <f ca="1"/>
        <v>Invalid price</v>
      </c>
      <c r="AF36" s="20" t="str">
        <f ca="1"/>
        <v>Invalid price</v>
      </c>
      <c r="AG36" s="24" t="str">
        <f ca="1"/>
        <v>Invalid price</v>
      </c>
      <c r="AH36" s="22" t="str">
        <f ca="1">_xll.xlBondYieldSensCustom(D36,E36,F36,G36,H36,I36,J36,B36,W36,$AM$2,$AN$2,$AO$2,$AP$2,$AQ$2,"y")</f>
        <v>Invalid price</v>
      </c>
      <c r="AI36" s="22">
        <f ca="1">IF(TRUE,_xll.xlShmInterpRateFwd("EONIA",_xll.xlDateSettle("target",$B$2,2),0,4,$F36),"")</f>
        <v>1.513442757114955E-3</v>
      </c>
      <c r="AJ36" s="85" t="e">
        <f t="shared" ca="1" si="3"/>
        <v>#VALUE!</v>
      </c>
      <c r="AO36" s="84"/>
    </row>
    <row r="37" spans="1:41" ht="15.75" x14ac:dyDescent="0.25">
      <c r="A37" s="2"/>
      <c r="B37" s="19">
        <f ca="1">MAX(_xll.xlBondValueDate(D37,$B$2),I37)</f>
        <v>41627</v>
      </c>
      <c r="C37" s="20" t="str">
        <v>FR0117836652</v>
      </c>
      <c r="D37" s="86" t="str">
        <f t="array" ref="D37:N37">_xll.BondInfo(C37,$D$5:$N$5)</f>
        <v>BTAN</v>
      </c>
      <c r="E37" s="20">
        <v>2.5</v>
      </c>
      <c r="F37" s="87">
        <v>42019</v>
      </c>
      <c r="G37" s="19">
        <v>40193</v>
      </c>
      <c r="H37" s="19">
        <v>40558</v>
      </c>
      <c r="I37" s="19">
        <v>40204</v>
      </c>
      <c r="J37" s="20">
        <v>100.03</v>
      </c>
      <c r="K37" s="20" t="str">
        <v>FR100115B=</v>
      </c>
      <c r="L37" s="20" t="str">
        <v>N</v>
      </c>
      <c r="M37" s="20" t="str">
        <v>EI1126586</v>
      </c>
      <c r="N37" s="20" t="str">
        <v>BTNS</v>
      </c>
      <c r="O37" s="21">
        <f>_xll.BondOutstanding(C37)</f>
        <v>19480000000</v>
      </c>
      <c r="P37" s="25" t="e">
        <f>_xll.xlBondYieldSensCustom(D37,E37,F37,G37,H37,I37,J37,B37,Q37,$AM$2,$AN$2,$AO$2,$AP$2,$AQ$2,"y")</f>
        <v>#NUM!</v>
      </c>
      <c r="Q37" s="26" t="str">
        <f>_xll.RtGet("IDN",$K37,IF(OR($D37="BTP,$E11=""CTZ"),Q$5,Q$4))</f>
        <v>#N/A The record could not be found</v>
      </c>
      <c r="R37" s="27" t="str">
        <f>_xll.RtGet("IDN",$K37,IF(OR($D37="BTP,$E11=""CTZ"),R$5,R$4))</f>
        <v>#N/A The record could not be found</v>
      </c>
      <c r="S37" s="28" t="e">
        <f>_xll.xlBondYieldSensCustom(D37,E37,F37,G37,H37,I37,J37,B37,R37,$AM$2,$AN$2,$AO$2,$AP$2,$AQ$2,"y")</f>
        <v>#NUM!</v>
      </c>
      <c r="T37" s="23" t="e">
        <f t="shared" si="0"/>
        <v>#DIV/0!</v>
      </c>
      <c r="U37" s="83" t="e">
        <f>_xll.xlBondYieldSensCustom(D37,E37,F37,G37,H37,I37,J37,B37,T37,$AM$2,$AN$2,$AO$2,$AP$2,$AQ$2,"y")</f>
        <v>#NUM!</v>
      </c>
      <c r="V37" s="23"/>
      <c r="W37" s="23" t="e">
        <f t="shared" si="1"/>
        <v>#DIV/0!</v>
      </c>
      <c r="X37" s="22"/>
      <c r="Y37" s="22" t="e">
        <f t="shared" si="2"/>
        <v>#NUM!</v>
      </c>
      <c r="Z37" s="23" t="e">
        <f>_xll.xlBondPriceCustom(D37,E37,F37,G37,H37,I37,J37,B37,Y37,$AM$2,$AN$2,$AO$2,$AP$2,$AQ$2)</f>
        <v>#NUM!</v>
      </c>
      <c r="AA37" s="20" t="e">
        <f t="array" ref="AA37:AG37">_xll.xlBondYieldSens(D37,E37,F37,G37,H37,I37,J37,B37,W37,$AA$5&amp;$AB$5&amp;$AC$5&amp;$AD$5&amp;$AE$5&amp;$AF$5&amp;$AG$5)</f>
        <v>#NUM!</v>
      </c>
      <c r="AB37" s="20" t="e">
        <v>#NUM!</v>
      </c>
      <c r="AC37" s="20" t="e">
        <v>#NUM!</v>
      </c>
      <c r="AD37" s="20" t="e">
        <v>#NUM!</v>
      </c>
      <c r="AE37" s="20" t="e">
        <v>#NUM!</v>
      </c>
      <c r="AF37" s="20" t="e">
        <v>#NUM!</v>
      </c>
      <c r="AG37" s="24" t="e">
        <v>#NUM!</v>
      </c>
      <c r="AH37" s="22" t="e">
        <f>_xll.xlBondYieldSensCustom(D37,E37,F37,G37,H37,I37,J37,B37,W37,$AM$2,$AN$2,$AO$2,$AP$2,$AQ$2,"y")</f>
        <v>#NUM!</v>
      </c>
      <c r="AI37" s="22">
        <f ca="1">IF(TRUE,_xll.xlShmInterpRateFwd("EONIA",_xll.xlDateSettle("target",$B$2,2),0,4,$F37),"")</f>
        <v>1.5101481974748514E-3</v>
      </c>
      <c r="AJ37" s="85" t="e">
        <f t="shared" ca="1" si="3"/>
        <v>#NUM!</v>
      </c>
      <c r="AO37" s="84"/>
    </row>
    <row r="38" spans="1:41" ht="15.75" x14ac:dyDescent="0.25">
      <c r="A38" s="2"/>
      <c r="B38" s="19">
        <f ca="1">MAX(_xll.xlBondValueDate(D38,$B$2),I38)</f>
        <v>41631</v>
      </c>
      <c r="C38" s="20" t="str">
        <v>FR0010163543</v>
      </c>
      <c r="D38" s="86" t="str">
        <f t="array" ref="D38:N38">_xll.BondInfo(C38,$D$5:$N$5)</f>
        <v>OAT</v>
      </c>
      <c r="E38" s="20">
        <v>3.5</v>
      </c>
      <c r="F38" s="87">
        <v>42119</v>
      </c>
      <c r="G38" s="19">
        <v>38102</v>
      </c>
      <c r="H38" s="19">
        <v>38467</v>
      </c>
      <c r="I38" s="19">
        <v>38391</v>
      </c>
      <c r="J38" s="20">
        <v>99.16</v>
      </c>
      <c r="K38" s="20" t="str">
        <v>FR0010163543=</v>
      </c>
      <c r="L38" s="20" t="str">
        <v>N</v>
      </c>
      <c r="M38" s="20" t="str">
        <v>ED7884965</v>
      </c>
      <c r="N38" s="20" t="str">
        <v>FRTR</v>
      </c>
      <c r="O38" s="21">
        <f>_xll.BondOutstanding(C38)</f>
        <v>26547313893</v>
      </c>
      <c r="P38" s="25">
        <f ca="1">_xll.xlBondYieldSensCustom(D38,E38,F38,G38,H38,I38,J38,B38,Q38,$AM$2,$AN$2,$AO$2,$AP$2,$AQ$2,"y")</f>
        <v>2.5710114967821412E-3</v>
      </c>
      <c r="Q38" s="26">
        <f>_xll.RtGet("IDN",$K38,IF(OR($D38="BTP,$E11=""CTZ"),Q$5,Q$4))</f>
        <v>104.315</v>
      </c>
      <c r="R38" s="27">
        <f>_xll.RtGet("IDN",$K38,IF(OR($D38="BTP,$E11=""CTZ"),R$5,R$4))</f>
        <v>104.36499999999999</v>
      </c>
      <c r="S38" s="28">
        <f ca="1">_xll.xlBondYieldSensCustom(D38,E38,F38,G38,H38,I38,J38,B38,R38,$AM$2,$AN$2,$AO$2,$AP$2,$AQ$2,"y")</f>
        <v>2.2167917251929223E-3</v>
      </c>
      <c r="T38" s="23">
        <f t="shared" ref="T38:T69" si="4">AVERAGE(Q38:R38)</f>
        <v>104.34</v>
      </c>
      <c r="U38" s="83">
        <f ca="1">_xll.xlBondYieldSensCustom(D38,E38,F38,G38,H38,I38,J38,B38,T38,$AM$2,$AN$2,$AO$2,$AP$2,$AQ$2,"y")</f>
        <v>2.393859323160788E-3</v>
      </c>
      <c r="V38" s="23"/>
      <c r="W38" s="23">
        <f t="shared" ref="W38:W69" si="5">IF(ISNUMBER(V38),V38,T38)</f>
        <v>104.34</v>
      </c>
      <c r="X38" s="22"/>
      <c r="Y38" s="22">
        <f t="shared" ref="Y38:Y69" ca="1" si="6">IF(ISNUMBER(X38),X38,AH38)</f>
        <v>2.393859323160788E-3</v>
      </c>
      <c r="Z38" s="23">
        <f ca="1">_xll.xlBondPriceCustom(D38,E38,F38,G38,H38,I38,J38,B38,Y38,$AM$2,$AN$2,$AO$2,$AP$2,$AQ$2)</f>
        <v>104.33999999733661</v>
      </c>
      <c r="AA38" s="20">
        <f t="array" aca="1" ref="AA38:AG38" ca="1">_xll.xlBondYieldSens(D38,E38,F38,G38,H38,I38,J38,B38,W38,$AA$5&amp;$AB$5&amp;$AC$5&amp;$AD$5&amp;$AE$5&amp;$AF$5&amp;$AG$5)</f>
        <v>2.3210000000000002</v>
      </c>
      <c r="AB38" s="20">
        <f ca="1"/>
        <v>1.3041989513926109</v>
      </c>
      <c r="AC38" s="20">
        <f ca="1"/>
        <v>-1.3010296460526913</v>
      </c>
      <c r="AD38" s="20">
        <f ca="1"/>
        <v>3.0368461958649177E-2</v>
      </c>
      <c r="AE38" s="20">
        <f ca="1"/>
        <v>3.0221045822836193E-2</v>
      </c>
      <c r="AF38" s="20">
        <f ca="1"/>
        <v>1.3876912513197226</v>
      </c>
      <c r="AG38" s="24">
        <f ca="1"/>
        <v>2.4359958939089293E-3</v>
      </c>
      <c r="AH38" s="22">
        <f ca="1">_xll.xlBondYieldSensCustom(D38,E38,F38,G38,H38,I38,J38,B38,W38,$AM$2,$AN$2,$AO$2,$AP$2,$AQ$2,"y")</f>
        <v>2.393859323160788E-3</v>
      </c>
      <c r="AI38" s="22">
        <f ca="1">IF(TRUE,_xll.xlShmInterpRateFwd("EONIA",_xll.xlDateSettle("target",$B$2,2),0,4,$F38),"")</f>
        <v>1.5339294267268547E-3</v>
      </c>
      <c r="AJ38" s="85">
        <f t="shared" ref="AJ38:AJ69" ca="1" si="7">$Y38-$AI38</f>
        <v>8.5992989643393332E-4</v>
      </c>
    </row>
    <row r="39" spans="1:41" ht="15.75" x14ac:dyDescent="0.25">
      <c r="A39" s="2"/>
      <c r="B39" s="19">
        <f ca="1">MAX(_xll.xlBondValueDate(D39,$B$2),I39)</f>
        <v>41627</v>
      </c>
      <c r="C39" s="20" t="str">
        <v>FR0118462128</v>
      </c>
      <c r="D39" s="86" t="str">
        <f t="array" ref="D39:N39">_xll.BondInfo(C39,$D$5:$N$5)</f>
        <v>BTAN</v>
      </c>
      <c r="E39" s="20">
        <v>2</v>
      </c>
      <c r="F39" s="87">
        <v>42197</v>
      </c>
      <c r="G39" s="19">
        <v>40006</v>
      </c>
      <c r="H39" s="19">
        <v>40371</v>
      </c>
      <c r="I39" s="19">
        <v>40351</v>
      </c>
      <c r="J39" s="20">
        <v>99.52</v>
      </c>
      <c r="K39" s="20" t="str">
        <v>FR100715B=</v>
      </c>
      <c r="L39" s="20" t="str">
        <v>N</v>
      </c>
      <c r="M39" s="20" t="str">
        <v>EI2814172</v>
      </c>
      <c r="N39" s="20" t="str">
        <v>BTNS</v>
      </c>
      <c r="O39" s="21">
        <f>_xll.BondOutstanding(C39)</f>
        <v>31488000000</v>
      </c>
      <c r="P39" s="25" t="e">
        <f>_xll.xlBondYieldSensCustom(D39,E39,F39,G39,H39,I39,J39,B39,Q39,$AM$2,$AN$2,$AO$2,$AP$2,$AQ$2,"y")</f>
        <v>#NUM!</v>
      </c>
      <c r="Q39" s="26" t="str">
        <f>_xll.RtGet("IDN",$K39,IF(OR($D39="BTP,$E11=""CTZ"),Q$5,Q$4))</f>
        <v>#N/A The record could not be found</v>
      </c>
      <c r="R39" s="27" t="str">
        <f>_xll.RtGet("IDN",$K39,IF(OR($D39="BTP,$E11=""CTZ"),R$5,R$4))</f>
        <v>#N/A The record could not be found</v>
      </c>
      <c r="S39" s="28" t="e">
        <f>_xll.xlBondYieldSensCustom(D39,E39,F39,G39,H39,I39,J39,B39,R39,$AM$2,$AN$2,$AO$2,$AP$2,$AQ$2,"y")</f>
        <v>#NUM!</v>
      </c>
      <c r="T39" s="23" t="e">
        <f t="shared" si="4"/>
        <v>#DIV/0!</v>
      </c>
      <c r="U39" s="83" t="e">
        <f>_xll.xlBondYieldSensCustom(D39,E39,F39,G39,H39,I39,J39,B39,T39,$AM$2,$AN$2,$AO$2,$AP$2,$AQ$2,"y")</f>
        <v>#NUM!</v>
      </c>
      <c r="V39" s="23"/>
      <c r="W39" s="23" t="e">
        <f t="shared" si="5"/>
        <v>#DIV/0!</v>
      </c>
      <c r="X39" s="22"/>
      <c r="Y39" s="22" t="e">
        <f t="shared" si="6"/>
        <v>#NUM!</v>
      </c>
      <c r="Z39" s="23" t="e">
        <f>_xll.xlBondPriceCustom(D39,E39,F39,G39,H39,I39,J39,B39,Y39,$AM$2,$AN$2,$AO$2,$AP$2,$AQ$2)</f>
        <v>#NUM!</v>
      </c>
      <c r="AA39" s="20" t="e">
        <f t="array" ref="AA39:AG39">_xll.xlBondYieldSens(D39,E39,F39,G39,H39,I39,J39,B39,W39,$AA$5&amp;$AB$5&amp;$AC$5&amp;$AD$5&amp;$AE$5&amp;$AF$5&amp;$AG$5)</f>
        <v>#NUM!</v>
      </c>
      <c r="AB39" s="20" t="e">
        <v>#NUM!</v>
      </c>
      <c r="AC39" s="20" t="e">
        <v>#NUM!</v>
      </c>
      <c r="AD39" s="20" t="e">
        <v>#NUM!</v>
      </c>
      <c r="AE39" s="20" t="e">
        <v>#NUM!</v>
      </c>
      <c r="AF39" s="20" t="e">
        <v>#NUM!</v>
      </c>
      <c r="AG39" s="24" t="e">
        <v>#NUM!</v>
      </c>
      <c r="AH39" s="22" t="e">
        <f>_xll.xlBondYieldSensCustom(D39,E39,F39,G39,H39,I39,J39,B39,W39,$AM$2,$AN$2,$AO$2,$AP$2,$AQ$2,"y")</f>
        <v>#NUM!</v>
      </c>
      <c r="AI39" s="22">
        <f ca="1">IF(TRUE,_xll.xlShmInterpRateFwd("EONIA",_xll.xlDateSettle("target",$B$2,2),0,4,$F39),"")</f>
        <v>1.5995061093807019E-3</v>
      </c>
      <c r="AJ39" s="85" t="e">
        <f t="shared" ca="1" si="7"/>
        <v>#NUM!</v>
      </c>
    </row>
    <row r="40" spans="1:41" ht="15.75" x14ac:dyDescent="0.25">
      <c r="A40" s="2"/>
      <c r="B40" s="19">
        <f ca="1">MAX(_xll.xlBondValueDate(D40,$B$2),I40)</f>
        <v>41631</v>
      </c>
      <c r="C40" s="20" t="str">
        <v>.FR0010216481</v>
      </c>
      <c r="D40" s="86" t="str">
        <f t="array" ref="D40:N40">_xll.BondInfo(C40,$D$5:$N$5)</f>
        <v>OAT</v>
      </c>
      <c r="E40" s="20">
        <v>3</v>
      </c>
      <c r="F40" s="87">
        <v>42302</v>
      </c>
      <c r="G40" s="19">
        <v>38285</v>
      </c>
      <c r="H40" s="19">
        <v>38650</v>
      </c>
      <c r="I40" s="19">
        <v>38545</v>
      </c>
      <c r="J40" s="20">
        <v>97.78</v>
      </c>
      <c r="K40" s="20" t="str">
        <v>FR0010216481=</v>
      </c>
      <c r="L40" s="20" t="str">
        <v>N</v>
      </c>
      <c r="M40" s="20" t="str">
        <v>EF0069809</v>
      </c>
      <c r="N40" s="20" t="str">
        <v>FRTR</v>
      </c>
      <c r="O40" s="21">
        <f>_xll.BondOutstanding(C40)</f>
        <v>17450000000</v>
      </c>
      <c r="P40" s="25">
        <f ca="1">_xll.xlBondYieldSensCustom(D40,E40,F40,G40,H40,I40,J40,B40,Q40,$AM$2,$AN$2,$AO$2,$AP$2,$AQ$2,"y")</f>
        <v>2.863707052538151E-3</v>
      </c>
      <c r="Q40" s="26">
        <f>_xll.RtGet("IDN",$K40,IF(OR($D40="BTP,$E11=""CTZ"),Q$5,Q$4))</f>
        <v>104.96</v>
      </c>
      <c r="R40" s="27">
        <f>_xll.RtGet("IDN",$K40,IF(OR($D40="BTP,$E11=""CTZ"),R$5,R$4))</f>
        <v>104.98</v>
      </c>
      <c r="S40" s="28">
        <f ca="1">_xll.xlBondYieldSensCustom(D40,E40,F40,G40,H40,I40,J40,B40,R40,$AM$2,$AN$2,$AO$2,$AP$2,$AQ$2,"y")</f>
        <v>2.7599825403575792E-3</v>
      </c>
      <c r="T40" s="23">
        <f t="shared" si="4"/>
        <v>104.97</v>
      </c>
      <c r="U40" s="83">
        <f ca="1">_xll.xlBondYieldSensCustom(D40,E40,F40,G40,H40,I40,J40,B40,T40,$AM$2,$AN$2,$AO$2,$AP$2,$AQ$2,"y")</f>
        <v>2.8118398374878291E-3</v>
      </c>
      <c r="V40" s="23"/>
      <c r="W40" s="23">
        <f t="shared" si="5"/>
        <v>104.97</v>
      </c>
      <c r="X40" s="22"/>
      <c r="Y40" s="22">
        <f t="shared" ca="1" si="6"/>
        <v>2.8118398374878291E-3</v>
      </c>
      <c r="Z40" s="23">
        <f ca="1">_xll.xlBondPriceCustom(D40,E40,F40,G40,H40,I40,J40,B40,Y40,$AM$2,$AN$2,$AO$2,$AP$2,$AQ$2)</f>
        <v>104.96999998071725</v>
      </c>
      <c r="AA40" s="20">
        <f t="array" aca="1" ref="AA40:AG40" ca="1">_xll.xlBondYieldSens(D40,E40,F40,G40,H40,I40,J40,B40,W40,$AA$5&amp;$AB$5&amp;$AC$5&amp;$AD$5&amp;$AE$5&amp;$AF$5&amp;$AG$5)</f>
        <v>0.48499999999999999</v>
      </c>
      <c r="AB40" s="20">
        <f ca="1"/>
        <v>1.8099758513976449</v>
      </c>
      <c r="AC40" s="20">
        <f ca="1"/>
        <v>-1.8048284815187765</v>
      </c>
      <c r="AD40" s="20">
        <f ca="1"/>
        <v>5.113563304861013E-2</v>
      </c>
      <c r="AE40" s="20">
        <f ca="1"/>
        <v>5.0845198519991391E-2</v>
      </c>
      <c r="AF40" s="20">
        <f ca="1"/>
        <v>1.9032819544833046</v>
      </c>
      <c r="AG40" s="24">
        <f ca="1"/>
        <v>2.851976030214521E-3</v>
      </c>
      <c r="AH40" s="22">
        <f ca="1">_xll.xlBondYieldSensCustom(D40,E40,F40,G40,H40,I40,J40,B40,W40,$AM$2,$AN$2,$AO$2,$AP$2,$AQ$2,"y")</f>
        <v>2.8118398374878291E-3</v>
      </c>
      <c r="AI40" s="22">
        <f ca="1">IF(TRUE,_xll.xlShmInterpRateFwd("EONIA",_xll.xlDateSettle("target",$B$2,2),0,4,$F40),"")</f>
        <v>1.7612787760526672E-3</v>
      </c>
      <c r="AJ40" s="85">
        <f t="shared" ca="1" si="7"/>
        <v>1.0505610614351618E-3</v>
      </c>
    </row>
    <row r="41" spans="1:41" ht="15.75" x14ac:dyDescent="0.25">
      <c r="A41" s="2"/>
      <c r="B41" s="19">
        <f ca="1">MAX(_xll.xlBondValueDate(D41,$B$2),I41)</f>
        <v>41631</v>
      </c>
      <c r="C41" s="20" t="str">
        <v>FR0010216481</v>
      </c>
      <c r="D41" s="86" t="str">
        <f t="array" ref="D41:N41">_xll.BondInfo(C41,$D$5:$N$5)</f>
        <v>OAT</v>
      </c>
      <c r="E41" s="20">
        <v>3</v>
      </c>
      <c r="F41" s="87">
        <v>42302</v>
      </c>
      <c r="G41" s="19">
        <v>38285</v>
      </c>
      <c r="H41" s="19">
        <v>38650</v>
      </c>
      <c r="I41" s="19">
        <v>38545</v>
      </c>
      <c r="J41" s="20">
        <v>97.78</v>
      </c>
      <c r="K41" s="20" t="str">
        <v>FR0010216481=</v>
      </c>
      <c r="L41" s="20" t="str">
        <v>N</v>
      </c>
      <c r="M41" s="20" t="str">
        <v>EF0069809</v>
      </c>
      <c r="N41" s="20" t="str">
        <v>FRTR</v>
      </c>
      <c r="O41" s="21">
        <f>_xll.BondOutstanding(C41)</f>
        <v>33236000000</v>
      </c>
      <c r="P41" s="25">
        <f ca="1">_xll.xlBondYieldSensCustom(D41,E41,F41,G41,H41,I41,J41,B41,Q41,$AM$2,$AN$2,$AO$2,$AP$2,$AQ$2,"y")</f>
        <v>2.863707052538151E-3</v>
      </c>
      <c r="Q41" s="26">
        <f>_xll.RtGet("IDN",$K41,IF(OR($D41="BTP,$E11=""CTZ"),Q$5,Q$4))</f>
        <v>104.96</v>
      </c>
      <c r="R41" s="27">
        <f>_xll.RtGet("IDN",$K41,IF(OR($D41="BTP,$E11=""CTZ"),R$5,R$4))</f>
        <v>104.98</v>
      </c>
      <c r="S41" s="28">
        <f ca="1">_xll.xlBondYieldSensCustom(D41,E41,F41,G41,H41,I41,J41,B41,R41,$AM$2,$AN$2,$AO$2,$AP$2,$AQ$2,"y")</f>
        <v>2.7599825403575792E-3</v>
      </c>
      <c r="T41" s="23">
        <f t="shared" si="4"/>
        <v>104.97</v>
      </c>
      <c r="U41" s="83">
        <f ca="1">_xll.xlBondYieldSensCustom(D41,E41,F41,G41,H41,I41,J41,B41,T41,$AM$2,$AN$2,$AO$2,$AP$2,$AQ$2,"y")</f>
        <v>2.8118398374878291E-3</v>
      </c>
      <c r="V41" s="23"/>
      <c r="W41" s="23">
        <f t="shared" si="5"/>
        <v>104.97</v>
      </c>
      <c r="X41" s="22"/>
      <c r="Y41" s="22">
        <f t="shared" ca="1" si="6"/>
        <v>2.8118398374878291E-3</v>
      </c>
      <c r="Z41" s="23">
        <f ca="1">_xll.xlBondPriceCustom(D41,E41,F41,G41,H41,I41,J41,B41,Y41,$AM$2,$AN$2,$AO$2,$AP$2,$AQ$2)</f>
        <v>104.96999998071725</v>
      </c>
      <c r="AA41" s="20">
        <f t="array" aca="1" ref="AA41:AG41" ca="1">_xll.xlBondYieldSens(D41,E41,F41,G41,H41,I41,J41,B41,W41,$AA$5&amp;$AB$5&amp;$AC$5&amp;$AD$5&amp;$AE$5&amp;$AF$5&amp;$AG$5)</f>
        <v>0.48499999999999999</v>
      </c>
      <c r="AB41" s="20">
        <f ca="1"/>
        <v>1.8099758513976449</v>
      </c>
      <c r="AC41" s="20">
        <f ca="1"/>
        <v>-1.8048284815187765</v>
      </c>
      <c r="AD41" s="20">
        <f ca="1"/>
        <v>5.113563304861013E-2</v>
      </c>
      <c r="AE41" s="20">
        <f ca="1"/>
        <v>5.0845198519991391E-2</v>
      </c>
      <c r="AF41" s="20">
        <f ca="1"/>
        <v>1.9032819544833046</v>
      </c>
      <c r="AG41" s="24">
        <f ca="1"/>
        <v>2.851976030214521E-3</v>
      </c>
      <c r="AH41" s="22">
        <f ca="1">_xll.xlBondYieldSensCustom(D41,E41,F41,G41,H41,I41,J41,B41,W41,$AM$2,$AN$2,$AO$2,$AP$2,$AQ$2,"y")</f>
        <v>2.8118398374878291E-3</v>
      </c>
      <c r="AI41" s="22">
        <f ca="1">IF(TRUE,_xll.xlShmInterpRateFwd("EONIA",_xll.xlDateSettle("target",$B$2,2),0,4,$F41),"")</f>
        <v>1.7612787760526672E-3</v>
      </c>
      <c r="AJ41" s="85">
        <f t="shared" ca="1" si="7"/>
        <v>1.0505610614351618E-3</v>
      </c>
    </row>
    <row r="42" spans="1:41" ht="15.75" x14ac:dyDescent="0.25">
      <c r="A42" s="2"/>
      <c r="B42" s="19">
        <f ca="1">MAX(_xll.xlBondValueDate(D42,$B$2),I42)</f>
        <v>41631</v>
      </c>
      <c r="C42" s="20" t="str">
        <v>FR0011452721</v>
      </c>
      <c r="D42" s="86" t="str">
        <f t="array" ref="D42:N42">_xll.BondInfo(C42,$D$5:$N$5)</f>
        <v>OAT</v>
      </c>
      <c r="E42" s="20">
        <v>0.25</v>
      </c>
      <c r="F42" s="87">
        <v>42333</v>
      </c>
      <c r="G42" s="19">
        <v>41238</v>
      </c>
      <c r="H42" s="19">
        <v>41603</v>
      </c>
      <c r="I42" s="19">
        <v>41359</v>
      </c>
      <c r="J42" s="20">
        <v>99.81</v>
      </c>
      <c r="K42" s="20" t="str">
        <v>FR0011452721=</v>
      </c>
      <c r="L42" s="20" t="str">
        <v>Y</v>
      </c>
      <c r="M42" s="20" t="str">
        <v>EJ5964212</v>
      </c>
      <c r="N42" s="20" t="str">
        <v>FRTR</v>
      </c>
      <c r="O42" s="21">
        <f>_xll.BondOutstanding(C42)</f>
        <v>20690000000</v>
      </c>
      <c r="P42" s="25">
        <f ca="1">_xll.xlBondYieldSensCustom(D42,E42,F42,G42,H42,I42,J42,B42,Q42,$AM$2,$AN$2,$AO$2,$AP$2,$AQ$2,"y")</f>
        <v>3.2598749136939754E-3</v>
      </c>
      <c r="Q42" s="26">
        <f>_xll.RtGet("IDN",$K42,IF(OR($D42="BTP,$E11=""CTZ"),Q$5,Q$4))</f>
        <v>99.846999999999994</v>
      </c>
      <c r="R42" s="27">
        <f>_xll.RtGet("IDN",$K42,IF(OR($D42="BTP,$E11=""CTZ"),R$5,R$4))</f>
        <v>99.876999999999995</v>
      </c>
      <c r="S42" s="28">
        <f ca="1">_xll.xlBondYieldSensCustom(D42,E42,F42,G42,H42,I42,J42,B42,R42,$AM$2,$AN$2,$AO$2,$AP$2,$AQ$2,"y")</f>
        <v>3.1046888392930231E-3</v>
      </c>
      <c r="T42" s="23">
        <f t="shared" si="4"/>
        <v>99.861999999999995</v>
      </c>
      <c r="U42" s="83">
        <f ca="1">_xll.xlBondYieldSensCustom(D42,E42,F42,G42,H42,I42,J42,B42,T42,$AM$2,$AN$2,$AO$2,$AP$2,$AQ$2,"y")</f>
        <v>3.1822702150725237E-3</v>
      </c>
      <c r="V42" s="23"/>
      <c r="W42" s="23">
        <f t="shared" si="5"/>
        <v>99.861999999999995</v>
      </c>
      <c r="X42" s="22"/>
      <c r="Y42" s="22">
        <f t="shared" ca="1" si="6"/>
        <v>3.1822702150725237E-3</v>
      </c>
      <c r="Z42" s="23">
        <f ca="1">_xll.xlBondPriceCustom(D42,E42,F42,G42,H42,I42,J42,B42,Y42,$AM$2,$AN$2,$AO$2,$AP$2,$AQ$2)</f>
        <v>99.861999975378112</v>
      </c>
      <c r="AA42" s="20">
        <f t="array" aca="1" ref="AA42:AG42" ca="1">_xll.xlBondYieldSens(D42,E42,F42,G42,H42,I42,J42,B42,W42,$AA$5&amp;$AB$5&amp;$AC$5&amp;$AD$5&amp;$AE$5&amp;$AF$5&amp;$AG$5)</f>
        <v>1.9E-2</v>
      </c>
      <c r="AB42" s="20">
        <f ca="1"/>
        <v>1.9207921143374131</v>
      </c>
      <c r="AC42" s="20">
        <f ca="1"/>
        <v>-1.9146233654942688</v>
      </c>
      <c r="AD42" s="20">
        <f ca="1"/>
        <v>5.612723789929449E-2</v>
      </c>
      <c r="AE42" s="20">
        <f ca="1"/>
        <v>5.5767304251678688E-2</v>
      </c>
      <c r="AF42" s="20">
        <f ca="1"/>
        <v>1.9123454371374748</v>
      </c>
      <c r="AG42" s="24">
        <f ca="1"/>
        <v>3.2216834080449276E-3</v>
      </c>
      <c r="AH42" s="22">
        <f ca="1">_xll.xlBondYieldSensCustom(D42,E42,F42,G42,H42,I42,J42,B42,W42,$AM$2,$AN$2,$AO$2,$AP$2,$AQ$2,"y")</f>
        <v>3.1822702150725237E-3</v>
      </c>
      <c r="AI42" s="22">
        <f ca="1">IF(TRUE,_xll.xlShmInterpRateFwd("EONIA",_xll.xlDateSettle("target",$B$2,2),0,4,$F42),"")</f>
        <v>1.8215485488025226E-3</v>
      </c>
      <c r="AJ42" s="85">
        <f t="shared" ca="1" si="7"/>
        <v>1.360721666270001E-3</v>
      </c>
      <c r="AO42" s="84"/>
    </row>
    <row r="43" spans="1:41" ht="15.75" x14ac:dyDescent="0.25">
      <c r="A43" s="2"/>
      <c r="B43" s="19" t="e">
        <f>MAX(_xll.xlBondValueDate(D43,$B$2),I43)</f>
        <v>#NUM!</v>
      </c>
      <c r="C43" s="20" t="e">
        <v>#N/A</v>
      </c>
      <c r="D43" s="86" t="e">
        <f t="array" ref="D43:N43">_xll.BondInfo(C43,$D$5:$N$5)</f>
        <v>#VALUE!</v>
      </c>
      <c r="E43" s="20" t="e">
        <v>#VALUE!</v>
      </c>
      <c r="F43" s="87" t="e">
        <v>#VALUE!</v>
      </c>
      <c r="G43" s="19" t="e">
        <v>#VALUE!</v>
      </c>
      <c r="H43" s="19" t="e">
        <v>#VALUE!</v>
      </c>
      <c r="I43" s="19" t="e">
        <v>#VALUE!</v>
      </c>
      <c r="J43" s="20" t="e">
        <v>#VALUE!</v>
      </c>
      <c r="K43" s="20" t="e">
        <v>#VALUE!</v>
      </c>
      <c r="L43" s="20" t="e">
        <v>#VALUE!</v>
      </c>
      <c r="M43" s="20" t="e">
        <v>#VALUE!</v>
      </c>
      <c r="N43" s="20" t="e">
        <v>#VALUE!</v>
      </c>
      <c r="O43" s="21" t="e">
        <f>_xll.BondOutstanding(C43)</f>
        <v>#VALUE!</v>
      </c>
      <c r="P43" s="25" t="e">
        <f>_xll.xlBondYieldSensCustom(D43,E43,F43,G43,H43,I43,J43,B43,Q43,$AM$2,$AN$2,$AO$2,$AP$2,$AQ$2,"y")</f>
        <v>#NUM!</v>
      </c>
      <c r="Q43" s="26" t="e">
        <f>_xll.RtGet("IDN",$K43,IF(OR($D43="BTP,$E11=""CTZ"),Q$5,Q$4))</f>
        <v>#VALUE!</v>
      </c>
      <c r="R43" s="27" t="e">
        <f>_xll.RtGet("IDN",$K43,IF(OR($D43="BTP,$E11=""CTZ"),R$5,R$4))</f>
        <v>#VALUE!</v>
      </c>
      <c r="S43" s="28" t="e">
        <f>_xll.xlBondYieldSensCustom(D43,E43,F43,G43,H43,I43,J43,B43,R43,$AM$2,$AN$2,$AO$2,$AP$2,$AQ$2,"y")</f>
        <v>#NUM!</v>
      </c>
      <c r="T43" s="23" t="e">
        <f t="shared" si="4"/>
        <v>#VALUE!</v>
      </c>
      <c r="U43" s="83" t="e">
        <f>_xll.xlBondYieldSensCustom(D43,E43,F43,G43,H43,I43,J43,B43,T43,$AM$2,$AN$2,$AO$2,$AP$2,$AQ$2,"y")</f>
        <v>#NUM!</v>
      </c>
      <c r="V43" s="23"/>
      <c r="W43" s="23" t="e">
        <f t="shared" si="5"/>
        <v>#VALUE!</v>
      </c>
      <c r="X43" s="22"/>
      <c r="Y43" s="22" t="e">
        <f t="shared" si="6"/>
        <v>#NUM!</v>
      </c>
      <c r="Z43" s="23" t="e">
        <f>_xll.xlBondPriceCustom(D43,E43,F43,G43,H43,I43,J43,B43,Y43,$AM$2,$AN$2,$AO$2,$AP$2,$AQ$2)</f>
        <v>#NUM!</v>
      </c>
      <c r="AA43" s="20" t="e">
        <f t="array" ref="AA43:AG43">_xll.xlBondYieldSens(D43,E43,F43,G43,H43,I43,J43,B43,W43,$AA$5&amp;$AB$5&amp;$AC$5&amp;$AD$5&amp;$AE$5&amp;$AF$5&amp;$AG$5)</f>
        <v>#NUM!</v>
      </c>
      <c r="AB43" s="20" t="e">
        <v>#NUM!</v>
      </c>
      <c r="AC43" s="20" t="e">
        <v>#NUM!</v>
      </c>
      <c r="AD43" s="20" t="e">
        <v>#NUM!</v>
      </c>
      <c r="AE43" s="20" t="e">
        <v>#NUM!</v>
      </c>
      <c r="AF43" s="20" t="e">
        <v>#NUM!</v>
      </c>
      <c r="AG43" s="24" t="e">
        <v>#NUM!</v>
      </c>
      <c r="AH43" s="22" t="e">
        <f>_xll.xlBondYieldSensCustom(D43,E43,F43,G43,H43,I43,J43,B43,W43,$AM$2,$AN$2,$AO$2,$AP$2,$AQ$2,"y")</f>
        <v>#NUM!</v>
      </c>
      <c r="AI43" s="22" t="e">
        <f ca="1">IF(TRUE,_xll.xlShmInterpRateFwd("EONIA",_xll.xlDateSettle("target",$B$2,2),0,4,$F43),"")</f>
        <v>#NUM!</v>
      </c>
      <c r="AJ43" s="85" t="e">
        <f t="shared" ca="1" si="7"/>
        <v>#NUM!</v>
      </c>
      <c r="AO43" s="84"/>
    </row>
    <row r="44" spans="1:41" ht="15.75" x14ac:dyDescent="0.25">
      <c r="A44" s="2"/>
      <c r="B44" s="19" t="e">
        <f>MAX(_xll.xlBondValueDate(D44,$B$2),I44)</f>
        <v>#NUM!</v>
      </c>
      <c r="C44" s="20" t="e">
        <v>#N/A</v>
      </c>
      <c r="D44" s="86" t="e">
        <f t="array" ref="D44:N44">_xll.BondInfo(C44,$D$5:$N$5)</f>
        <v>#VALUE!</v>
      </c>
      <c r="E44" s="20" t="e">
        <v>#VALUE!</v>
      </c>
      <c r="F44" s="87" t="e">
        <v>#VALUE!</v>
      </c>
      <c r="G44" s="19" t="e">
        <v>#VALUE!</v>
      </c>
      <c r="H44" s="19" t="e">
        <v>#VALUE!</v>
      </c>
      <c r="I44" s="19" t="e">
        <v>#VALUE!</v>
      </c>
      <c r="J44" s="20" t="e">
        <v>#VALUE!</v>
      </c>
      <c r="K44" s="20" t="e">
        <v>#VALUE!</v>
      </c>
      <c r="L44" s="20" t="e">
        <v>#VALUE!</v>
      </c>
      <c r="M44" s="20" t="e">
        <v>#VALUE!</v>
      </c>
      <c r="N44" s="20" t="e">
        <v>#VALUE!</v>
      </c>
      <c r="O44" s="21" t="e">
        <f>_xll.BondOutstanding(C44)</f>
        <v>#VALUE!</v>
      </c>
      <c r="P44" s="25" t="e">
        <f>_xll.xlBondYieldSensCustom(D44,E44,F44,G44,H44,I44,J44,B44,Q44,$AM$2,$AN$2,$AO$2,$AP$2,$AQ$2,"y")</f>
        <v>#NUM!</v>
      </c>
      <c r="Q44" s="26" t="e">
        <f>_xll.RtGet("IDN",$K44,IF(OR($D44="BTP,$E11=""CTZ"),Q$5,Q$4))</f>
        <v>#VALUE!</v>
      </c>
      <c r="R44" s="27" t="e">
        <f>_xll.RtGet("IDN",$K44,IF(OR($D44="BTP,$E11=""CTZ"),R$5,R$4))</f>
        <v>#VALUE!</v>
      </c>
      <c r="S44" s="28" t="e">
        <f>_xll.xlBondYieldSensCustom(D44,E44,F44,G44,H44,I44,J44,B44,R44,$AM$2,$AN$2,$AO$2,$AP$2,$AQ$2,"y")</f>
        <v>#NUM!</v>
      </c>
      <c r="T44" s="23" t="e">
        <f t="shared" si="4"/>
        <v>#VALUE!</v>
      </c>
      <c r="U44" s="83" t="e">
        <f>_xll.xlBondYieldSensCustom(D44,E44,F44,G44,H44,I44,J44,B44,T44,$AM$2,$AN$2,$AO$2,$AP$2,$AQ$2,"y")</f>
        <v>#NUM!</v>
      </c>
      <c r="V44" s="23"/>
      <c r="W44" s="23" t="e">
        <f t="shared" si="5"/>
        <v>#VALUE!</v>
      </c>
      <c r="X44" s="22"/>
      <c r="Y44" s="22" t="e">
        <f t="shared" si="6"/>
        <v>#NUM!</v>
      </c>
      <c r="Z44" s="23" t="e">
        <f>_xll.xlBondPriceCustom(D44,E44,F44,G44,H44,I44,J44,B44,Y44,$AM$2,$AN$2,$AO$2,$AP$2,$AQ$2)</f>
        <v>#NUM!</v>
      </c>
      <c r="AA44" s="20" t="e">
        <f t="array" ref="AA44:AG44">_xll.xlBondYieldSens(D44,E44,F44,G44,H44,I44,J44,B44,W44,$AA$5&amp;$AB$5&amp;$AC$5&amp;$AD$5&amp;$AE$5&amp;$AF$5&amp;$AG$5)</f>
        <v>#NUM!</v>
      </c>
      <c r="AB44" s="20" t="e">
        <v>#NUM!</v>
      </c>
      <c r="AC44" s="20" t="e">
        <v>#NUM!</v>
      </c>
      <c r="AD44" s="20" t="e">
        <v>#NUM!</v>
      </c>
      <c r="AE44" s="20" t="e">
        <v>#NUM!</v>
      </c>
      <c r="AF44" s="20" t="e">
        <v>#NUM!</v>
      </c>
      <c r="AG44" s="24" t="e">
        <v>#NUM!</v>
      </c>
      <c r="AH44" s="22" t="e">
        <f>_xll.xlBondYieldSensCustom(D44,E44,F44,G44,H44,I44,J44,B44,W44,$AM$2,$AN$2,$AO$2,$AP$2,$AQ$2,"y")</f>
        <v>#NUM!</v>
      </c>
      <c r="AI44" s="22" t="e">
        <f ca="1">IF(TRUE,_xll.xlShmInterpRateFwd("EONIA",_xll.xlDateSettle("target",$B$2,2),0,4,$F44),"")</f>
        <v>#NUM!</v>
      </c>
      <c r="AJ44" s="85" t="e">
        <f t="shared" ca="1" si="7"/>
        <v>#NUM!</v>
      </c>
    </row>
    <row r="45" spans="1:41" ht="15.75" x14ac:dyDescent="0.25">
      <c r="A45" s="2"/>
      <c r="B45" s="19" t="e">
        <f>MAX(_xll.xlBondValueDate(D45,$B$2),I45)</f>
        <v>#NUM!</v>
      </c>
      <c r="C45" s="20" t="e">
        <v>#N/A</v>
      </c>
      <c r="D45" s="86" t="e">
        <f t="array" ref="D45:N45">_xll.BondInfo(C45,$D$5:$N$5)</f>
        <v>#VALUE!</v>
      </c>
      <c r="E45" s="20" t="e">
        <v>#VALUE!</v>
      </c>
      <c r="F45" s="87" t="e">
        <v>#VALUE!</v>
      </c>
      <c r="G45" s="19" t="e">
        <v>#VALUE!</v>
      </c>
      <c r="H45" s="19" t="e">
        <v>#VALUE!</v>
      </c>
      <c r="I45" s="19" t="e">
        <v>#VALUE!</v>
      </c>
      <c r="J45" s="20" t="e">
        <v>#VALUE!</v>
      </c>
      <c r="K45" s="20" t="e">
        <v>#VALUE!</v>
      </c>
      <c r="L45" s="20" t="e">
        <v>#VALUE!</v>
      </c>
      <c r="M45" s="20" t="e">
        <v>#VALUE!</v>
      </c>
      <c r="N45" s="20" t="e">
        <v>#VALUE!</v>
      </c>
      <c r="O45" s="21" t="e">
        <f>_xll.BondOutstanding(C45)</f>
        <v>#VALUE!</v>
      </c>
      <c r="P45" s="25" t="e">
        <f>_xll.xlBondYieldSensCustom(D45,E45,F45,G45,H45,I45,J45,B45,Q45,$AM$2,$AN$2,$AO$2,$AP$2,$AQ$2,"y")</f>
        <v>#NUM!</v>
      </c>
      <c r="Q45" s="26" t="e">
        <f>_xll.RtGet("IDN",$K45,IF(OR($D45="BTP,$E11=""CTZ"),Q$5,Q$4))</f>
        <v>#VALUE!</v>
      </c>
      <c r="R45" s="27" t="e">
        <f>_xll.RtGet("IDN",$K45,IF(OR($D45="BTP,$E11=""CTZ"),R$5,R$4))</f>
        <v>#VALUE!</v>
      </c>
      <c r="S45" s="28" t="e">
        <f>_xll.xlBondYieldSensCustom(D45,E45,F45,G45,H45,I45,J45,B45,R45,$AM$2,$AN$2,$AO$2,$AP$2,$AQ$2,"y")</f>
        <v>#NUM!</v>
      </c>
      <c r="T45" s="23" t="e">
        <f t="shared" si="4"/>
        <v>#VALUE!</v>
      </c>
      <c r="U45" s="83" t="e">
        <f>_xll.xlBondYieldSensCustom(D45,E45,F45,G45,H45,I45,J45,B45,T45,$AM$2,$AN$2,$AO$2,$AP$2,$AQ$2,"y")</f>
        <v>#NUM!</v>
      </c>
      <c r="V45" s="23"/>
      <c r="W45" s="23" t="e">
        <f t="shared" si="5"/>
        <v>#VALUE!</v>
      </c>
      <c r="X45" s="22"/>
      <c r="Y45" s="22" t="e">
        <f t="shared" si="6"/>
        <v>#NUM!</v>
      </c>
      <c r="Z45" s="23" t="e">
        <f>_xll.xlBondPriceCustom(D45,E45,F45,G45,H45,I45,J45,B45,Y45,$AM$2,$AN$2,$AO$2,$AP$2,$AQ$2)</f>
        <v>#NUM!</v>
      </c>
      <c r="AA45" s="20" t="e">
        <f t="array" ref="AA45:AG45">_xll.xlBondYieldSens(D45,E45,F45,G45,H45,I45,J45,B45,W45,$AA$5&amp;$AB$5&amp;$AC$5&amp;$AD$5&amp;$AE$5&amp;$AF$5&amp;$AG$5)</f>
        <v>#NUM!</v>
      </c>
      <c r="AB45" s="20" t="e">
        <v>#NUM!</v>
      </c>
      <c r="AC45" s="20" t="e">
        <v>#NUM!</v>
      </c>
      <c r="AD45" s="20" t="e">
        <v>#NUM!</v>
      </c>
      <c r="AE45" s="20" t="e">
        <v>#NUM!</v>
      </c>
      <c r="AF45" s="20" t="e">
        <v>#NUM!</v>
      </c>
      <c r="AG45" s="24" t="e">
        <v>#NUM!</v>
      </c>
      <c r="AH45" s="22" t="e">
        <f>_xll.xlBondYieldSensCustom(D45,E45,F45,G45,H45,I45,J45,B45,W45,$AM$2,$AN$2,$AO$2,$AP$2,$AQ$2,"y")</f>
        <v>#NUM!</v>
      </c>
      <c r="AI45" s="22" t="e">
        <f ca="1">IF(TRUE,_xll.xlShmInterpRateFwd("EONIA",_xll.xlDateSettle("target",$B$2,2),0,4,$F45),"")</f>
        <v>#NUM!</v>
      </c>
      <c r="AJ45" s="85" t="e">
        <f t="shared" ca="1" si="7"/>
        <v>#NUM!</v>
      </c>
    </row>
    <row r="46" spans="1:41" ht="15.75" x14ac:dyDescent="0.25">
      <c r="A46" s="2"/>
      <c r="B46" s="19" t="e">
        <f>MAX(_xll.xlBondValueDate(D46,$B$2),I46)</f>
        <v>#NUM!</v>
      </c>
      <c r="C46" s="20" t="e">
        <v>#N/A</v>
      </c>
      <c r="D46" s="86" t="e">
        <f t="array" ref="D46:N46">_xll.BondInfo(C46,$D$5:$N$5)</f>
        <v>#VALUE!</v>
      </c>
      <c r="E46" s="20" t="e">
        <v>#VALUE!</v>
      </c>
      <c r="F46" s="87" t="e">
        <v>#VALUE!</v>
      </c>
      <c r="G46" s="19" t="e">
        <v>#VALUE!</v>
      </c>
      <c r="H46" s="19" t="e">
        <v>#VALUE!</v>
      </c>
      <c r="I46" s="19" t="e">
        <v>#VALUE!</v>
      </c>
      <c r="J46" s="20" t="e">
        <v>#VALUE!</v>
      </c>
      <c r="K46" s="20" t="e">
        <v>#VALUE!</v>
      </c>
      <c r="L46" s="20" t="e">
        <v>#VALUE!</v>
      </c>
      <c r="M46" s="20" t="e">
        <v>#VALUE!</v>
      </c>
      <c r="N46" s="20" t="e">
        <v>#VALUE!</v>
      </c>
      <c r="O46" s="21" t="e">
        <f>_xll.BondOutstanding(C46)</f>
        <v>#VALUE!</v>
      </c>
      <c r="P46" s="25" t="e">
        <f>_xll.xlBondYieldSensCustom(D46,E46,F46,G46,H46,I46,J46,B46,Q46,$AM$2,$AN$2,$AO$2,$AP$2,$AQ$2,"y")</f>
        <v>#NUM!</v>
      </c>
      <c r="Q46" s="26" t="e">
        <f>_xll.RtGet("IDN",$K46,IF(OR($D46="BTP,$E11=""CTZ"),Q$5,Q$4))</f>
        <v>#VALUE!</v>
      </c>
      <c r="R46" s="27" t="e">
        <f>_xll.RtGet("IDN",$K46,IF(OR($D46="BTP,$E11=""CTZ"),R$5,R$4))</f>
        <v>#VALUE!</v>
      </c>
      <c r="S46" s="28" t="e">
        <f>_xll.xlBondYieldSensCustom(D46,E46,F46,G46,H46,I46,J46,B46,R46,$AM$2,$AN$2,$AO$2,$AP$2,$AQ$2,"y")</f>
        <v>#NUM!</v>
      </c>
      <c r="T46" s="23" t="e">
        <f t="shared" si="4"/>
        <v>#VALUE!</v>
      </c>
      <c r="U46" s="83" t="e">
        <f>_xll.xlBondYieldSensCustom(D46,E46,F46,G46,H46,I46,J46,B46,T46,$AM$2,$AN$2,$AO$2,$AP$2,$AQ$2,"y")</f>
        <v>#NUM!</v>
      </c>
      <c r="V46" s="23"/>
      <c r="W46" s="23" t="e">
        <f t="shared" si="5"/>
        <v>#VALUE!</v>
      </c>
      <c r="X46" s="22"/>
      <c r="Y46" s="22" t="e">
        <f t="shared" si="6"/>
        <v>#NUM!</v>
      </c>
      <c r="Z46" s="23" t="e">
        <f>_xll.xlBondPriceCustom(D46,E46,F46,G46,H46,I46,J46,B46,Y46,$AM$2,$AN$2,$AO$2,$AP$2,$AQ$2)</f>
        <v>#NUM!</v>
      </c>
      <c r="AA46" s="20" t="e">
        <f t="array" ref="AA46:AG46">_xll.xlBondYieldSens(D46,E46,F46,G46,H46,I46,J46,B46,W46,$AA$5&amp;$AB$5&amp;$AC$5&amp;$AD$5&amp;$AE$5&amp;$AF$5&amp;$AG$5)</f>
        <v>#NUM!</v>
      </c>
      <c r="AB46" s="20" t="e">
        <v>#NUM!</v>
      </c>
      <c r="AC46" s="20" t="e">
        <v>#NUM!</v>
      </c>
      <c r="AD46" s="20" t="e">
        <v>#NUM!</v>
      </c>
      <c r="AE46" s="20" t="e">
        <v>#NUM!</v>
      </c>
      <c r="AF46" s="20" t="e">
        <v>#NUM!</v>
      </c>
      <c r="AG46" s="24" t="e">
        <v>#NUM!</v>
      </c>
      <c r="AH46" s="22" t="e">
        <f>_xll.xlBondYieldSensCustom(D46,E46,F46,G46,H46,I46,J46,B46,W46,$AM$2,$AN$2,$AO$2,$AP$2,$AQ$2,"y")</f>
        <v>#NUM!</v>
      </c>
      <c r="AI46" s="22" t="e">
        <f ca="1">IF(TRUE,_xll.xlShmInterpRateFwd("EONIA",_xll.xlDateSettle("target",$B$2,2),0,4,$F46),"")</f>
        <v>#NUM!</v>
      </c>
      <c r="AJ46" s="85" t="e">
        <f t="shared" ca="1" si="7"/>
        <v>#NUM!</v>
      </c>
    </row>
    <row r="47" spans="1:41" ht="15.75" x14ac:dyDescent="0.25">
      <c r="A47" s="2"/>
      <c r="B47" s="19" t="e">
        <f>MAX(_xll.xlBondValueDate(D47,$B$2),I47)</f>
        <v>#NUM!</v>
      </c>
      <c r="C47" s="20" t="e">
        <v>#N/A</v>
      </c>
      <c r="D47" s="86" t="e">
        <f t="array" ref="D47:N47">_xll.BondInfo(C47,$D$5:$N$5)</f>
        <v>#VALUE!</v>
      </c>
      <c r="E47" s="20" t="e">
        <v>#VALUE!</v>
      </c>
      <c r="F47" s="87" t="e">
        <v>#VALUE!</v>
      </c>
      <c r="G47" s="19" t="e">
        <v>#VALUE!</v>
      </c>
      <c r="H47" s="19" t="e">
        <v>#VALUE!</v>
      </c>
      <c r="I47" s="19" t="e">
        <v>#VALUE!</v>
      </c>
      <c r="J47" s="20" t="e">
        <v>#VALUE!</v>
      </c>
      <c r="K47" s="20" t="e">
        <v>#VALUE!</v>
      </c>
      <c r="L47" s="20" t="e">
        <v>#VALUE!</v>
      </c>
      <c r="M47" s="20" t="e">
        <v>#VALUE!</v>
      </c>
      <c r="N47" s="20" t="e">
        <v>#VALUE!</v>
      </c>
      <c r="O47" s="21" t="e">
        <f>_xll.BondOutstanding(C47)</f>
        <v>#VALUE!</v>
      </c>
      <c r="P47" s="25" t="e">
        <f>_xll.xlBondYieldSensCustom(D47,E47,F47,G47,H47,I47,J47,B47,Q47,$AM$2,$AN$2,$AO$2,$AP$2,$AQ$2,"y")</f>
        <v>#NUM!</v>
      </c>
      <c r="Q47" s="26" t="e">
        <f>_xll.RtGet("IDN",$K47,IF(OR($D47="BTP,$E11=""CTZ"),Q$5,Q$4))</f>
        <v>#VALUE!</v>
      </c>
      <c r="R47" s="27" t="e">
        <f>_xll.RtGet("IDN",$K47,IF(OR($D47="BTP,$E11=""CTZ"),R$5,R$4))</f>
        <v>#VALUE!</v>
      </c>
      <c r="S47" s="28" t="e">
        <f>_xll.xlBondYieldSensCustom(D47,E47,F47,G47,H47,I47,J47,B47,R47,$AM$2,$AN$2,$AO$2,$AP$2,$AQ$2,"y")</f>
        <v>#NUM!</v>
      </c>
      <c r="T47" s="23" t="e">
        <f t="shared" si="4"/>
        <v>#VALUE!</v>
      </c>
      <c r="U47" s="83" t="e">
        <f>_xll.xlBondYieldSensCustom(D47,E47,F47,G47,H47,I47,J47,B47,T47,$AM$2,$AN$2,$AO$2,$AP$2,$AQ$2,"y")</f>
        <v>#NUM!</v>
      </c>
      <c r="V47" s="23"/>
      <c r="W47" s="23" t="e">
        <f t="shared" si="5"/>
        <v>#VALUE!</v>
      </c>
      <c r="X47" s="22"/>
      <c r="Y47" s="22" t="e">
        <f t="shared" si="6"/>
        <v>#NUM!</v>
      </c>
      <c r="Z47" s="23" t="e">
        <f>_xll.xlBondPriceCustom(D47,E47,F47,G47,H47,I47,J47,B47,Y47,$AM$2,$AN$2,$AO$2,$AP$2,$AQ$2)</f>
        <v>#NUM!</v>
      </c>
      <c r="AA47" s="20" t="e">
        <f t="array" ref="AA47:AG47">_xll.xlBondYieldSens(D47,E47,F47,G47,H47,I47,J47,B47,W47,$AA$5&amp;$AB$5&amp;$AC$5&amp;$AD$5&amp;$AE$5&amp;$AF$5&amp;$AG$5)</f>
        <v>#NUM!</v>
      </c>
      <c r="AB47" s="20" t="e">
        <v>#NUM!</v>
      </c>
      <c r="AC47" s="20" t="e">
        <v>#NUM!</v>
      </c>
      <c r="AD47" s="20" t="e">
        <v>#NUM!</v>
      </c>
      <c r="AE47" s="20" t="e">
        <v>#NUM!</v>
      </c>
      <c r="AF47" s="20" t="e">
        <v>#NUM!</v>
      </c>
      <c r="AG47" s="24" t="e">
        <v>#NUM!</v>
      </c>
      <c r="AH47" s="22" t="e">
        <f>_xll.xlBondYieldSensCustom(D47,E47,F47,G47,H47,I47,J47,B47,W47,$AM$2,$AN$2,$AO$2,$AP$2,$AQ$2,"y")</f>
        <v>#NUM!</v>
      </c>
      <c r="AI47" s="22" t="e">
        <f ca="1">IF(TRUE,_xll.xlShmInterpRateFwd("EONIA",_xll.xlDateSettle("target",$B$2,2),0,4,$F47),"")</f>
        <v>#NUM!</v>
      </c>
      <c r="AJ47" s="85" t="e">
        <f t="shared" ca="1" si="7"/>
        <v>#NUM!</v>
      </c>
    </row>
    <row r="48" spans="1:41" ht="15.75" x14ac:dyDescent="0.25">
      <c r="A48" s="2"/>
      <c r="B48" s="19" t="e">
        <f>MAX(_xll.xlBondValueDate(D48,$B$2),I48)</f>
        <v>#NUM!</v>
      </c>
      <c r="C48" s="20" t="e">
        <v>#N/A</v>
      </c>
      <c r="D48" s="86" t="e">
        <f t="array" ref="D48:N48">_xll.BondInfo(C48,$D$5:$N$5)</f>
        <v>#VALUE!</v>
      </c>
      <c r="E48" s="20" t="e">
        <v>#VALUE!</v>
      </c>
      <c r="F48" s="87" t="e">
        <v>#VALUE!</v>
      </c>
      <c r="G48" s="19" t="e">
        <v>#VALUE!</v>
      </c>
      <c r="H48" s="19" t="e">
        <v>#VALUE!</v>
      </c>
      <c r="I48" s="19" t="e">
        <v>#VALUE!</v>
      </c>
      <c r="J48" s="20" t="e">
        <v>#VALUE!</v>
      </c>
      <c r="K48" s="20" t="e">
        <v>#VALUE!</v>
      </c>
      <c r="L48" s="20" t="e">
        <v>#VALUE!</v>
      </c>
      <c r="M48" s="20" t="e">
        <v>#VALUE!</v>
      </c>
      <c r="N48" s="20" t="e">
        <v>#VALUE!</v>
      </c>
      <c r="O48" s="21" t="e">
        <f>_xll.BondOutstanding(C48)</f>
        <v>#VALUE!</v>
      </c>
      <c r="P48" s="25" t="e">
        <f>_xll.xlBondYieldSensCustom(D48,E48,F48,G48,H48,I48,J48,B48,Q48,$AM$2,$AN$2,$AO$2,$AP$2,$AQ$2,"y")</f>
        <v>#NUM!</v>
      </c>
      <c r="Q48" s="26" t="e">
        <f>_xll.RtGet("IDN",$K48,IF(OR($D48="BTP,$E11=""CTZ"),Q$5,Q$4))</f>
        <v>#VALUE!</v>
      </c>
      <c r="R48" s="27" t="e">
        <f>_xll.RtGet("IDN",$K48,IF(OR($D48="BTP,$E11=""CTZ"),R$5,R$4))</f>
        <v>#VALUE!</v>
      </c>
      <c r="S48" s="28" t="e">
        <f>_xll.xlBondYieldSensCustom(D48,E48,F48,G48,H48,I48,J48,B48,R48,$AM$2,$AN$2,$AO$2,$AP$2,$AQ$2,"y")</f>
        <v>#NUM!</v>
      </c>
      <c r="T48" s="23" t="e">
        <f t="shared" si="4"/>
        <v>#VALUE!</v>
      </c>
      <c r="U48" s="83" t="e">
        <f>_xll.xlBondYieldSensCustom(D48,E48,F48,G48,H48,I48,J48,B48,T48,$AM$2,$AN$2,$AO$2,$AP$2,$AQ$2,"y")</f>
        <v>#NUM!</v>
      </c>
      <c r="V48" s="23"/>
      <c r="W48" s="23" t="e">
        <f t="shared" si="5"/>
        <v>#VALUE!</v>
      </c>
      <c r="X48" s="22"/>
      <c r="Y48" s="22" t="e">
        <f t="shared" si="6"/>
        <v>#NUM!</v>
      </c>
      <c r="Z48" s="23" t="e">
        <f>_xll.xlBondPriceCustom(D48,E48,F48,G48,H48,I48,J48,B48,Y48,$AM$2,$AN$2,$AO$2,$AP$2,$AQ$2)</f>
        <v>#NUM!</v>
      </c>
      <c r="AA48" s="20" t="e">
        <f t="array" ref="AA48:AG48">_xll.xlBondYieldSens(D48,E48,F48,G48,H48,I48,J48,B48,W48,$AA$5&amp;$AB$5&amp;$AC$5&amp;$AD$5&amp;$AE$5&amp;$AF$5&amp;$AG$5)</f>
        <v>#NUM!</v>
      </c>
      <c r="AB48" s="20" t="e">
        <v>#NUM!</v>
      </c>
      <c r="AC48" s="20" t="e">
        <v>#NUM!</v>
      </c>
      <c r="AD48" s="20" t="e">
        <v>#NUM!</v>
      </c>
      <c r="AE48" s="20" t="e">
        <v>#NUM!</v>
      </c>
      <c r="AF48" s="20" t="e">
        <v>#NUM!</v>
      </c>
      <c r="AG48" s="24" t="e">
        <v>#NUM!</v>
      </c>
      <c r="AH48" s="22" t="e">
        <f>_xll.xlBondYieldSensCustom(D48,E48,F48,G48,H48,I48,J48,B48,W48,$AM$2,$AN$2,$AO$2,$AP$2,$AQ$2,"y")</f>
        <v>#NUM!</v>
      </c>
      <c r="AI48" s="22" t="e">
        <f ca="1">IF(TRUE,_xll.xlShmInterpRateFwd("EONIA",_xll.xlDateSettle("target",$B$2,2),0,4,$F48),"")</f>
        <v>#NUM!</v>
      </c>
      <c r="AJ48" s="85" t="e">
        <f t="shared" ca="1" si="7"/>
        <v>#NUM!</v>
      </c>
    </row>
    <row r="49" spans="1:36" ht="15.75" x14ac:dyDescent="0.25">
      <c r="A49" s="2"/>
      <c r="B49" s="19" t="e">
        <f>MAX(_xll.xlBondValueDate(D49,$B$2),I49)</f>
        <v>#NUM!</v>
      </c>
      <c r="C49" s="20" t="e">
        <v>#N/A</v>
      </c>
      <c r="D49" s="86" t="e">
        <f t="array" ref="D49:N49">_xll.BondInfo(C49,$D$5:$N$5)</f>
        <v>#VALUE!</v>
      </c>
      <c r="E49" s="20" t="e">
        <v>#VALUE!</v>
      </c>
      <c r="F49" s="87" t="e">
        <v>#VALUE!</v>
      </c>
      <c r="G49" s="19" t="e">
        <v>#VALUE!</v>
      </c>
      <c r="H49" s="19" t="e">
        <v>#VALUE!</v>
      </c>
      <c r="I49" s="19" t="e">
        <v>#VALUE!</v>
      </c>
      <c r="J49" s="20" t="e">
        <v>#VALUE!</v>
      </c>
      <c r="K49" s="20" t="e">
        <v>#VALUE!</v>
      </c>
      <c r="L49" s="20" t="e">
        <v>#VALUE!</v>
      </c>
      <c r="M49" s="20" t="e">
        <v>#VALUE!</v>
      </c>
      <c r="N49" s="20" t="e">
        <v>#VALUE!</v>
      </c>
      <c r="O49" s="21" t="e">
        <f>_xll.BondOutstanding(C49)</f>
        <v>#VALUE!</v>
      </c>
      <c r="P49" s="25" t="e">
        <f>_xll.xlBondYieldSensCustom(D49,E49,F49,G49,H49,I49,J49,B49,Q49,$AM$2,$AN$2,$AO$2,$AP$2,$AQ$2,"y")</f>
        <v>#NUM!</v>
      </c>
      <c r="Q49" s="26" t="e">
        <f>_xll.RtGet("IDN",$K49,IF(OR($D49="BTP,$E11=""CTZ"),Q$5,Q$4))</f>
        <v>#VALUE!</v>
      </c>
      <c r="R49" s="27" t="e">
        <f>_xll.RtGet("IDN",$K49,IF(OR($D49="BTP,$E11=""CTZ"),R$5,R$4))</f>
        <v>#VALUE!</v>
      </c>
      <c r="S49" s="28" t="e">
        <f>_xll.xlBondYieldSensCustom(D49,E49,F49,G49,H49,I49,J49,B49,R49,$AM$2,$AN$2,$AO$2,$AP$2,$AQ$2,"y")</f>
        <v>#NUM!</v>
      </c>
      <c r="T49" s="23" t="e">
        <f t="shared" si="4"/>
        <v>#VALUE!</v>
      </c>
      <c r="U49" s="83" t="e">
        <f>_xll.xlBondYieldSensCustom(D49,E49,F49,G49,H49,I49,J49,B49,T49,$AM$2,$AN$2,$AO$2,$AP$2,$AQ$2,"y")</f>
        <v>#NUM!</v>
      </c>
      <c r="V49" s="23"/>
      <c r="W49" s="23" t="e">
        <f t="shared" si="5"/>
        <v>#VALUE!</v>
      </c>
      <c r="X49" s="22"/>
      <c r="Y49" s="22" t="e">
        <f t="shared" si="6"/>
        <v>#NUM!</v>
      </c>
      <c r="Z49" s="23" t="e">
        <f>_xll.xlBondPriceCustom(D49,E49,F49,G49,H49,I49,J49,B49,Y49,$AM$2,$AN$2,$AO$2,$AP$2,$AQ$2)</f>
        <v>#NUM!</v>
      </c>
      <c r="AA49" s="20" t="e">
        <f t="array" ref="AA49:AG49">_xll.xlBondYieldSens(D49,E49,F49,G49,H49,I49,J49,B49,W49,$AA$5&amp;$AB$5&amp;$AC$5&amp;$AD$5&amp;$AE$5&amp;$AF$5&amp;$AG$5)</f>
        <v>#NUM!</v>
      </c>
      <c r="AB49" s="20" t="e">
        <v>#NUM!</v>
      </c>
      <c r="AC49" s="20" t="e">
        <v>#NUM!</v>
      </c>
      <c r="AD49" s="20" t="e">
        <v>#NUM!</v>
      </c>
      <c r="AE49" s="20" t="e">
        <v>#NUM!</v>
      </c>
      <c r="AF49" s="20" t="e">
        <v>#NUM!</v>
      </c>
      <c r="AG49" s="24" t="e">
        <v>#NUM!</v>
      </c>
      <c r="AH49" s="22" t="e">
        <f>_xll.xlBondYieldSensCustom(D49,E49,F49,G49,H49,I49,J49,B49,W49,$AM$2,$AN$2,$AO$2,$AP$2,$AQ$2,"y")</f>
        <v>#NUM!</v>
      </c>
      <c r="AI49" s="22" t="e">
        <f ca="1">IF(TRUE,_xll.xlShmInterpRateFwd("EONIA",_xll.xlDateSettle("target",$B$2,2),0,4,$F49),"")</f>
        <v>#NUM!</v>
      </c>
      <c r="AJ49" s="85" t="e">
        <f t="shared" ca="1" si="7"/>
        <v>#NUM!</v>
      </c>
    </row>
    <row r="50" spans="1:36" ht="15.75" x14ac:dyDescent="0.25">
      <c r="A50" s="2"/>
      <c r="B50" s="19" t="e">
        <f>MAX(_xll.xlBondValueDate(D50,$B$2),I50)</f>
        <v>#NUM!</v>
      </c>
      <c r="C50" s="20" t="e">
        <v>#N/A</v>
      </c>
      <c r="D50" s="86" t="e">
        <f t="array" ref="D50:N50">_xll.BondInfo(C50,$D$5:$N$5)</f>
        <v>#VALUE!</v>
      </c>
      <c r="E50" s="20" t="e">
        <v>#VALUE!</v>
      </c>
      <c r="F50" s="87" t="e">
        <v>#VALUE!</v>
      </c>
      <c r="G50" s="19" t="e">
        <v>#VALUE!</v>
      </c>
      <c r="H50" s="19" t="e">
        <v>#VALUE!</v>
      </c>
      <c r="I50" s="19" t="e">
        <v>#VALUE!</v>
      </c>
      <c r="J50" s="20" t="e">
        <v>#VALUE!</v>
      </c>
      <c r="K50" s="20" t="e">
        <v>#VALUE!</v>
      </c>
      <c r="L50" s="20" t="e">
        <v>#VALUE!</v>
      </c>
      <c r="M50" s="20" t="e">
        <v>#VALUE!</v>
      </c>
      <c r="N50" s="20" t="e">
        <v>#VALUE!</v>
      </c>
      <c r="O50" s="21" t="e">
        <f>_xll.BondOutstanding(C50)</f>
        <v>#VALUE!</v>
      </c>
      <c r="P50" s="25" t="e">
        <f>_xll.xlBondYieldSensCustom(D50,E50,F50,G50,H50,I50,J50,B50,Q50,$AM$2,$AN$2,$AO$2,$AP$2,$AQ$2,"y")</f>
        <v>#NUM!</v>
      </c>
      <c r="Q50" s="26" t="e">
        <f>_xll.RtGet("IDN",$K50,IF(OR($D50="BTP,$E11=""CTZ"),Q$5,Q$4))</f>
        <v>#VALUE!</v>
      </c>
      <c r="R50" s="27" t="e">
        <f>_xll.RtGet("IDN",$K50,IF(OR($D50="BTP,$E11=""CTZ"),R$5,R$4))</f>
        <v>#VALUE!</v>
      </c>
      <c r="S50" s="28" t="e">
        <f>_xll.xlBondYieldSensCustom(D50,E50,F50,G50,H50,I50,J50,B50,R50,$AM$2,$AN$2,$AO$2,$AP$2,$AQ$2,"y")</f>
        <v>#NUM!</v>
      </c>
      <c r="T50" s="23" t="e">
        <f t="shared" si="4"/>
        <v>#VALUE!</v>
      </c>
      <c r="U50" s="83" t="e">
        <f>_xll.xlBondYieldSensCustom(D50,E50,F50,G50,H50,I50,J50,B50,T50,$AM$2,$AN$2,$AO$2,$AP$2,$AQ$2,"y")</f>
        <v>#NUM!</v>
      </c>
      <c r="V50" s="23"/>
      <c r="W50" s="23" t="e">
        <f t="shared" si="5"/>
        <v>#VALUE!</v>
      </c>
      <c r="X50" s="22"/>
      <c r="Y50" s="22" t="e">
        <f t="shared" si="6"/>
        <v>#NUM!</v>
      </c>
      <c r="Z50" s="23" t="e">
        <f>_xll.xlBondPriceCustom(D50,E50,F50,G50,H50,I50,J50,B50,Y50,$AM$2,$AN$2,$AO$2,$AP$2,$AQ$2)</f>
        <v>#NUM!</v>
      </c>
      <c r="AA50" s="20" t="e">
        <f t="array" ref="AA50:AG50">_xll.xlBondYieldSens(D50,E50,F50,G50,H50,I50,J50,B50,W50,$AA$5&amp;$AB$5&amp;$AC$5&amp;$AD$5&amp;$AE$5&amp;$AF$5&amp;$AG$5)</f>
        <v>#NUM!</v>
      </c>
      <c r="AB50" s="20" t="e">
        <v>#NUM!</v>
      </c>
      <c r="AC50" s="20" t="e">
        <v>#NUM!</v>
      </c>
      <c r="AD50" s="20" t="e">
        <v>#NUM!</v>
      </c>
      <c r="AE50" s="20" t="e">
        <v>#NUM!</v>
      </c>
      <c r="AF50" s="20" t="e">
        <v>#NUM!</v>
      </c>
      <c r="AG50" s="24" t="e">
        <v>#NUM!</v>
      </c>
      <c r="AH50" s="22" t="e">
        <f>_xll.xlBondYieldSensCustom(D50,E50,F50,G50,H50,I50,J50,B50,W50,$AM$2,$AN$2,$AO$2,$AP$2,$AQ$2,"y")</f>
        <v>#NUM!</v>
      </c>
      <c r="AI50" s="22" t="e">
        <f ca="1">IF(TRUE,_xll.xlShmInterpRateFwd("EONIA",_xll.xlDateSettle("target",$B$2,2),0,4,$F50),"")</f>
        <v>#NUM!</v>
      </c>
      <c r="AJ50" s="85" t="e">
        <f t="shared" ca="1" si="7"/>
        <v>#NUM!</v>
      </c>
    </row>
    <row r="51" spans="1:36" ht="15.75" x14ac:dyDescent="0.25">
      <c r="A51" s="2"/>
      <c r="B51" s="19" t="e">
        <f>MAX(_xll.xlBondValueDate(D51,$B$2),I51)</f>
        <v>#NUM!</v>
      </c>
      <c r="C51" s="20" t="e">
        <v>#N/A</v>
      </c>
      <c r="D51" s="86" t="e">
        <f t="array" ref="D51:N51">_xll.BondInfo(C51,$D$5:$N$5)</f>
        <v>#VALUE!</v>
      </c>
      <c r="E51" s="20" t="e">
        <v>#VALUE!</v>
      </c>
      <c r="F51" s="87" t="e">
        <v>#VALUE!</v>
      </c>
      <c r="G51" s="19" t="e">
        <v>#VALUE!</v>
      </c>
      <c r="H51" s="19" t="e">
        <v>#VALUE!</v>
      </c>
      <c r="I51" s="19" t="e">
        <v>#VALUE!</v>
      </c>
      <c r="J51" s="20" t="e">
        <v>#VALUE!</v>
      </c>
      <c r="K51" s="20" t="e">
        <v>#VALUE!</v>
      </c>
      <c r="L51" s="20" t="e">
        <v>#VALUE!</v>
      </c>
      <c r="M51" s="20" t="e">
        <v>#VALUE!</v>
      </c>
      <c r="N51" s="20" t="e">
        <v>#VALUE!</v>
      </c>
      <c r="O51" s="21" t="e">
        <f>_xll.BondOutstanding(C51)</f>
        <v>#VALUE!</v>
      </c>
      <c r="P51" s="25" t="e">
        <f>_xll.xlBondYieldSensCustom(D51,E51,F51,G51,H51,I51,J51,B51,Q51,$AM$2,$AN$2,$AO$2,$AP$2,$AQ$2,"y")</f>
        <v>#NUM!</v>
      </c>
      <c r="Q51" s="26" t="e">
        <f>_xll.RtGet("IDN",$K51,IF(OR($D51="BTP,$E11=""CTZ"),Q$5,Q$4))</f>
        <v>#VALUE!</v>
      </c>
      <c r="R51" s="27" t="e">
        <f>_xll.RtGet("IDN",$K51,IF(OR($D51="BTP,$E11=""CTZ"),R$5,R$4))</f>
        <v>#VALUE!</v>
      </c>
      <c r="S51" s="28" t="e">
        <f>_xll.xlBondYieldSensCustom(D51,E51,F51,G51,H51,I51,J51,B51,R51,$AM$2,$AN$2,$AO$2,$AP$2,$AQ$2,"y")</f>
        <v>#NUM!</v>
      </c>
      <c r="T51" s="23" t="e">
        <f t="shared" si="4"/>
        <v>#VALUE!</v>
      </c>
      <c r="U51" s="83" t="e">
        <f>_xll.xlBondYieldSensCustom(D51,E51,F51,G51,H51,I51,J51,B51,T51,$AM$2,$AN$2,$AO$2,$AP$2,$AQ$2,"y")</f>
        <v>#NUM!</v>
      </c>
      <c r="V51" s="23"/>
      <c r="W51" s="23" t="e">
        <f t="shared" si="5"/>
        <v>#VALUE!</v>
      </c>
      <c r="X51" s="22"/>
      <c r="Y51" s="22" t="e">
        <f t="shared" si="6"/>
        <v>#NUM!</v>
      </c>
      <c r="Z51" s="23" t="e">
        <f>_xll.xlBondPriceCustom(D51,E51,F51,G51,H51,I51,J51,B51,Y51,$AM$2,$AN$2,$AO$2,$AP$2,$AQ$2)</f>
        <v>#NUM!</v>
      </c>
      <c r="AA51" s="20" t="e">
        <f t="array" ref="AA51:AG51">_xll.xlBondYieldSens(D51,E51,F51,G51,H51,I51,J51,B51,W51,$AA$5&amp;$AB$5&amp;$AC$5&amp;$AD$5&amp;$AE$5&amp;$AF$5&amp;$AG$5)</f>
        <v>#NUM!</v>
      </c>
      <c r="AB51" s="20" t="e">
        <v>#NUM!</v>
      </c>
      <c r="AC51" s="20" t="e">
        <v>#NUM!</v>
      </c>
      <c r="AD51" s="20" t="e">
        <v>#NUM!</v>
      </c>
      <c r="AE51" s="20" t="e">
        <v>#NUM!</v>
      </c>
      <c r="AF51" s="20" t="e">
        <v>#NUM!</v>
      </c>
      <c r="AG51" s="24" t="e">
        <v>#NUM!</v>
      </c>
      <c r="AH51" s="22" t="e">
        <f>_xll.xlBondYieldSensCustom(D51,E51,F51,G51,H51,I51,J51,B51,W51,$AM$2,$AN$2,$AO$2,$AP$2,$AQ$2,"y")</f>
        <v>#NUM!</v>
      </c>
      <c r="AI51" s="22" t="e">
        <f ca="1">IF(TRUE,_xll.xlShmInterpRateFwd("EONIA",_xll.xlDateSettle("target",$B$2,2),0,4,$F51),"")</f>
        <v>#NUM!</v>
      </c>
      <c r="AJ51" s="85" t="e">
        <f t="shared" ca="1" si="7"/>
        <v>#NUM!</v>
      </c>
    </row>
    <row r="52" spans="1:36" ht="15.75" x14ac:dyDescent="0.25">
      <c r="A52" s="2"/>
      <c r="B52" s="19" t="e">
        <f>MAX(_xll.xlBondValueDate(D52,$B$2),I52)</f>
        <v>#NUM!</v>
      </c>
      <c r="C52" s="20" t="e">
        <v>#N/A</v>
      </c>
      <c r="D52" s="86" t="e">
        <f t="array" ref="D52:N52">_xll.BondInfo(C52,$D$5:$N$5)</f>
        <v>#VALUE!</v>
      </c>
      <c r="E52" s="20" t="e">
        <v>#VALUE!</v>
      </c>
      <c r="F52" s="87" t="e">
        <v>#VALUE!</v>
      </c>
      <c r="G52" s="19" t="e">
        <v>#VALUE!</v>
      </c>
      <c r="H52" s="19" t="e">
        <v>#VALUE!</v>
      </c>
      <c r="I52" s="19" t="e">
        <v>#VALUE!</v>
      </c>
      <c r="J52" s="20" t="e">
        <v>#VALUE!</v>
      </c>
      <c r="K52" s="20" t="e">
        <v>#VALUE!</v>
      </c>
      <c r="L52" s="20" t="e">
        <v>#VALUE!</v>
      </c>
      <c r="M52" s="20" t="e">
        <v>#VALUE!</v>
      </c>
      <c r="N52" s="20" t="e">
        <v>#VALUE!</v>
      </c>
      <c r="O52" s="21" t="e">
        <f>_xll.BondOutstanding(C52)</f>
        <v>#VALUE!</v>
      </c>
      <c r="P52" s="25" t="e">
        <f>_xll.xlBondYieldSensCustom(D52,E52,F52,G52,H52,I52,J52,B52,Q52,$AM$2,$AN$2,$AO$2,$AP$2,$AQ$2,"y")</f>
        <v>#NUM!</v>
      </c>
      <c r="Q52" s="26" t="e">
        <f>_xll.RtGet("IDN",$K52,IF(OR($D52="BTP,$E11=""CTZ"),Q$5,Q$4))</f>
        <v>#VALUE!</v>
      </c>
      <c r="R52" s="27" t="e">
        <f>_xll.RtGet("IDN",$K52,IF(OR($D52="BTP,$E11=""CTZ"),R$5,R$4))</f>
        <v>#VALUE!</v>
      </c>
      <c r="S52" s="28" t="e">
        <f>_xll.xlBondYieldSensCustom(D52,E52,F52,G52,H52,I52,J52,B52,R52,$AM$2,$AN$2,$AO$2,$AP$2,$AQ$2,"y")</f>
        <v>#NUM!</v>
      </c>
      <c r="T52" s="23" t="e">
        <f t="shared" si="4"/>
        <v>#VALUE!</v>
      </c>
      <c r="U52" s="83" t="e">
        <f>_xll.xlBondYieldSensCustom(D52,E52,F52,G52,H52,I52,J52,B52,T52,$AM$2,$AN$2,$AO$2,$AP$2,$AQ$2,"y")</f>
        <v>#NUM!</v>
      </c>
      <c r="V52" s="23"/>
      <c r="W52" s="23" t="e">
        <f t="shared" si="5"/>
        <v>#VALUE!</v>
      </c>
      <c r="X52" s="22"/>
      <c r="Y52" s="22" t="e">
        <f t="shared" si="6"/>
        <v>#NUM!</v>
      </c>
      <c r="Z52" s="23" t="e">
        <f>_xll.xlBondPriceCustom(D52,E52,F52,G52,H52,I52,J52,B52,Y52,$AM$2,$AN$2,$AO$2,$AP$2,$AQ$2)</f>
        <v>#NUM!</v>
      </c>
      <c r="AA52" s="20" t="e">
        <f t="array" ref="AA52:AG52">_xll.xlBondYieldSens(D52,E52,F52,G52,H52,I52,J52,B52,W52,$AA$5&amp;$AB$5&amp;$AC$5&amp;$AD$5&amp;$AE$5&amp;$AF$5&amp;$AG$5)</f>
        <v>#NUM!</v>
      </c>
      <c r="AB52" s="20" t="e">
        <v>#NUM!</v>
      </c>
      <c r="AC52" s="20" t="e">
        <v>#NUM!</v>
      </c>
      <c r="AD52" s="20" t="e">
        <v>#NUM!</v>
      </c>
      <c r="AE52" s="20" t="e">
        <v>#NUM!</v>
      </c>
      <c r="AF52" s="20" t="e">
        <v>#NUM!</v>
      </c>
      <c r="AG52" s="24" t="e">
        <v>#NUM!</v>
      </c>
      <c r="AH52" s="22" t="e">
        <f>_xll.xlBondYieldSensCustom(D52,E52,F52,G52,H52,I52,J52,B52,W52,$AM$2,$AN$2,$AO$2,$AP$2,$AQ$2,"y")</f>
        <v>#NUM!</v>
      </c>
      <c r="AI52" s="22" t="e">
        <f ca="1">IF(TRUE,_xll.xlShmInterpRateFwd("EONIA",_xll.xlDateSettle("target",$B$2,2),0,4,$F52),"")</f>
        <v>#NUM!</v>
      </c>
      <c r="AJ52" s="85" t="e">
        <f t="shared" ca="1" si="7"/>
        <v>#NUM!</v>
      </c>
    </row>
    <row r="53" spans="1:36" ht="15.75" x14ac:dyDescent="0.25">
      <c r="A53" s="2"/>
      <c r="B53" s="19" t="e">
        <f>MAX(_xll.xlBondValueDate(D53,$B$2),I53)</f>
        <v>#NUM!</v>
      </c>
      <c r="C53" s="20" t="e">
        <v>#N/A</v>
      </c>
      <c r="D53" s="86" t="e">
        <f t="array" ref="D53:N53">_xll.BondInfo(C53,$D$5:$N$5)</f>
        <v>#VALUE!</v>
      </c>
      <c r="E53" s="20" t="e">
        <v>#VALUE!</v>
      </c>
      <c r="F53" s="87" t="e">
        <v>#VALUE!</v>
      </c>
      <c r="G53" s="19" t="e">
        <v>#VALUE!</v>
      </c>
      <c r="H53" s="19" t="e">
        <v>#VALUE!</v>
      </c>
      <c r="I53" s="19" t="e">
        <v>#VALUE!</v>
      </c>
      <c r="J53" s="20" t="e">
        <v>#VALUE!</v>
      </c>
      <c r="K53" s="20" t="e">
        <v>#VALUE!</v>
      </c>
      <c r="L53" s="20" t="e">
        <v>#VALUE!</v>
      </c>
      <c r="M53" s="20" t="e">
        <v>#VALUE!</v>
      </c>
      <c r="N53" s="20" t="e">
        <v>#VALUE!</v>
      </c>
      <c r="O53" s="21" t="e">
        <f>_xll.BondOutstanding(C53)</f>
        <v>#VALUE!</v>
      </c>
      <c r="P53" s="25" t="e">
        <f>_xll.xlBondYieldSensCustom(D53,E53,F53,G53,H53,I53,J53,B53,Q53,$AM$2,$AN$2,$AO$2,$AP$2,$AQ$2,"y")</f>
        <v>#NUM!</v>
      </c>
      <c r="Q53" s="26" t="e">
        <f>_xll.RtGet("IDN",$K53,IF(OR($D53="BTP,$E11=""CTZ"),Q$5,Q$4))</f>
        <v>#VALUE!</v>
      </c>
      <c r="R53" s="27" t="e">
        <f>_xll.RtGet("IDN",$K53,IF(OR($D53="BTP,$E11=""CTZ"),R$5,R$4))</f>
        <v>#VALUE!</v>
      </c>
      <c r="S53" s="28" t="e">
        <f>_xll.xlBondYieldSensCustom(D53,E53,F53,G53,H53,I53,J53,B53,R53,$AM$2,$AN$2,$AO$2,$AP$2,$AQ$2,"y")</f>
        <v>#NUM!</v>
      </c>
      <c r="T53" s="23" t="e">
        <f t="shared" si="4"/>
        <v>#VALUE!</v>
      </c>
      <c r="U53" s="83" t="e">
        <f>_xll.xlBondYieldSensCustom(D53,E53,F53,G53,H53,I53,J53,B53,T53,$AM$2,$AN$2,$AO$2,$AP$2,$AQ$2,"y")</f>
        <v>#NUM!</v>
      </c>
      <c r="V53" s="23"/>
      <c r="W53" s="23" t="e">
        <f t="shared" si="5"/>
        <v>#VALUE!</v>
      </c>
      <c r="X53" s="22"/>
      <c r="Y53" s="22" t="e">
        <f t="shared" si="6"/>
        <v>#NUM!</v>
      </c>
      <c r="Z53" s="23" t="e">
        <f>_xll.xlBondPriceCustom(D53,E53,F53,G53,H53,I53,J53,B53,Y53,$AM$2,$AN$2,$AO$2,$AP$2,$AQ$2)</f>
        <v>#NUM!</v>
      </c>
      <c r="AA53" s="20" t="e">
        <f t="array" ref="AA53:AG53">_xll.xlBondYieldSens(D53,E53,F53,G53,H53,I53,J53,B53,W53,$AA$5&amp;$AB$5&amp;$AC$5&amp;$AD$5&amp;$AE$5&amp;$AF$5&amp;$AG$5)</f>
        <v>#NUM!</v>
      </c>
      <c r="AB53" s="20" t="e">
        <v>#NUM!</v>
      </c>
      <c r="AC53" s="20" t="e">
        <v>#NUM!</v>
      </c>
      <c r="AD53" s="20" t="e">
        <v>#NUM!</v>
      </c>
      <c r="AE53" s="20" t="e">
        <v>#NUM!</v>
      </c>
      <c r="AF53" s="20" t="e">
        <v>#NUM!</v>
      </c>
      <c r="AG53" s="24" t="e">
        <v>#NUM!</v>
      </c>
      <c r="AH53" s="22" t="e">
        <f>_xll.xlBondYieldSensCustom(D53,E53,F53,G53,H53,I53,J53,B53,W53,$AM$2,$AN$2,$AO$2,$AP$2,$AQ$2,"y")</f>
        <v>#NUM!</v>
      </c>
      <c r="AI53" s="22" t="e">
        <f ca="1">IF(TRUE,_xll.xlShmInterpRateFwd("EONIA",_xll.xlDateSettle("target",$B$2,2),0,4,$F53),"")</f>
        <v>#NUM!</v>
      </c>
      <c r="AJ53" s="85" t="e">
        <f t="shared" ca="1" si="7"/>
        <v>#NUM!</v>
      </c>
    </row>
    <row r="54" spans="1:36" ht="15.75" x14ac:dyDescent="0.25">
      <c r="A54" s="2"/>
      <c r="B54" s="19" t="e">
        <f>MAX(_xll.xlBondValueDate(D54,$B$2),I54)</f>
        <v>#NUM!</v>
      </c>
      <c r="C54" s="20" t="e">
        <v>#N/A</v>
      </c>
      <c r="D54" s="86" t="e">
        <f t="array" ref="D54:N54">_xll.BondInfo(C54,$D$5:$N$5)</f>
        <v>#VALUE!</v>
      </c>
      <c r="E54" s="20" t="e">
        <v>#VALUE!</v>
      </c>
      <c r="F54" s="87" t="e">
        <v>#VALUE!</v>
      </c>
      <c r="G54" s="19" t="e">
        <v>#VALUE!</v>
      </c>
      <c r="H54" s="19" t="e">
        <v>#VALUE!</v>
      </c>
      <c r="I54" s="19" t="e">
        <v>#VALUE!</v>
      </c>
      <c r="J54" s="20" t="e">
        <v>#VALUE!</v>
      </c>
      <c r="K54" s="20" t="e">
        <v>#VALUE!</v>
      </c>
      <c r="L54" s="20" t="e">
        <v>#VALUE!</v>
      </c>
      <c r="M54" s="20" t="e">
        <v>#VALUE!</v>
      </c>
      <c r="N54" s="20" t="e">
        <v>#VALUE!</v>
      </c>
      <c r="O54" s="21" t="e">
        <f>_xll.BondOutstanding(C54)</f>
        <v>#VALUE!</v>
      </c>
      <c r="P54" s="25" t="e">
        <f>_xll.xlBondYieldSensCustom(D54,E54,F54,G54,H54,I54,J54,B54,Q54,$AM$2,$AN$2,$AO$2,$AP$2,$AQ$2,"y")</f>
        <v>#NUM!</v>
      </c>
      <c r="Q54" s="26" t="e">
        <f>_xll.RtGet("IDN",$K54,IF(OR($D54="BTP,$E11=""CTZ"),Q$5,Q$4))</f>
        <v>#VALUE!</v>
      </c>
      <c r="R54" s="27" t="e">
        <f>_xll.RtGet("IDN",$K54,IF(OR($D54="BTP,$E11=""CTZ"),R$5,R$4))</f>
        <v>#VALUE!</v>
      </c>
      <c r="S54" s="28" t="e">
        <f>_xll.xlBondYieldSensCustom(D54,E54,F54,G54,H54,I54,J54,B54,R54,$AM$2,$AN$2,$AO$2,$AP$2,$AQ$2,"y")</f>
        <v>#NUM!</v>
      </c>
      <c r="T54" s="23" t="e">
        <f t="shared" si="4"/>
        <v>#VALUE!</v>
      </c>
      <c r="U54" s="83" t="e">
        <f>_xll.xlBondYieldSensCustom(D54,E54,F54,G54,H54,I54,J54,B54,T54,$AM$2,$AN$2,$AO$2,$AP$2,$AQ$2,"y")</f>
        <v>#NUM!</v>
      </c>
      <c r="V54" s="23"/>
      <c r="W54" s="23" t="e">
        <f t="shared" si="5"/>
        <v>#VALUE!</v>
      </c>
      <c r="X54" s="22"/>
      <c r="Y54" s="22" t="e">
        <f t="shared" si="6"/>
        <v>#NUM!</v>
      </c>
      <c r="Z54" s="23" t="e">
        <f>_xll.xlBondPriceCustom(D54,E54,F54,G54,H54,I54,J54,B54,Y54,$AM$2,$AN$2,$AO$2,$AP$2,$AQ$2)</f>
        <v>#NUM!</v>
      </c>
      <c r="AA54" s="20" t="e">
        <f t="array" ref="AA54:AG54">_xll.xlBondYieldSens(D54,E54,F54,G54,H54,I54,J54,B54,W54,$AA$5&amp;$AB$5&amp;$AC$5&amp;$AD$5&amp;$AE$5&amp;$AF$5&amp;$AG$5)</f>
        <v>#NUM!</v>
      </c>
      <c r="AB54" s="20" t="e">
        <v>#NUM!</v>
      </c>
      <c r="AC54" s="20" t="e">
        <v>#NUM!</v>
      </c>
      <c r="AD54" s="20" t="e">
        <v>#NUM!</v>
      </c>
      <c r="AE54" s="20" t="e">
        <v>#NUM!</v>
      </c>
      <c r="AF54" s="20" t="e">
        <v>#NUM!</v>
      </c>
      <c r="AG54" s="24" t="e">
        <v>#NUM!</v>
      </c>
      <c r="AH54" s="22" t="e">
        <f>_xll.xlBondYieldSensCustom(D54,E54,F54,G54,H54,I54,J54,B54,W54,$AM$2,$AN$2,$AO$2,$AP$2,$AQ$2,"y")</f>
        <v>#NUM!</v>
      </c>
      <c r="AI54" s="22" t="e">
        <f ca="1">IF(TRUE,_xll.xlShmInterpRateFwd("EONIA",_xll.xlDateSettle("target",$B$2,2),0,4,$F54),"")</f>
        <v>#NUM!</v>
      </c>
      <c r="AJ54" s="85" t="e">
        <f t="shared" ca="1" si="7"/>
        <v>#NUM!</v>
      </c>
    </row>
    <row r="55" spans="1:36" ht="15.75" x14ac:dyDescent="0.25">
      <c r="A55" s="2"/>
      <c r="B55" s="19" t="e">
        <f>MAX(_xll.xlBondValueDate(D55,$B$2),I55)</f>
        <v>#NUM!</v>
      </c>
      <c r="C55" s="20" t="e">
        <v>#N/A</v>
      </c>
      <c r="D55" s="86" t="e">
        <f t="array" ref="D55:N55">_xll.BondInfo(C55,$D$5:$N$5)</f>
        <v>#VALUE!</v>
      </c>
      <c r="E55" s="20" t="e">
        <v>#VALUE!</v>
      </c>
      <c r="F55" s="87" t="e">
        <v>#VALUE!</v>
      </c>
      <c r="G55" s="19" t="e">
        <v>#VALUE!</v>
      </c>
      <c r="H55" s="19" t="e">
        <v>#VALUE!</v>
      </c>
      <c r="I55" s="19" t="e">
        <v>#VALUE!</v>
      </c>
      <c r="J55" s="20" t="e">
        <v>#VALUE!</v>
      </c>
      <c r="K55" s="20" t="e">
        <v>#VALUE!</v>
      </c>
      <c r="L55" s="20" t="e">
        <v>#VALUE!</v>
      </c>
      <c r="M55" s="20" t="e">
        <v>#VALUE!</v>
      </c>
      <c r="N55" s="20" t="e">
        <v>#VALUE!</v>
      </c>
      <c r="O55" s="21" t="e">
        <f>_xll.BondOutstanding(C55)</f>
        <v>#VALUE!</v>
      </c>
      <c r="P55" s="25" t="e">
        <f>_xll.xlBondYieldSensCustom(D55,E55,F55,G55,H55,I55,J55,B55,Q55,$AM$2,$AN$2,$AO$2,$AP$2,$AQ$2,"y")</f>
        <v>#NUM!</v>
      </c>
      <c r="Q55" s="26" t="e">
        <f>_xll.RtGet("IDN",$K55,IF(OR($D55="BTP,$E11=""CTZ"),Q$5,Q$4))</f>
        <v>#VALUE!</v>
      </c>
      <c r="R55" s="27" t="e">
        <f>_xll.RtGet("IDN",$K55,IF(OR($D55="BTP,$E11=""CTZ"),R$5,R$4))</f>
        <v>#VALUE!</v>
      </c>
      <c r="S55" s="28" t="e">
        <f>_xll.xlBondYieldSensCustom(D55,E55,F55,G55,H55,I55,J55,B55,R55,$AM$2,$AN$2,$AO$2,$AP$2,$AQ$2,"y")</f>
        <v>#NUM!</v>
      </c>
      <c r="T55" s="23" t="e">
        <f t="shared" si="4"/>
        <v>#VALUE!</v>
      </c>
      <c r="U55" s="83" t="e">
        <f>_xll.xlBondYieldSensCustom(D55,E55,F55,G55,H55,I55,J55,B55,T55,$AM$2,$AN$2,$AO$2,$AP$2,$AQ$2,"y")</f>
        <v>#NUM!</v>
      </c>
      <c r="V55" s="23"/>
      <c r="W55" s="23" t="e">
        <f t="shared" si="5"/>
        <v>#VALUE!</v>
      </c>
      <c r="X55" s="22"/>
      <c r="Y55" s="22" t="e">
        <f t="shared" si="6"/>
        <v>#NUM!</v>
      </c>
      <c r="Z55" s="23" t="e">
        <f>_xll.xlBondPriceCustom(D55,E55,F55,G55,H55,I55,J55,B55,Y55,$AM$2,$AN$2,$AO$2,$AP$2,$AQ$2)</f>
        <v>#NUM!</v>
      </c>
      <c r="AA55" s="20" t="e">
        <f t="array" ref="AA55:AG55">_xll.xlBondYieldSens(D55,E55,F55,G55,H55,I55,J55,B55,W55,$AA$5&amp;$AB$5&amp;$AC$5&amp;$AD$5&amp;$AE$5&amp;$AF$5&amp;$AG$5)</f>
        <v>#NUM!</v>
      </c>
      <c r="AB55" s="20" t="e">
        <v>#NUM!</v>
      </c>
      <c r="AC55" s="20" t="e">
        <v>#NUM!</v>
      </c>
      <c r="AD55" s="20" t="e">
        <v>#NUM!</v>
      </c>
      <c r="AE55" s="20" t="e">
        <v>#NUM!</v>
      </c>
      <c r="AF55" s="20" t="e">
        <v>#NUM!</v>
      </c>
      <c r="AG55" s="24" t="e">
        <v>#NUM!</v>
      </c>
      <c r="AH55" s="22" t="e">
        <f>_xll.xlBondYieldSensCustom(D55,E55,F55,G55,H55,I55,J55,B55,W55,$AM$2,$AN$2,$AO$2,$AP$2,$AQ$2,"y")</f>
        <v>#NUM!</v>
      </c>
      <c r="AI55" s="22" t="e">
        <f ca="1">IF(TRUE,_xll.xlShmInterpRateFwd("EONIA",_xll.xlDateSettle("target",$B$2,2),0,4,$F55),"")</f>
        <v>#NUM!</v>
      </c>
      <c r="AJ55" s="85" t="e">
        <f t="shared" ca="1" si="7"/>
        <v>#NUM!</v>
      </c>
    </row>
    <row r="56" spans="1:36" ht="15.75" x14ac:dyDescent="0.25">
      <c r="A56" s="2"/>
      <c r="B56" s="19" t="e">
        <f>MAX(_xll.xlBondValueDate(D56,$B$2),I56)</f>
        <v>#NUM!</v>
      </c>
      <c r="C56" s="20" t="e">
        <v>#N/A</v>
      </c>
      <c r="D56" s="86" t="e">
        <f t="array" ref="D56:N56">_xll.BondInfo(C56,$D$5:$N$5)</f>
        <v>#VALUE!</v>
      </c>
      <c r="E56" s="20" t="e">
        <v>#VALUE!</v>
      </c>
      <c r="F56" s="87" t="e">
        <v>#VALUE!</v>
      </c>
      <c r="G56" s="19" t="e">
        <v>#VALUE!</v>
      </c>
      <c r="H56" s="19" t="e">
        <v>#VALUE!</v>
      </c>
      <c r="I56" s="19" t="e">
        <v>#VALUE!</v>
      </c>
      <c r="J56" s="20" t="e">
        <v>#VALUE!</v>
      </c>
      <c r="K56" s="20" t="e">
        <v>#VALUE!</v>
      </c>
      <c r="L56" s="20" t="e">
        <v>#VALUE!</v>
      </c>
      <c r="M56" s="20" t="e">
        <v>#VALUE!</v>
      </c>
      <c r="N56" s="20" t="e">
        <v>#VALUE!</v>
      </c>
      <c r="O56" s="21" t="e">
        <f>_xll.BondOutstanding(C56)</f>
        <v>#VALUE!</v>
      </c>
      <c r="P56" s="25" t="e">
        <f>_xll.xlBondYieldSensCustom(D56,E56,F56,G56,H56,I56,J56,B56,Q56,$AM$2,$AN$2,$AO$2,$AP$2,$AQ$2,"y")</f>
        <v>#NUM!</v>
      </c>
      <c r="Q56" s="26" t="e">
        <f>_xll.RtGet("IDN",$K56,IF(OR($D56="BTP,$E11=""CTZ"),Q$5,Q$4))</f>
        <v>#VALUE!</v>
      </c>
      <c r="R56" s="27" t="e">
        <f>_xll.RtGet("IDN",$K56,IF(OR($D56="BTP,$E11=""CTZ"),R$5,R$4))</f>
        <v>#VALUE!</v>
      </c>
      <c r="S56" s="28" t="e">
        <f>_xll.xlBondYieldSensCustom(D56,E56,F56,G56,H56,I56,J56,B56,R56,$AM$2,$AN$2,$AO$2,$AP$2,$AQ$2,"y")</f>
        <v>#NUM!</v>
      </c>
      <c r="T56" s="23" t="e">
        <f t="shared" si="4"/>
        <v>#VALUE!</v>
      </c>
      <c r="U56" s="83" t="e">
        <f>_xll.xlBondYieldSensCustom(D56,E56,F56,G56,H56,I56,J56,B56,T56,$AM$2,$AN$2,$AO$2,$AP$2,$AQ$2,"y")</f>
        <v>#NUM!</v>
      </c>
      <c r="V56" s="23"/>
      <c r="W56" s="23" t="e">
        <f t="shared" si="5"/>
        <v>#VALUE!</v>
      </c>
      <c r="X56" s="22"/>
      <c r="Y56" s="22" t="e">
        <f t="shared" si="6"/>
        <v>#NUM!</v>
      </c>
      <c r="Z56" s="23" t="e">
        <f>_xll.xlBondPriceCustom(D56,E56,F56,G56,H56,I56,J56,B56,Y56,$AM$2,$AN$2,$AO$2,$AP$2,$AQ$2)</f>
        <v>#NUM!</v>
      </c>
      <c r="AA56" s="20" t="e">
        <f t="array" ref="AA56:AG56">_xll.xlBondYieldSens(D56,E56,F56,G56,H56,I56,J56,B56,W56,$AA$5&amp;$AB$5&amp;$AC$5&amp;$AD$5&amp;$AE$5&amp;$AF$5&amp;$AG$5)</f>
        <v>#NUM!</v>
      </c>
      <c r="AB56" s="20" t="e">
        <v>#NUM!</v>
      </c>
      <c r="AC56" s="20" t="e">
        <v>#NUM!</v>
      </c>
      <c r="AD56" s="20" t="e">
        <v>#NUM!</v>
      </c>
      <c r="AE56" s="20" t="e">
        <v>#NUM!</v>
      </c>
      <c r="AF56" s="20" t="e">
        <v>#NUM!</v>
      </c>
      <c r="AG56" s="24" t="e">
        <v>#NUM!</v>
      </c>
      <c r="AH56" s="22" t="e">
        <f>_xll.xlBondYieldSensCustom(D56,E56,F56,G56,H56,I56,J56,B56,W56,$AM$2,$AN$2,$AO$2,$AP$2,$AQ$2,"y")</f>
        <v>#NUM!</v>
      </c>
      <c r="AI56" s="22" t="e">
        <f ca="1">IF(TRUE,_xll.xlShmInterpRateFwd("EONIA",_xll.xlDateSettle("target",$B$2,2),0,4,$F56),"")</f>
        <v>#NUM!</v>
      </c>
      <c r="AJ56" s="85" t="e">
        <f t="shared" ca="1" si="7"/>
        <v>#NUM!</v>
      </c>
    </row>
    <row r="57" spans="1:36" ht="15.75" x14ac:dyDescent="0.25">
      <c r="A57" s="2"/>
      <c r="B57" s="19" t="e">
        <f>MAX(_xll.xlBondValueDate(D57,$B$2),I57)</f>
        <v>#NUM!</v>
      </c>
      <c r="C57" s="20" t="e">
        <v>#N/A</v>
      </c>
      <c r="D57" s="86" t="e">
        <f t="array" ref="D57:N57">_xll.BondInfo(C57,$D$5:$N$5)</f>
        <v>#VALUE!</v>
      </c>
      <c r="E57" s="20" t="e">
        <v>#VALUE!</v>
      </c>
      <c r="F57" s="87" t="e">
        <v>#VALUE!</v>
      </c>
      <c r="G57" s="19" t="e">
        <v>#VALUE!</v>
      </c>
      <c r="H57" s="19" t="e">
        <v>#VALUE!</v>
      </c>
      <c r="I57" s="19" t="e">
        <v>#VALUE!</v>
      </c>
      <c r="J57" s="20" t="e">
        <v>#VALUE!</v>
      </c>
      <c r="K57" s="20" t="e">
        <v>#VALUE!</v>
      </c>
      <c r="L57" s="20" t="e">
        <v>#VALUE!</v>
      </c>
      <c r="M57" s="20" t="e">
        <v>#VALUE!</v>
      </c>
      <c r="N57" s="20" t="e">
        <v>#VALUE!</v>
      </c>
      <c r="O57" s="21" t="e">
        <f>_xll.BondOutstanding(C57)</f>
        <v>#VALUE!</v>
      </c>
      <c r="P57" s="25" t="e">
        <f>_xll.xlBondYieldSensCustom(D57,E57,F57,G57,H57,I57,J57,B57,Q57,$AM$2,$AN$2,$AO$2,$AP$2,$AQ$2,"y")</f>
        <v>#NUM!</v>
      </c>
      <c r="Q57" s="26" t="e">
        <f>_xll.RtGet("IDN",$K57,IF(OR($D57="BTP,$E11=""CTZ"),Q$5,Q$4))</f>
        <v>#VALUE!</v>
      </c>
      <c r="R57" s="27" t="e">
        <f>_xll.RtGet("IDN",$K57,IF(OR($D57="BTP,$E11=""CTZ"),R$5,R$4))</f>
        <v>#VALUE!</v>
      </c>
      <c r="S57" s="28" t="e">
        <f>_xll.xlBondYieldSensCustom(D57,E57,F57,G57,H57,I57,J57,B57,R57,$AM$2,$AN$2,$AO$2,$AP$2,$AQ$2,"y")</f>
        <v>#NUM!</v>
      </c>
      <c r="T57" s="23" t="e">
        <f t="shared" si="4"/>
        <v>#VALUE!</v>
      </c>
      <c r="U57" s="83" t="e">
        <f>_xll.xlBondYieldSensCustom(D57,E57,F57,G57,H57,I57,J57,B57,T57,$AM$2,$AN$2,$AO$2,$AP$2,$AQ$2,"y")</f>
        <v>#NUM!</v>
      </c>
      <c r="V57" s="23"/>
      <c r="W57" s="23" t="e">
        <f t="shared" si="5"/>
        <v>#VALUE!</v>
      </c>
      <c r="X57" s="22"/>
      <c r="Y57" s="22" t="e">
        <f t="shared" si="6"/>
        <v>#NUM!</v>
      </c>
      <c r="Z57" s="23" t="e">
        <f>_xll.xlBondPriceCustom(D57,E57,F57,G57,H57,I57,J57,B57,Y57,$AM$2,$AN$2,$AO$2,$AP$2,$AQ$2)</f>
        <v>#NUM!</v>
      </c>
      <c r="AA57" s="20" t="e">
        <f t="array" ref="AA57:AG57">_xll.xlBondYieldSens(D57,E57,F57,G57,H57,I57,J57,B57,W57,$AA$5&amp;$AB$5&amp;$AC$5&amp;$AD$5&amp;$AE$5&amp;$AF$5&amp;$AG$5)</f>
        <v>#NUM!</v>
      </c>
      <c r="AB57" s="20" t="e">
        <v>#NUM!</v>
      </c>
      <c r="AC57" s="20" t="e">
        <v>#NUM!</v>
      </c>
      <c r="AD57" s="20" t="e">
        <v>#NUM!</v>
      </c>
      <c r="AE57" s="20" t="e">
        <v>#NUM!</v>
      </c>
      <c r="AF57" s="20" t="e">
        <v>#NUM!</v>
      </c>
      <c r="AG57" s="24" t="e">
        <v>#NUM!</v>
      </c>
      <c r="AH57" s="22" t="e">
        <f>_xll.xlBondYieldSensCustom(D57,E57,F57,G57,H57,I57,J57,B57,W57,$AM$2,$AN$2,$AO$2,$AP$2,$AQ$2,"y")</f>
        <v>#NUM!</v>
      </c>
      <c r="AI57" s="22" t="e">
        <f ca="1">IF(TRUE,_xll.xlShmInterpRateFwd("EONIA",_xll.xlDateSettle("target",$B$2,2),0,4,$F57),"")</f>
        <v>#NUM!</v>
      </c>
      <c r="AJ57" s="85" t="e">
        <f t="shared" ca="1" si="7"/>
        <v>#NUM!</v>
      </c>
    </row>
    <row r="58" spans="1:36" ht="15.75" x14ac:dyDescent="0.25">
      <c r="A58" s="2"/>
      <c r="B58" s="19" t="e">
        <f>MAX(_xll.xlBondValueDate(D58,$B$2),I58)</f>
        <v>#NUM!</v>
      </c>
      <c r="C58" s="20" t="e">
        <v>#N/A</v>
      </c>
      <c r="D58" s="86" t="e">
        <f t="array" ref="D58:N58">_xll.BondInfo(C58,$D$5:$N$5)</f>
        <v>#VALUE!</v>
      </c>
      <c r="E58" s="20" t="e">
        <v>#VALUE!</v>
      </c>
      <c r="F58" s="87" t="e">
        <v>#VALUE!</v>
      </c>
      <c r="G58" s="19" t="e">
        <v>#VALUE!</v>
      </c>
      <c r="H58" s="19" t="e">
        <v>#VALUE!</v>
      </c>
      <c r="I58" s="19" t="e">
        <v>#VALUE!</v>
      </c>
      <c r="J58" s="20" t="e">
        <v>#VALUE!</v>
      </c>
      <c r="K58" s="20" t="e">
        <v>#VALUE!</v>
      </c>
      <c r="L58" s="20" t="e">
        <v>#VALUE!</v>
      </c>
      <c r="M58" s="20" t="e">
        <v>#VALUE!</v>
      </c>
      <c r="N58" s="20" t="e">
        <v>#VALUE!</v>
      </c>
      <c r="O58" s="21" t="e">
        <f>_xll.BondOutstanding(C58)</f>
        <v>#VALUE!</v>
      </c>
      <c r="P58" s="25" t="e">
        <f>_xll.xlBondYieldSensCustom(D58,E58,F58,G58,H58,I58,J58,B58,Q58,$AM$2,$AN$2,$AO$2,$AP$2,$AQ$2,"y")</f>
        <v>#NUM!</v>
      </c>
      <c r="Q58" s="26" t="e">
        <f>_xll.RtGet("IDN",$K58,IF(OR($D58="BTP,$E11=""CTZ"),Q$5,Q$4))</f>
        <v>#VALUE!</v>
      </c>
      <c r="R58" s="27" t="e">
        <f>_xll.RtGet("IDN",$K58,IF(OR($D58="BTP,$E11=""CTZ"),R$5,R$4))</f>
        <v>#VALUE!</v>
      </c>
      <c r="S58" s="28" t="e">
        <f>_xll.xlBondYieldSensCustom(D58,E58,F58,G58,H58,I58,J58,B58,R58,$AM$2,$AN$2,$AO$2,$AP$2,$AQ$2,"y")</f>
        <v>#NUM!</v>
      </c>
      <c r="T58" s="23" t="e">
        <f t="shared" si="4"/>
        <v>#VALUE!</v>
      </c>
      <c r="U58" s="83" t="e">
        <f>_xll.xlBondYieldSensCustom(D58,E58,F58,G58,H58,I58,J58,B58,T58,$AM$2,$AN$2,$AO$2,$AP$2,$AQ$2,"y")</f>
        <v>#NUM!</v>
      </c>
      <c r="V58" s="23"/>
      <c r="W58" s="23" t="e">
        <f t="shared" si="5"/>
        <v>#VALUE!</v>
      </c>
      <c r="X58" s="22"/>
      <c r="Y58" s="22" t="e">
        <f t="shared" si="6"/>
        <v>#NUM!</v>
      </c>
      <c r="Z58" s="23" t="e">
        <f>_xll.xlBondPriceCustom(D58,E58,F58,G58,H58,I58,J58,B58,Y58,$AM$2,$AN$2,$AO$2,$AP$2,$AQ$2)</f>
        <v>#NUM!</v>
      </c>
      <c r="AA58" s="20" t="e">
        <f t="array" ref="AA58:AG58">_xll.xlBondYieldSens(D58,E58,F58,G58,H58,I58,J58,B58,W58,$AA$5&amp;$AB$5&amp;$AC$5&amp;$AD$5&amp;$AE$5&amp;$AF$5&amp;$AG$5)</f>
        <v>#NUM!</v>
      </c>
      <c r="AB58" s="20" t="e">
        <v>#NUM!</v>
      </c>
      <c r="AC58" s="20" t="e">
        <v>#NUM!</v>
      </c>
      <c r="AD58" s="20" t="e">
        <v>#NUM!</v>
      </c>
      <c r="AE58" s="20" t="e">
        <v>#NUM!</v>
      </c>
      <c r="AF58" s="20" t="e">
        <v>#NUM!</v>
      </c>
      <c r="AG58" s="24" t="e">
        <v>#NUM!</v>
      </c>
      <c r="AH58" s="22" t="e">
        <f>_xll.xlBondYieldSensCustom(D58,E58,F58,G58,H58,I58,J58,B58,W58,$AM$2,$AN$2,$AO$2,$AP$2,$AQ$2,"y")</f>
        <v>#NUM!</v>
      </c>
      <c r="AI58" s="22" t="e">
        <f ca="1">IF(TRUE,_xll.xlShmInterpRateFwd("EONIA",_xll.xlDateSettle("target",$B$2,2),0,4,$F58),"")</f>
        <v>#NUM!</v>
      </c>
      <c r="AJ58" s="85" t="e">
        <f t="shared" ca="1" si="7"/>
        <v>#NUM!</v>
      </c>
    </row>
    <row r="59" spans="1:36" ht="15.75" x14ac:dyDescent="0.25">
      <c r="A59" s="2"/>
      <c r="B59" s="19" t="e">
        <f>MAX(_xll.xlBondValueDate(D59,$B$2),I59)</f>
        <v>#NUM!</v>
      </c>
      <c r="C59" s="20" t="e">
        <v>#N/A</v>
      </c>
      <c r="D59" s="86" t="e">
        <f t="array" ref="D59:N59">_xll.BondInfo(C59,$D$5:$N$5)</f>
        <v>#VALUE!</v>
      </c>
      <c r="E59" s="20" t="e">
        <v>#VALUE!</v>
      </c>
      <c r="F59" s="87" t="e">
        <v>#VALUE!</v>
      </c>
      <c r="G59" s="19" t="e">
        <v>#VALUE!</v>
      </c>
      <c r="H59" s="19" t="e">
        <v>#VALUE!</v>
      </c>
      <c r="I59" s="19" t="e">
        <v>#VALUE!</v>
      </c>
      <c r="J59" s="20" t="e">
        <v>#VALUE!</v>
      </c>
      <c r="K59" s="20" t="e">
        <v>#VALUE!</v>
      </c>
      <c r="L59" s="20" t="e">
        <v>#VALUE!</v>
      </c>
      <c r="M59" s="20" t="e">
        <v>#VALUE!</v>
      </c>
      <c r="N59" s="20" t="e">
        <v>#VALUE!</v>
      </c>
      <c r="O59" s="21" t="e">
        <f>_xll.BondOutstanding(C59)</f>
        <v>#VALUE!</v>
      </c>
      <c r="P59" s="25" t="e">
        <f>_xll.xlBondYieldSensCustom(D59,E59,F59,G59,H59,I59,J59,B59,Q59,$AM$2,$AN$2,$AO$2,$AP$2,$AQ$2,"y")</f>
        <v>#NUM!</v>
      </c>
      <c r="Q59" s="26" t="e">
        <f>_xll.RtGet("IDN",$K59,IF(OR($D59="BTP,$E11=""CTZ"),Q$5,Q$4))</f>
        <v>#VALUE!</v>
      </c>
      <c r="R59" s="27" t="e">
        <f>_xll.RtGet("IDN",$K59,IF(OR($D59="BTP,$E11=""CTZ"),R$5,R$4))</f>
        <v>#VALUE!</v>
      </c>
      <c r="S59" s="28" t="e">
        <f>_xll.xlBondYieldSensCustom(D59,E59,F59,G59,H59,I59,J59,B59,R59,$AM$2,$AN$2,$AO$2,$AP$2,$AQ$2,"y")</f>
        <v>#NUM!</v>
      </c>
      <c r="T59" s="23" t="e">
        <f t="shared" si="4"/>
        <v>#VALUE!</v>
      </c>
      <c r="U59" s="83" t="e">
        <f>_xll.xlBondYieldSensCustom(D59,E59,F59,G59,H59,I59,J59,B59,T59,$AM$2,$AN$2,$AO$2,$AP$2,$AQ$2,"y")</f>
        <v>#NUM!</v>
      </c>
      <c r="V59" s="23"/>
      <c r="W59" s="23" t="e">
        <f t="shared" si="5"/>
        <v>#VALUE!</v>
      </c>
      <c r="X59" s="22"/>
      <c r="Y59" s="22" t="e">
        <f t="shared" si="6"/>
        <v>#NUM!</v>
      </c>
      <c r="Z59" s="23" t="e">
        <f>_xll.xlBondPriceCustom(D59,E59,F59,G59,H59,I59,J59,B59,Y59,$AM$2,$AN$2,$AO$2,$AP$2,$AQ$2)</f>
        <v>#NUM!</v>
      </c>
      <c r="AA59" s="20" t="e">
        <f t="array" ref="AA59:AG59">_xll.xlBondYieldSens(D59,E59,F59,G59,H59,I59,J59,B59,W59,$AA$5&amp;$AB$5&amp;$AC$5&amp;$AD$5&amp;$AE$5&amp;$AF$5&amp;$AG$5)</f>
        <v>#NUM!</v>
      </c>
      <c r="AB59" s="20" t="e">
        <v>#NUM!</v>
      </c>
      <c r="AC59" s="20" t="e">
        <v>#NUM!</v>
      </c>
      <c r="AD59" s="20" t="e">
        <v>#NUM!</v>
      </c>
      <c r="AE59" s="20" t="e">
        <v>#NUM!</v>
      </c>
      <c r="AF59" s="20" t="e">
        <v>#NUM!</v>
      </c>
      <c r="AG59" s="24" t="e">
        <v>#NUM!</v>
      </c>
      <c r="AH59" s="22" t="e">
        <f>_xll.xlBondYieldSensCustom(D59,E59,F59,G59,H59,I59,J59,B59,W59,$AM$2,$AN$2,$AO$2,$AP$2,$AQ$2,"y")</f>
        <v>#NUM!</v>
      </c>
      <c r="AI59" s="22" t="e">
        <f ca="1">IF(TRUE,_xll.xlShmInterpRateFwd("EONIA",_xll.xlDateSettle("target",$B$2,2),0,4,$F59),"")</f>
        <v>#NUM!</v>
      </c>
      <c r="AJ59" s="85" t="e">
        <f t="shared" ca="1" si="7"/>
        <v>#NUM!</v>
      </c>
    </row>
    <row r="60" spans="1:36" ht="15.75" x14ac:dyDescent="0.25">
      <c r="A60" s="2"/>
      <c r="B60" s="19" t="e">
        <f>MAX(_xll.xlBondValueDate(D60,$B$2),I60)</f>
        <v>#NUM!</v>
      </c>
      <c r="C60" s="20" t="e">
        <v>#N/A</v>
      </c>
      <c r="D60" s="86" t="e">
        <f t="array" ref="D60:N60">_xll.BondInfo(C60,$D$5:$N$5)</f>
        <v>#VALUE!</v>
      </c>
      <c r="E60" s="20" t="e">
        <v>#VALUE!</v>
      </c>
      <c r="F60" s="87" t="e">
        <v>#VALUE!</v>
      </c>
      <c r="G60" s="19" t="e">
        <v>#VALUE!</v>
      </c>
      <c r="H60" s="19" t="e">
        <v>#VALUE!</v>
      </c>
      <c r="I60" s="19" t="e">
        <v>#VALUE!</v>
      </c>
      <c r="J60" s="20" t="e">
        <v>#VALUE!</v>
      </c>
      <c r="K60" s="20" t="e">
        <v>#VALUE!</v>
      </c>
      <c r="L60" s="20" t="e">
        <v>#VALUE!</v>
      </c>
      <c r="M60" s="20" t="e">
        <v>#VALUE!</v>
      </c>
      <c r="N60" s="20" t="e">
        <v>#VALUE!</v>
      </c>
      <c r="O60" s="21" t="e">
        <f>_xll.BondOutstanding(C60)</f>
        <v>#VALUE!</v>
      </c>
      <c r="P60" s="25" t="e">
        <f>_xll.xlBondYieldSensCustom(D60,E60,F60,G60,H60,I60,J60,B60,Q60,$AM$2,$AN$2,$AO$2,$AP$2,$AQ$2,"y")</f>
        <v>#NUM!</v>
      </c>
      <c r="Q60" s="26" t="e">
        <f>_xll.RtGet("IDN",$K60,IF(OR($D60="BTP,$E11=""CTZ"),Q$5,Q$4))</f>
        <v>#VALUE!</v>
      </c>
      <c r="R60" s="27" t="e">
        <f>_xll.RtGet("IDN",$K60,IF(OR($D60="BTP,$E11=""CTZ"),R$5,R$4))</f>
        <v>#VALUE!</v>
      </c>
      <c r="S60" s="28" t="e">
        <f>_xll.xlBondYieldSensCustom(D60,E60,F60,G60,H60,I60,J60,B60,R60,$AM$2,$AN$2,$AO$2,$AP$2,$AQ$2,"y")</f>
        <v>#NUM!</v>
      </c>
      <c r="T60" s="23" t="e">
        <f t="shared" si="4"/>
        <v>#VALUE!</v>
      </c>
      <c r="U60" s="83" t="e">
        <f>_xll.xlBondYieldSensCustom(D60,E60,F60,G60,H60,I60,J60,B60,T60,$AM$2,$AN$2,$AO$2,$AP$2,$AQ$2,"y")</f>
        <v>#NUM!</v>
      </c>
      <c r="V60" s="23"/>
      <c r="W60" s="23" t="e">
        <f t="shared" si="5"/>
        <v>#VALUE!</v>
      </c>
      <c r="X60" s="22"/>
      <c r="Y60" s="22" t="e">
        <f t="shared" si="6"/>
        <v>#NUM!</v>
      </c>
      <c r="Z60" s="23" t="e">
        <f>_xll.xlBondPriceCustom(D60,E60,F60,G60,H60,I60,J60,B60,Y60,$AM$2,$AN$2,$AO$2,$AP$2,$AQ$2)</f>
        <v>#NUM!</v>
      </c>
      <c r="AA60" s="20" t="e">
        <f t="array" ref="AA60:AG60">_xll.xlBondYieldSens(D60,E60,F60,G60,H60,I60,J60,B60,W60,$AA$5&amp;$AB$5&amp;$AC$5&amp;$AD$5&amp;$AE$5&amp;$AF$5&amp;$AG$5)</f>
        <v>#NUM!</v>
      </c>
      <c r="AB60" s="20" t="e">
        <v>#NUM!</v>
      </c>
      <c r="AC60" s="20" t="e">
        <v>#NUM!</v>
      </c>
      <c r="AD60" s="20" t="e">
        <v>#NUM!</v>
      </c>
      <c r="AE60" s="20" t="e">
        <v>#NUM!</v>
      </c>
      <c r="AF60" s="20" t="e">
        <v>#NUM!</v>
      </c>
      <c r="AG60" s="24" t="e">
        <v>#NUM!</v>
      </c>
      <c r="AH60" s="22" t="e">
        <f>_xll.xlBondYieldSensCustom(D60,E60,F60,G60,H60,I60,J60,B60,W60,$AM$2,$AN$2,$AO$2,$AP$2,$AQ$2,"y")</f>
        <v>#NUM!</v>
      </c>
      <c r="AI60" s="22" t="e">
        <f ca="1">IF(TRUE,_xll.xlShmInterpRateFwd("EONIA",_xll.xlDateSettle("target",$B$2,2),0,4,$F60),"")</f>
        <v>#NUM!</v>
      </c>
      <c r="AJ60" s="85" t="e">
        <f t="shared" ca="1" si="7"/>
        <v>#NUM!</v>
      </c>
    </row>
    <row r="61" spans="1:36" ht="15.75" x14ac:dyDescent="0.25">
      <c r="A61" s="2"/>
      <c r="B61" s="19" t="e">
        <f>MAX(_xll.xlBondValueDate(D61,$B$2),I61)</f>
        <v>#NUM!</v>
      </c>
      <c r="C61" s="20" t="e">
        <v>#N/A</v>
      </c>
      <c r="D61" s="86" t="e">
        <f t="array" ref="D61:N61">_xll.BondInfo(C61,$D$5:$N$5)</f>
        <v>#VALUE!</v>
      </c>
      <c r="E61" s="20" t="e">
        <v>#VALUE!</v>
      </c>
      <c r="F61" s="87" t="e">
        <v>#VALUE!</v>
      </c>
      <c r="G61" s="19" t="e">
        <v>#VALUE!</v>
      </c>
      <c r="H61" s="19" t="e">
        <v>#VALUE!</v>
      </c>
      <c r="I61" s="19" t="e">
        <v>#VALUE!</v>
      </c>
      <c r="J61" s="20" t="e">
        <v>#VALUE!</v>
      </c>
      <c r="K61" s="20" t="e">
        <v>#VALUE!</v>
      </c>
      <c r="L61" s="20" t="e">
        <v>#VALUE!</v>
      </c>
      <c r="M61" s="20" t="e">
        <v>#VALUE!</v>
      </c>
      <c r="N61" s="20" t="e">
        <v>#VALUE!</v>
      </c>
      <c r="O61" s="21" t="e">
        <f>_xll.BondOutstanding(C61)</f>
        <v>#VALUE!</v>
      </c>
      <c r="P61" s="25" t="e">
        <f>_xll.xlBondYieldSensCustom(D61,E61,F61,G61,H61,I61,J61,B61,Q61,$AM$2,$AN$2,$AO$2,$AP$2,$AQ$2,"y")</f>
        <v>#NUM!</v>
      </c>
      <c r="Q61" s="26" t="e">
        <f>_xll.RtGet("IDN",$K61,IF(OR($D61="BTP,$E11=""CTZ"),Q$5,Q$4))</f>
        <v>#VALUE!</v>
      </c>
      <c r="R61" s="27" t="e">
        <f>_xll.RtGet("IDN",$K61,IF(OR($D61="BTP,$E11=""CTZ"),R$5,R$4))</f>
        <v>#VALUE!</v>
      </c>
      <c r="S61" s="28" t="e">
        <f>_xll.xlBondYieldSensCustom(D61,E61,F61,G61,H61,I61,J61,B61,R61,$AM$2,$AN$2,$AO$2,$AP$2,$AQ$2,"y")</f>
        <v>#NUM!</v>
      </c>
      <c r="T61" s="23" t="e">
        <f t="shared" si="4"/>
        <v>#VALUE!</v>
      </c>
      <c r="U61" s="83" t="e">
        <f>_xll.xlBondYieldSensCustom(D61,E61,F61,G61,H61,I61,J61,B61,T61,$AM$2,$AN$2,$AO$2,$AP$2,$AQ$2,"y")</f>
        <v>#NUM!</v>
      </c>
      <c r="V61" s="23"/>
      <c r="W61" s="23" t="e">
        <f t="shared" si="5"/>
        <v>#VALUE!</v>
      </c>
      <c r="X61" s="22"/>
      <c r="Y61" s="22" t="e">
        <f t="shared" si="6"/>
        <v>#NUM!</v>
      </c>
      <c r="Z61" s="23" t="e">
        <f>_xll.xlBondPriceCustom(D61,E61,F61,G61,H61,I61,J61,B61,Y61,$AM$2,$AN$2,$AO$2,$AP$2,$AQ$2)</f>
        <v>#NUM!</v>
      </c>
      <c r="AA61" s="20" t="e">
        <f t="array" ref="AA61:AG61">_xll.xlBondYieldSens(D61,E61,F61,G61,H61,I61,J61,B61,W61,$AA$5&amp;$AB$5&amp;$AC$5&amp;$AD$5&amp;$AE$5&amp;$AF$5&amp;$AG$5)</f>
        <v>#NUM!</v>
      </c>
      <c r="AB61" s="20" t="e">
        <v>#NUM!</v>
      </c>
      <c r="AC61" s="20" t="e">
        <v>#NUM!</v>
      </c>
      <c r="AD61" s="20" t="e">
        <v>#NUM!</v>
      </c>
      <c r="AE61" s="20" t="e">
        <v>#NUM!</v>
      </c>
      <c r="AF61" s="20" t="e">
        <v>#NUM!</v>
      </c>
      <c r="AG61" s="24" t="e">
        <v>#NUM!</v>
      </c>
      <c r="AH61" s="22" t="e">
        <f>_xll.xlBondYieldSensCustom(D61,E61,F61,G61,H61,I61,J61,B61,W61,$AM$2,$AN$2,$AO$2,$AP$2,$AQ$2,"y")</f>
        <v>#NUM!</v>
      </c>
      <c r="AI61" s="22" t="e">
        <f ca="1">IF(TRUE,_xll.xlShmInterpRateFwd("EONIA",_xll.xlDateSettle("target",$B$2,2),0,4,$F61),"")</f>
        <v>#NUM!</v>
      </c>
      <c r="AJ61" s="85" t="e">
        <f t="shared" ca="1" si="7"/>
        <v>#NUM!</v>
      </c>
    </row>
    <row r="62" spans="1:36" ht="15.75" x14ac:dyDescent="0.25">
      <c r="A62" s="2"/>
      <c r="B62" s="19" t="e">
        <f>MAX(_xll.xlBondValueDate(D62,$B$2),I62)</f>
        <v>#NUM!</v>
      </c>
      <c r="C62" s="20" t="e">
        <v>#N/A</v>
      </c>
      <c r="D62" s="86" t="e">
        <f t="array" ref="D62:N62">_xll.BondInfo(C62,$D$5:$N$5)</f>
        <v>#VALUE!</v>
      </c>
      <c r="E62" s="20" t="e">
        <v>#VALUE!</v>
      </c>
      <c r="F62" s="87" t="e">
        <v>#VALUE!</v>
      </c>
      <c r="G62" s="19" t="e">
        <v>#VALUE!</v>
      </c>
      <c r="H62" s="19" t="e">
        <v>#VALUE!</v>
      </c>
      <c r="I62" s="19" t="e">
        <v>#VALUE!</v>
      </c>
      <c r="J62" s="20" t="e">
        <v>#VALUE!</v>
      </c>
      <c r="K62" s="20" t="e">
        <v>#VALUE!</v>
      </c>
      <c r="L62" s="20" t="e">
        <v>#VALUE!</v>
      </c>
      <c r="M62" s="20" t="e">
        <v>#VALUE!</v>
      </c>
      <c r="N62" s="20" t="e">
        <v>#VALUE!</v>
      </c>
      <c r="O62" s="21" t="e">
        <f>_xll.BondOutstanding(C62)</f>
        <v>#VALUE!</v>
      </c>
      <c r="P62" s="25" t="e">
        <f>_xll.xlBondYieldSensCustom(D62,E62,F62,G62,H62,I62,J62,B62,Q62,$AM$2,$AN$2,$AO$2,$AP$2,$AQ$2,"y")</f>
        <v>#NUM!</v>
      </c>
      <c r="Q62" s="26" t="e">
        <f>_xll.RtGet("IDN",$K62,IF(OR($D62="BTP,$E11=""CTZ"),Q$5,Q$4))</f>
        <v>#VALUE!</v>
      </c>
      <c r="R62" s="27" t="e">
        <f>_xll.RtGet("IDN",$K62,IF(OR($D62="BTP,$E11=""CTZ"),R$5,R$4))</f>
        <v>#VALUE!</v>
      </c>
      <c r="S62" s="28" t="e">
        <f>_xll.xlBondYieldSensCustom(D62,E62,F62,G62,H62,I62,J62,B62,R62,$AM$2,$AN$2,$AO$2,$AP$2,$AQ$2,"y")</f>
        <v>#NUM!</v>
      </c>
      <c r="T62" s="23" t="e">
        <f t="shared" si="4"/>
        <v>#VALUE!</v>
      </c>
      <c r="U62" s="83" t="e">
        <f>_xll.xlBondYieldSensCustom(D62,E62,F62,G62,H62,I62,J62,B62,T62,$AM$2,$AN$2,$AO$2,$AP$2,$AQ$2,"y")</f>
        <v>#NUM!</v>
      </c>
      <c r="V62" s="23"/>
      <c r="W62" s="23" t="e">
        <f t="shared" si="5"/>
        <v>#VALUE!</v>
      </c>
      <c r="X62" s="22"/>
      <c r="Y62" s="22" t="e">
        <f t="shared" si="6"/>
        <v>#NUM!</v>
      </c>
      <c r="Z62" s="23" t="e">
        <f>_xll.xlBondPriceCustom(D62,E62,F62,G62,H62,I62,J62,B62,Y62,$AM$2,$AN$2,$AO$2,$AP$2,$AQ$2)</f>
        <v>#NUM!</v>
      </c>
      <c r="AA62" s="20" t="e">
        <f t="array" ref="AA62:AG62">_xll.xlBondYieldSens(D62,E62,F62,G62,H62,I62,J62,B62,W62,$AA$5&amp;$AB$5&amp;$AC$5&amp;$AD$5&amp;$AE$5&amp;$AF$5&amp;$AG$5)</f>
        <v>#NUM!</v>
      </c>
      <c r="AB62" s="20" t="e">
        <v>#NUM!</v>
      </c>
      <c r="AC62" s="20" t="e">
        <v>#NUM!</v>
      </c>
      <c r="AD62" s="20" t="e">
        <v>#NUM!</v>
      </c>
      <c r="AE62" s="20" t="e">
        <v>#NUM!</v>
      </c>
      <c r="AF62" s="20" t="e">
        <v>#NUM!</v>
      </c>
      <c r="AG62" s="24" t="e">
        <v>#NUM!</v>
      </c>
      <c r="AH62" s="22" t="e">
        <f>_xll.xlBondYieldSensCustom(D62,E62,F62,G62,H62,I62,J62,B62,W62,$AM$2,$AN$2,$AO$2,$AP$2,$AQ$2,"y")</f>
        <v>#NUM!</v>
      </c>
      <c r="AI62" s="22" t="e">
        <f ca="1">IF(TRUE,_xll.xlShmInterpRateFwd("EONIA",_xll.xlDateSettle("target",$B$2,2),0,4,$F62),"")</f>
        <v>#NUM!</v>
      </c>
      <c r="AJ62" s="85" t="e">
        <f t="shared" ca="1" si="7"/>
        <v>#NUM!</v>
      </c>
    </row>
    <row r="63" spans="1:36" ht="15.75" x14ac:dyDescent="0.25">
      <c r="A63" s="2"/>
      <c r="B63" s="19" t="e">
        <f>MAX(_xll.xlBondValueDate(D63,$B$2),I63)</f>
        <v>#NUM!</v>
      </c>
      <c r="C63" s="20" t="e">
        <v>#N/A</v>
      </c>
      <c r="D63" s="86" t="e">
        <f t="array" ref="D63:N63">_xll.BondInfo(C63,$D$5:$N$5)</f>
        <v>#VALUE!</v>
      </c>
      <c r="E63" s="20" t="e">
        <v>#VALUE!</v>
      </c>
      <c r="F63" s="87" t="e">
        <v>#VALUE!</v>
      </c>
      <c r="G63" s="19" t="e">
        <v>#VALUE!</v>
      </c>
      <c r="H63" s="19" t="e">
        <v>#VALUE!</v>
      </c>
      <c r="I63" s="19" t="e">
        <v>#VALUE!</v>
      </c>
      <c r="J63" s="20" t="e">
        <v>#VALUE!</v>
      </c>
      <c r="K63" s="20" t="e">
        <v>#VALUE!</v>
      </c>
      <c r="L63" s="20" t="e">
        <v>#VALUE!</v>
      </c>
      <c r="M63" s="20" t="e">
        <v>#VALUE!</v>
      </c>
      <c r="N63" s="20" t="e">
        <v>#VALUE!</v>
      </c>
      <c r="O63" s="21" t="e">
        <f>_xll.BondOutstanding(C63)</f>
        <v>#VALUE!</v>
      </c>
      <c r="P63" s="25" t="e">
        <f>_xll.xlBondYieldSensCustom(D63,E63,F63,G63,H63,I63,J63,B63,Q63,$AM$2,$AN$2,$AO$2,$AP$2,$AQ$2,"y")</f>
        <v>#NUM!</v>
      </c>
      <c r="Q63" s="26" t="e">
        <f>_xll.RtGet("IDN",$K63,IF(OR($D63="BTP,$E11=""CTZ"),Q$5,Q$4))</f>
        <v>#VALUE!</v>
      </c>
      <c r="R63" s="27" t="e">
        <f>_xll.RtGet("IDN",$K63,IF(OR($D63="BTP,$E11=""CTZ"),R$5,R$4))</f>
        <v>#VALUE!</v>
      </c>
      <c r="S63" s="28" t="e">
        <f>_xll.xlBondYieldSensCustom(D63,E63,F63,G63,H63,I63,J63,B63,R63,$AM$2,$AN$2,$AO$2,$AP$2,$AQ$2,"y")</f>
        <v>#NUM!</v>
      </c>
      <c r="T63" s="23" t="e">
        <f t="shared" si="4"/>
        <v>#VALUE!</v>
      </c>
      <c r="U63" s="83" t="e">
        <f>_xll.xlBondYieldSensCustom(D63,E63,F63,G63,H63,I63,J63,B63,T63,$AM$2,$AN$2,$AO$2,$AP$2,$AQ$2,"y")</f>
        <v>#NUM!</v>
      </c>
      <c r="V63" s="23"/>
      <c r="W63" s="23" t="e">
        <f t="shared" si="5"/>
        <v>#VALUE!</v>
      </c>
      <c r="X63" s="22"/>
      <c r="Y63" s="22" t="e">
        <f t="shared" si="6"/>
        <v>#NUM!</v>
      </c>
      <c r="Z63" s="23" t="e">
        <f>_xll.xlBondPriceCustom(D63,E63,F63,G63,H63,I63,J63,B63,Y63,$AM$2,$AN$2,$AO$2,$AP$2,$AQ$2)</f>
        <v>#NUM!</v>
      </c>
      <c r="AA63" s="20" t="e">
        <f t="array" ref="AA63:AG63">_xll.xlBondYieldSens(D63,E63,F63,G63,H63,I63,J63,B63,W63,$AA$5&amp;$AB$5&amp;$AC$5&amp;$AD$5&amp;$AE$5&amp;$AF$5&amp;$AG$5)</f>
        <v>#NUM!</v>
      </c>
      <c r="AB63" s="20" t="e">
        <v>#NUM!</v>
      </c>
      <c r="AC63" s="20" t="e">
        <v>#NUM!</v>
      </c>
      <c r="AD63" s="20" t="e">
        <v>#NUM!</v>
      </c>
      <c r="AE63" s="20" t="e">
        <v>#NUM!</v>
      </c>
      <c r="AF63" s="20" t="e">
        <v>#NUM!</v>
      </c>
      <c r="AG63" s="24" t="e">
        <v>#NUM!</v>
      </c>
      <c r="AH63" s="22" t="e">
        <f>_xll.xlBondYieldSensCustom(D63,E63,F63,G63,H63,I63,J63,B63,W63,$AM$2,$AN$2,$AO$2,$AP$2,$AQ$2,"y")</f>
        <v>#NUM!</v>
      </c>
      <c r="AI63" s="22" t="e">
        <f ca="1">IF(TRUE,_xll.xlShmInterpRateFwd("EONIA",_xll.xlDateSettle("target",$B$2,2),0,4,$F63),"")</f>
        <v>#NUM!</v>
      </c>
      <c r="AJ63" s="85" t="e">
        <f t="shared" ca="1" si="7"/>
        <v>#NUM!</v>
      </c>
    </row>
    <row r="64" spans="1:36" ht="15.75" x14ac:dyDescent="0.25">
      <c r="A64" s="2"/>
      <c r="B64" s="19" t="e">
        <f>MAX(_xll.xlBondValueDate(D64,$B$2),I64)</f>
        <v>#NUM!</v>
      </c>
      <c r="C64" s="20" t="e">
        <v>#N/A</v>
      </c>
      <c r="D64" s="86" t="e">
        <f t="array" ref="D64:N64">_xll.BondInfo(C64,$D$5:$N$5)</f>
        <v>#VALUE!</v>
      </c>
      <c r="E64" s="20" t="e">
        <v>#VALUE!</v>
      </c>
      <c r="F64" s="87" t="e">
        <v>#VALUE!</v>
      </c>
      <c r="G64" s="19" t="e">
        <v>#VALUE!</v>
      </c>
      <c r="H64" s="19" t="e">
        <v>#VALUE!</v>
      </c>
      <c r="I64" s="19" t="e">
        <v>#VALUE!</v>
      </c>
      <c r="J64" s="20" t="e">
        <v>#VALUE!</v>
      </c>
      <c r="K64" s="20" t="e">
        <v>#VALUE!</v>
      </c>
      <c r="L64" s="20" t="e">
        <v>#VALUE!</v>
      </c>
      <c r="M64" s="20" t="e">
        <v>#VALUE!</v>
      </c>
      <c r="N64" s="20" t="e">
        <v>#VALUE!</v>
      </c>
      <c r="O64" s="21" t="e">
        <f>_xll.BondOutstanding(C64)</f>
        <v>#VALUE!</v>
      </c>
      <c r="P64" s="25" t="e">
        <f>_xll.xlBondYieldSensCustom(D64,E64,F64,G64,H64,I64,J64,B64,Q64,$AM$2,$AN$2,$AO$2,$AP$2,$AQ$2,"y")</f>
        <v>#NUM!</v>
      </c>
      <c r="Q64" s="26" t="e">
        <f>_xll.RtGet("IDN",$K64,IF(OR($D64="BTP,$E11=""CTZ"),Q$5,Q$4))</f>
        <v>#VALUE!</v>
      </c>
      <c r="R64" s="27" t="e">
        <f>_xll.RtGet("IDN",$K64,IF(OR($D64="BTP,$E11=""CTZ"),R$5,R$4))</f>
        <v>#VALUE!</v>
      </c>
      <c r="S64" s="28" t="e">
        <f>_xll.xlBondYieldSensCustom(D64,E64,F64,G64,H64,I64,J64,B64,R64,$AM$2,$AN$2,$AO$2,$AP$2,$AQ$2,"y")</f>
        <v>#NUM!</v>
      </c>
      <c r="T64" s="23" t="e">
        <f t="shared" si="4"/>
        <v>#VALUE!</v>
      </c>
      <c r="U64" s="83" t="e">
        <f>_xll.xlBondYieldSensCustom(D64,E64,F64,G64,H64,I64,J64,B64,T64,$AM$2,$AN$2,$AO$2,$AP$2,$AQ$2,"y")</f>
        <v>#NUM!</v>
      </c>
      <c r="V64" s="23"/>
      <c r="W64" s="23" t="e">
        <f t="shared" si="5"/>
        <v>#VALUE!</v>
      </c>
      <c r="X64" s="22"/>
      <c r="Y64" s="22" t="e">
        <f t="shared" si="6"/>
        <v>#NUM!</v>
      </c>
      <c r="Z64" s="23" t="e">
        <f>_xll.xlBondPriceCustom(D64,E64,F64,G64,H64,I64,J64,B64,Y64,$AM$2,$AN$2,$AO$2,$AP$2,$AQ$2)</f>
        <v>#NUM!</v>
      </c>
      <c r="AA64" s="20" t="e">
        <f t="array" ref="AA64:AG64">_xll.xlBondYieldSens(D64,E64,F64,G64,H64,I64,J64,B64,W64,$AA$5&amp;$AB$5&amp;$AC$5&amp;$AD$5&amp;$AE$5&amp;$AF$5&amp;$AG$5)</f>
        <v>#NUM!</v>
      </c>
      <c r="AB64" s="20" t="e">
        <v>#NUM!</v>
      </c>
      <c r="AC64" s="20" t="e">
        <v>#NUM!</v>
      </c>
      <c r="AD64" s="20" t="e">
        <v>#NUM!</v>
      </c>
      <c r="AE64" s="20" t="e">
        <v>#NUM!</v>
      </c>
      <c r="AF64" s="20" t="e">
        <v>#NUM!</v>
      </c>
      <c r="AG64" s="24" t="e">
        <v>#NUM!</v>
      </c>
      <c r="AH64" s="22" t="e">
        <f>_xll.xlBondYieldSensCustom(D64,E64,F64,G64,H64,I64,J64,B64,W64,$AM$2,$AN$2,$AO$2,$AP$2,$AQ$2,"y")</f>
        <v>#NUM!</v>
      </c>
      <c r="AI64" s="22" t="e">
        <f ca="1">IF(TRUE,_xll.xlShmInterpRateFwd("EONIA",_xll.xlDateSettle("target",$B$2,2),0,4,$F64),"")</f>
        <v>#NUM!</v>
      </c>
      <c r="AJ64" s="85" t="e">
        <f t="shared" ca="1" si="7"/>
        <v>#NUM!</v>
      </c>
    </row>
    <row r="65" spans="1:36" ht="15.75" x14ac:dyDescent="0.25">
      <c r="A65" s="2"/>
      <c r="B65" s="19" t="e">
        <f>MAX(_xll.xlBondValueDate(D65,$B$2),I65)</f>
        <v>#NUM!</v>
      </c>
      <c r="C65" s="20" t="e">
        <v>#N/A</v>
      </c>
      <c r="D65" s="86" t="e">
        <f t="array" ref="D65:N65">_xll.BondInfo(C65,$D$5:$N$5)</f>
        <v>#VALUE!</v>
      </c>
      <c r="E65" s="20" t="e">
        <v>#VALUE!</v>
      </c>
      <c r="F65" s="87" t="e">
        <v>#VALUE!</v>
      </c>
      <c r="G65" s="19" t="e">
        <v>#VALUE!</v>
      </c>
      <c r="H65" s="19" t="e">
        <v>#VALUE!</v>
      </c>
      <c r="I65" s="19" t="e">
        <v>#VALUE!</v>
      </c>
      <c r="J65" s="20" t="e">
        <v>#VALUE!</v>
      </c>
      <c r="K65" s="20" t="e">
        <v>#VALUE!</v>
      </c>
      <c r="L65" s="20" t="e">
        <v>#VALUE!</v>
      </c>
      <c r="M65" s="20" t="e">
        <v>#VALUE!</v>
      </c>
      <c r="N65" s="20" t="e">
        <v>#VALUE!</v>
      </c>
      <c r="O65" s="21" t="e">
        <f>_xll.BondOutstanding(C65)</f>
        <v>#VALUE!</v>
      </c>
      <c r="P65" s="25" t="e">
        <f>_xll.xlBondYieldSensCustom(D65,E65,F65,G65,H65,I65,J65,B65,Q65,$AM$2,$AN$2,$AO$2,$AP$2,$AQ$2,"y")</f>
        <v>#NUM!</v>
      </c>
      <c r="Q65" s="26" t="e">
        <f>_xll.RtGet("IDN",$K65,IF(OR($D65="BTP,$E11=""CTZ"),Q$5,Q$4))</f>
        <v>#VALUE!</v>
      </c>
      <c r="R65" s="27" t="e">
        <f>_xll.RtGet("IDN",$K65,IF(OR($D65="BTP,$E11=""CTZ"),R$5,R$4))</f>
        <v>#VALUE!</v>
      </c>
      <c r="S65" s="28" t="e">
        <f>_xll.xlBondYieldSensCustom(D65,E65,F65,G65,H65,I65,J65,B65,R65,$AM$2,$AN$2,$AO$2,$AP$2,$AQ$2,"y")</f>
        <v>#NUM!</v>
      </c>
      <c r="T65" s="23" t="e">
        <f t="shared" si="4"/>
        <v>#VALUE!</v>
      </c>
      <c r="U65" s="83" t="e">
        <f>_xll.xlBondYieldSensCustom(D65,E65,F65,G65,H65,I65,J65,B65,T65,$AM$2,$AN$2,$AO$2,$AP$2,$AQ$2,"y")</f>
        <v>#NUM!</v>
      </c>
      <c r="V65" s="23"/>
      <c r="W65" s="23" t="e">
        <f t="shared" si="5"/>
        <v>#VALUE!</v>
      </c>
      <c r="X65" s="22"/>
      <c r="Y65" s="22" t="e">
        <f t="shared" si="6"/>
        <v>#NUM!</v>
      </c>
      <c r="Z65" s="23" t="e">
        <f>_xll.xlBondPriceCustom(D65,E65,F65,G65,H65,I65,J65,B65,Y65,$AM$2,$AN$2,$AO$2,$AP$2,$AQ$2)</f>
        <v>#NUM!</v>
      </c>
      <c r="AA65" s="20" t="e">
        <f t="array" ref="AA65:AG65">_xll.xlBondYieldSens(D65,E65,F65,G65,H65,I65,J65,B65,W65,$AA$5&amp;$AB$5&amp;$AC$5&amp;$AD$5&amp;$AE$5&amp;$AF$5&amp;$AG$5)</f>
        <v>#NUM!</v>
      </c>
      <c r="AB65" s="20" t="e">
        <v>#NUM!</v>
      </c>
      <c r="AC65" s="20" t="e">
        <v>#NUM!</v>
      </c>
      <c r="AD65" s="20" t="e">
        <v>#NUM!</v>
      </c>
      <c r="AE65" s="20" t="e">
        <v>#NUM!</v>
      </c>
      <c r="AF65" s="20" t="e">
        <v>#NUM!</v>
      </c>
      <c r="AG65" s="24" t="e">
        <v>#NUM!</v>
      </c>
      <c r="AH65" s="22" t="e">
        <f>_xll.xlBondYieldSensCustom(D65,E65,F65,G65,H65,I65,J65,B65,W65,$AM$2,$AN$2,$AO$2,$AP$2,$AQ$2,"y")</f>
        <v>#NUM!</v>
      </c>
      <c r="AI65" s="22" t="e">
        <f ca="1">IF(TRUE,_xll.xlShmInterpRateFwd("EONIA",_xll.xlDateSettle("target",$B$2,2),0,4,$F65),"")</f>
        <v>#NUM!</v>
      </c>
      <c r="AJ65" s="85" t="e">
        <f t="shared" ca="1" si="7"/>
        <v>#NUM!</v>
      </c>
    </row>
    <row r="66" spans="1:36" ht="15.75" x14ac:dyDescent="0.25">
      <c r="A66" s="2"/>
      <c r="B66" s="19" t="e">
        <f>MAX(_xll.xlBondValueDate(D66,$B$2),I66)</f>
        <v>#NUM!</v>
      </c>
      <c r="C66" s="20" t="e">
        <v>#N/A</v>
      </c>
      <c r="D66" s="86" t="e">
        <f t="array" ref="D66:N66">_xll.BondInfo(C66,$D$5:$N$5)</f>
        <v>#VALUE!</v>
      </c>
      <c r="E66" s="20" t="e">
        <v>#VALUE!</v>
      </c>
      <c r="F66" s="87" t="e">
        <v>#VALUE!</v>
      </c>
      <c r="G66" s="19" t="e">
        <v>#VALUE!</v>
      </c>
      <c r="H66" s="19" t="e">
        <v>#VALUE!</v>
      </c>
      <c r="I66" s="19" t="e">
        <v>#VALUE!</v>
      </c>
      <c r="J66" s="20" t="e">
        <v>#VALUE!</v>
      </c>
      <c r="K66" s="20" t="e">
        <v>#VALUE!</v>
      </c>
      <c r="L66" s="20" t="e">
        <v>#VALUE!</v>
      </c>
      <c r="M66" s="20" t="e">
        <v>#VALUE!</v>
      </c>
      <c r="N66" s="20" t="e">
        <v>#VALUE!</v>
      </c>
      <c r="O66" s="21" t="e">
        <f>_xll.BondOutstanding(C66)</f>
        <v>#VALUE!</v>
      </c>
      <c r="P66" s="25" t="e">
        <f>_xll.xlBondYieldSensCustom(D66,E66,F66,G66,H66,I66,J66,B66,Q66,$AM$2,$AN$2,$AO$2,$AP$2,$AQ$2,"y")</f>
        <v>#NUM!</v>
      </c>
      <c r="Q66" s="26" t="e">
        <f>_xll.RtGet("IDN",$K66,IF(OR($D66="BTP,$E11=""CTZ"),Q$5,Q$4))</f>
        <v>#VALUE!</v>
      </c>
      <c r="R66" s="27" t="e">
        <f>_xll.RtGet("IDN",$K66,IF(OR($D66="BTP,$E11=""CTZ"),R$5,R$4))</f>
        <v>#VALUE!</v>
      </c>
      <c r="S66" s="28" t="e">
        <f>_xll.xlBondYieldSensCustom(D66,E66,F66,G66,H66,I66,J66,B66,R66,$AM$2,$AN$2,$AO$2,$AP$2,$AQ$2,"y")</f>
        <v>#NUM!</v>
      </c>
      <c r="T66" s="23" t="e">
        <f t="shared" si="4"/>
        <v>#VALUE!</v>
      </c>
      <c r="U66" s="83" t="e">
        <f>_xll.xlBondYieldSensCustom(D66,E66,F66,G66,H66,I66,J66,B66,T66,$AM$2,$AN$2,$AO$2,$AP$2,$AQ$2,"y")</f>
        <v>#NUM!</v>
      </c>
      <c r="V66" s="23"/>
      <c r="W66" s="23" t="e">
        <f t="shared" si="5"/>
        <v>#VALUE!</v>
      </c>
      <c r="X66" s="22"/>
      <c r="Y66" s="22" t="e">
        <f t="shared" si="6"/>
        <v>#NUM!</v>
      </c>
      <c r="Z66" s="23" t="e">
        <f>_xll.xlBondPriceCustom(D66,E66,F66,G66,H66,I66,J66,B66,Y66,$AM$2,$AN$2,$AO$2,$AP$2,$AQ$2)</f>
        <v>#NUM!</v>
      </c>
      <c r="AA66" s="20" t="e">
        <f t="array" ref="AA66:AG66">_xll.xlBondYieldSens(D66,E66,F66,G66,H66,I66,J66,B66,W66,$AA$5&amp;$AB$5&amp;$AC$5&amp;$AD$5&amp;$AE$5&amp;$AF$5&amp;$AG$5)</f>
        <v>#NUM!</v>
      </c>
      <c r="AB66" s="20" t="e">
        <v>#NUM!</v>
      </c>
      <c r="AC66" s="20" t="e">
        <v>#NUM!</v>
      </c>
      <c r="AD66" s="20" t="e">
        <v>#NUM!</v>
      </c>
      <c r="AE66" s="20" t="e">
        <v>#NUM!</v>
      </c>
      <c r="AF66" s="20" t="e">
        <v>#NUM!</v>
      </c>
      <c r="AG66" s="24" t="e">
        <v>#NUM!</v>
      </c>
      <c r="AH66" s="22" t="e">
        <f>_xll.xlBondYieldSensCustom(D66,E66,F66,G66,H66,I66,J66,B66,W66,$AM$2,$AN$2,$AO$2,$AP$2,$AQ$2,"y")</f>
        <v>#NUM!</v>
      </c>
      <c r="AI66" s="22" t="e">
        <f ca="1">IF(TRUE,_xll.xlShmInterpRateFwd("EONIA",_xll.xlDateSettle("target",$B$2,2),0,4,$F66),"")</f>
        <v>#NUM!</v>
      </c>
      <c r="AJ66" s="85" t="e">
        <f t="shared" ca="1" si="7"/>
        <v>#NUM!</v>
      </c>
    </row>
    <row r="67" spans="1:36" ht="15.75" x14ac:dyDescent="0.25">
      <c r="A67" s="2"/>
      <c r="B67" s="19" t="e">
        <f>MAX(_xll.xlBondValueDate(D67,$B$2),I67)</f>
        <v>#NUM!</v>
      </c>
      <c r="C67" s="20" t="e">
        <v>#N/A</v>
      </c>
      <c r="D67" s="86" t="e">
        <f t="array" ref="D67:N67">_xll.BondInfo(C67,$D$5:$N$5)</f>
        <v>#VALUE!</v>
      </c>
      <c r="E67" s="20" t="e">
        <v>#VALUE!</v>
      </c>
      <c r="F67" s="87" t="e">
        <v>#VALUE!</v>
      </c>
      <c r="G67" s="19" t="e">
        <v>#VALUE!</v>
      </c>
      <c r="H67" s="19" t="e">
        <v>#VALUE!</v>
      </c>
      <c r="I67" s="19" t="e">
        <v>#VALUE!</v>
      </c>
      <c r="J67" s="20" t="e">
        <v>#VALUE!</v>
      </c>
      <c r="K67" s="20" t="e">
        <v>#VALUE!</v>
      </c>
      <c r="L67" s="20" t="e">
        <v>#VALUE!</v>
      </c>
      <c r="M67" s="20" t="e">
        <v>#VALUE!</v>
      </c>
      <c r="N67" s="20" t="e">
        <v>#VALUE!</v>
      </c>
      <c r="O67" s="21" t="e">
        <f>_xll.BondOutstanding(C67)</f>
        <v>#VALUE!</v>
      </c>
      <c r="P67" s="25" t="e">
        <f>_xll.xlBondYieldSensCustom(D67,E67,F67,G67,H67,I67,J67,B67,Q67,$AM$2,$AN$2,$AO$2,$AP$2,$AQ$2,"y")</f>
        <v>#NUM!</v>
      </c>
      <c r="Q67" s="26" t="e">
        <f>_xll.RtGet("IDN",$K67,IF(OR($D67="BTP,$E11=""CTZ"),Q$5,Q$4))</f>
        <v>#VALUE!</v>
      </c>
      <c r="R67" s="27" t="e">
        <f>_xll.RtGet("IDN",$K67,IF(OR($D67="BTP,$E11=""CTZ"),R$5,R$4))</f>
        <v>#VALUE!</v>
      </c>
      <c r="S67" s="28" t="e">
        <f>_xll.xlBondYieldSensCustom(D67,E67,F67,G67,H67,I67,J67,B67,R67,$AM$2,$AN$2,$AO$2,$AP$2,$AQ$2,"y")</f>
        <v>#NUM!</v>
      </c>
      <c r="T67" s="23" t="e">
        <f t="shared" si="4"/>
        <v>#VALUE!</v>
      </c>
      <c r="U67" s="83" t="e">
        <f>_xll.xlBondYieldSensCustom(D67,E67,F67,G67,H67,I67,J67,B67,T67,$AM$2,$AN$2,$AO$2,$AP$2,$AQ$2,"y")</f>
        <v>#NUM!</v>
      </c>
      <c r="V67" s="23"/>
      <c r="W67" s="23" t="e">
        <f t="shared" si="5"/>
        <v>#VALUE!</v>
      </c>
      <c r="X67" s="22"/>
      <c r="Y67" s="22" t="e">
        <f t="shared" si="6"/>
        <v>#NUM!</v>
      </c>
      <c r="Z67" s="23" t="e">
        <f>_xll.xlBondPriceCustom(D67,E67,F67,G67,H67,I67,J67,B67,Y67,$AM$2,$AN$2,$AO$2,$AP$2,$AQ$2)</f>
        <v>#NUM!</v>
      </c>
      <c r="AA67" s="20" t="e">
        <f t="array" ref="AA67:AG67">_xll.xlBondYieldSens(D67,E67,F67,G67,H67,I67,J67,B67,W67,$AA$5&amp;$AB$5&amp;$AC$5&amp;$AD$5&amp;$AE$5&amp;$AF$5&amp;$AG$5)</f>
        <v>#NUM!</v>
      </c>
      <c r="AB67" s="20" t="e">
        <v>#NUM!</v>
      </c>
      <c r="AC67" s="20" t="e">
        <v>#NUM!</v>
      </c>
      <c r="AD67" s="20" t="e">
        <v>#NUM!</v>
      </c>
      <c r="AE67" s="20" t="e">
        <v>#NUM!</v>
      </c>
      <c r="AF67" s="20" t="e">
        <v>#NUM!</v>
      </c>
      <c r="AG67" s="24" t="e">
        <v>#NUM!</v>
      </c>
      <c r="AH67" s="22" t="e">
        <f>_xll.xlBondYieldSensCustom(D67,E67,F67,G67,H67,I67,J67,B67,W67,$AM$2,$AN$2,$AO$2,$AP$2,$AQ$2,"y")</f>
        <v>#NUM!</v>
      </c>
      <c r="AI67" s="22" t="e">
        <f ca="1">IF(TRUE,_xll.xlShmInterpRateFwd("EONIA",_xll.xlDateSettle("target",$B$2,2),0,4,$F67),"")</f>
        <v>#NUM!</v>
      </c>
      <c r="AJ67" s="85" t="e">
        <f t="shared" ca="1" si="7"/>
        <v>#NUM!</v>
      </c>
    </row>
    <row r="68" spans="1:36" ht="15.75" x14ac:dyDescent="0.25">
      <c r="A68" s="2"/>
      <c r="B68" s="19" t="e">
        <f>MAX(_xll.xlBondValueDate(D68,$B$2),I68)</f>
        <v>#NUM!</v>
      </c>
      <c r="C68" s="20" t="e">
        <v>#N/A</v>
      </c>
      <c r="D68" s="86" t="e">
        <f t="array" ref="D68:N68">_xll.BondInfo(C68,$D$5:$N$5)</f>
        <v>#VALUE!</v>
      </c>
      <c r="E68" s="20" t="e">
        <v>#VALUE!</v>
      </c>
      <c r="F68" s="87" t="e">
        <v>#VALUE!</v>
      </c>
      <c r="G68" s="19" t="e">
        <v>#VALUE!</v>
      </c>
      <c r="H68" s="19" t="e">
        <v>#VALUE!</v>
      </c>
      <c r="I68" s="19" t="e">
        <v>#VALUE!</v>
      </c>
      <c r="J68" s="20" t="e">
        <v>#VALUE!</v>
      </c>
      <c r="K68" s="20" t="e">
        <v>#VALUE!</v>
      </c>
      <c r="L68" s="20" t="e">
        <v>#VALUE!</v>
      </c>
      <c r="M68" s="20" t="e">
        <v>#VALUE!</v>
      </c>
      <c r="N68" s="20" t="e">
        <v>#VALUE!</v>
      </c>
      <c r="O68" s="21" t="e">
        <f>_xll.BondOutstanding(C68)</f>
        <v>#VALUE!</v>
      </c>
      <c r="P68" s="25" t="e">
        <f>_xll.xlBondYieldSensCustom(D68,E68,F68,G68,H68,I68,J68,B68,Q68,$AM$2,$AN$2,$AO$2,$AP$2,$AQ$2,"y")</f>
        <v>#NUM!</v>
      </c>
      <c r="Q68" s="26" t="e">
        <f>_xll.RtGet("IDN",$K68,IF(OR($D68="BTP,$E11=""CTZ"),Q$5,Q$4))</f>
        <v>#VALUE!</v>
      </c>
      <c r="R68" s="27" t="e">
        <f>_xll.RtGet("IDN",$K68,IF(OR($D68="BTP,$E11=""CTZ"),R$5,R$4))</f>
        <v>#VALUE!</v>
      </c>
      <c r="S68" s="28" t="e">
        <f>_xll.xlBondYieldSensCustom(D68,E68,F68,G68,H68,I68,J68,B68,R68,$AM$2,$AN$2,$AO$2,$AP$2,$AQ$2,"y")</f>
        <v>#NUM!</v>
      </c>
      <c r="T68" s="23" t="e">
        <f t="shared" si="4"/>
        <v>#VALUE!</v>
      </c>
      <c r="U68" s="83" t="e">
        <f>_xll.xlBondYieldSensCustom(D68,E68,F68,G68,H68,I68,J68,B68,T68,$AM$2,$AN$2,$AO$2,$AP$2,$AQ$2,"y")</f>
        <v>#NUM!</v>
      </c>
      <c r="V68" s="23"/>
      <c r="W68" s="23" t="e">
        <f t="shared" si="5"/>
        <v>#VALUE!</v>
      </c>
      <c r="X68" s="22"/>
      <c r="Y68" s="22" t="e">
        <f t="shared" si="6"/>
        <v>#NUM!</v>
      </c>
      <c r="Z68" s="23" t="e">
        <f>_xll.xlBondPriceCustom(D68,E68,F68,G68,H68,I68,J68,B68,Y68,$AM$2,$AN$2,$AO$2,$AP$2,$AQ$2)</f>
        <v>#NUM!</v>
      </c>
      <c r="AA68" s="20" t="e">
        <f t="array" ref="AA68:AG68">_xll.xlBondYieldSens(D68,E68,F68,G68,H68,I68,J68,B68,W68,$AA$5&amp;$AB$5&amp;$AC$5&amp;$AD$5&amp;$AE$5&amp;$AF$5&amp;$AG$5)</f>
        <v>#NUM!</v>
      </c>
      <c r="AB68" s="20" t="e">
        <v>#NUM!</v>
      </c>
      <c r="AC68" s="20" t="e">
        <v>#NUM!</v>
      </c>
      <c r="AD68" s="20" t="e">
        <v>#NUM!</v>
      </c>
      <c r="AE68" s="20" t="e">
        <v>#NUM!</v>
      </c>
      <c r="AF68" s="20" t="e">
        <v>#NUM!</v>
      </c>
      <c r="AG68" s="24" t="e">
        <v>#NUM!</v>
      </c>
      <c r="AH68" s="22" t="e">
        <f>_xll.xlBondYieldSensCustom(D68,E68,F68,G68,H68,I68,J68,B68,W68,$AM$2,$AN$2,$AO$2,$AP$2,$AQ$2,"y")</f>
        <v>#NUM!</v>
      </c>
      <c r="AI68" s="22" t="e">
        <f ca="1">IF(TRUE,_xll.xlShmInterpRateFwd("EONIA",_xll.xlDateSettle("target",$B$2,2),0,4,$F68),"")</f>
        <v>#NUM!</v>
      </c>
      <c r="AJ68" s="85" t="e">
        <f t="shared" ca="1" si="7"/>
        <v>#NUM!</v>
      </c>
    </row>
    <row r="69" spans="1:36" ht="15.75" x14ac:dyDescent="0.25">
      <c r="A69" s="2"/>
      <c r="B69" s="19" t="e">
        <f>MAX(_xll.xlBondValueDate(D69,$B$2),I69)</f>
        <v>#NUM!</v>
      </c>
      <c r="C69" s="20" t="e">
        <v>#N/A</v>
      </c>
      <c r="D69" s="86" t="e">
        <f t="array" ref="D69:N69">_xll.BondInfo(C69,$D$5:$N$5)</f>
        <v>#VALUE!</v>
      </c>
      <c r="E69" s="20" t="e">
        <v>#VALUE!</v>
      </c>
      <c r="F69" s="87" t="e">
        <v>#VALUE!</v>
      </c>
      <c r="G69" s="19" t="e">
        <v>#VALUE!</v>
      </c>
      <c r="H69" s="19" t="e">
        <v>#VALUE!</v>
      </c>
      <c r="I69" s="19" t="e">
        <v>#VALUE!</v>
      </c>
      <c r="J69" s="20" t="e">
        <v>#VALUE!</v>
      </c>
      <c r="K69" s="20" t="e">
        <v>#VALUE!</v>
      </c>
      <c r="L69" s="20" t="e">
        <v>#VALUE!</v>
      </c>
      <c r="M69" s="20" t="e">
        <v>#VALUE!</v>
      </c>
      <c r="N69" s="20" t="e">
        <v>#VALUE!</v>
      </c>
      <c r="O69" s="21" t="e">
        <f>_xll.BondOutstanding(C69)</f>
        <v>#VALUE!</v>
      </c>
      <c r="P69" s="25" t="e">
        <f>_xll.xlBondYieldSensCustom(D69,E69,F69,G69,H69,I69,J69,B69,Q69,$AM$2,$AN$2,$AO$2,$AP$2,$AQ$2,"y")</f>
        <v>#NUM!</v>
      </c>
      <c r="Q69" s="26" t="e">
        <f>_xll.RtGet("IDN",$K69,IF(OR($D69="BTP,$E11=""CTZ"),Q$5,Q$4))</f>
        <v>#VALUE!</v>
      </c>
      <c r="R69" s="27" t="e">
        <f>_xll.RtGet("IDN",$K69,IF(OR($D69="BTP,$E11=""CTZ"),R$5,R$4))</f>
        <v>#VALUE!</v>
      </c>
      <c r="S69" s="28" t="e">
        <f>_xll.xlBondYieldSensCustom(D69,E69,F69,G69,H69,I69,J69,B69,R69,$AM$2,$AN$2,$AO$2,$AP$2,$AQ$2,"y")</f>
        <v>#NUM!</v>
      </c>
      <c r="T69" s="23" t="e">
        <f t="shared" si="4"/>
        <v>#VALUE!</v>
      </c>
      <c r="U69" s="83" t="e">
        <f>_xll.xlBondYieldSensCustom(D69,E69,F69,G69,H69,I69,J69,B69,T69,$AM$2,$AN$2,$AO$2,$AP$2,$AQ$2,"y")</f>
        <v>#NUM!</v>
      </c>
      <c r="V69" s="23"/>
      <c r="W69" s="23" t="e">
        <f t="shared" si="5"/>
        <v>#VALUE!</v>
      </c>
      <c r="X69" s="22"/>
      <c r="Y69" s="22" t="e">
        <f t="shared" si="6"/>
        <v>#NUM!</v>
      </c>
      <c r="Z69" s="23" t="e">
        <f>_xll.xlBondPriceCustom(D69,E69,F69,G69,H69,I69,J69,B69,Y69,$AM$2,$AN$2,$AO$2,$AP$2,$AQ$2)</f>
        <v>#NUM!</v>
      </c>
      <c r="AA69" s="20" t="e">
        <f t="array" ref="AA69:AG69">_xll.xlBondYieldSens(D69,E69,F69,G69,H69,I69,J69,B69,W69,$AA$5&amp;$AB$5&amp;$AC$5&amp;$AD$5&amp;$AE$5&amp;$AF$5&amp;$AG$5)</f>
        <v>#NUM!</v>
      </c>
      <c r="AB69" s="20" t="e">
        <v>#NUM!</v>
      </c>
      <c r="AC69" s="20" t="e">
        <v>#NUM!</v>
      </c>
      <c r="AD69" s="20" t="e">
        <v>#NUM!</v>
      </c>
      <c r="AE69" s="20" t="e">
        <v>#NUM!</v>
      </c>
      <c r="AF69" s="20" t="e">
        <v>#NUM!</v>
      </c>
      <c r="AG69" s="24" t="e">
        <v>#NUM!</v>
      </c>
      <c r="AH69" s="22" t="e">
        <f>_xll.xlBondYieldSensCustom(D69,E69,F69,G69,H69,I69,J69,B69,W69,$AM$2,$AN$2,$AO$2,$AP$2,$AQ$2,"y")</f>
        <v>#NUM!</v>
      </c>
      <c r="AI69" s="22" t="e">
        <f ca="1">IF(TRUE,_xll.xlShmInterpRateFwd("EONIA",_xll.xlDateSettle("target",$B$2,2),0,4,$F69),"")</f>
        <v>#NUM!</v>
      </c>
      <c r="AJ69" s="85" t="e">
        <f t="shared" ca="1" si="7"/>
        <v>#NUM!</v>
      </c>
    </row>
    <row r="70" spans="1:36" ht="15.75" x14ac:dyDescent="0.25">
      <c r="A70" s="2"/>
      <c r="B70" s="19" t="e">
        <f>MAX(_xll.xlBondValueDate(D70,$B$2),I70)</f>
        <v>#NUM!</v>
      </c>
      <c r="C70" s="20" t="e">
        <v>#N/A</v>
      </c>
      <c r="D70" s="86" t="e">
        <f t="array" ref="D70:N70">_xll.BondInfo(C70,$D$5:$N$5)</f>
        <v>#VALUE!</v>
      </c>
      <c r="E70" s="20" t="e">
        <v>#VALUE!</v>
      </c>
      <c r="F70" s="87" t="e">
        <v>#VALUE!</v>
      </c>
      <c r="G70" s="19" t="e">
        <v>#VALUE!</v>
      </c>
      <c r="H70" s="19" t="e">
        <v>#VALUE!</v>
      </c>
      <c r="I70" s="19" t="e">
        <v>#VALUE!</v>
      </c>
      <c r="J70" s="20" t="e">
        <v>#VALUE!</v>
      </c>
      <c r="K70" s="20" t="e">
        <v>#VALUE!</v>
      </c>
      <c r="L70" s="20" t="e">
        <v>#VALUE!</v>
      </c>
      <c r="M70" s="20" t="e">
        <v>#VALUE!</v>
      </c>
      <c r="N70" s="20" t="e">
        <v>#VALUE!</v>
      </c>
      <c r="O70" s="21" t="e">
        <f>_xll.BondOutstanding(C70)</f>
        <v>#VALUE!</v>
      </c>
      <c r="P70" s="25" t="e">
        <f>_xll.xlBondYieldSensCustom(D70,E70,F70,G70,H70,I70,J70,B70,Q70,$AM$2,$AN$2,$AO$2,$AP$2,$AQ$2,"y")</f>
        <v>#NUM!</v>
      </c>
      <c r="Q70" s="26" t="e">
        <f>_xll.RtGet("IDN",$K70,IF(OR($D70="BTP,$E11=""CTZ"),Q$5,Q$4))</f>
        <v>#VALUE!</v>
      </c>
      <c r="R70" s="27" t="e">
        <f>_xll.RtGet("IDN",$K70,IF(OR($D70="BTP,$E11=""CTZ"),R$5,R$4))</f>
        <v>#VALUE!</v>
      </c>
      <c r="S70" s="28" t="e">
        <f>_xll.xlBondYieldSensCustom(D70,E70,F70,G70,H70,I70,J70,B70,R70,$AM$2,$AN$2,$AO$2,$AP$2,$AQ$2,"y")</f>
        <v>#NUM!</v>
      </c>
      <c r="T70" s="23" t="e">
        <f t="shared" ref="T70:T80" si="8">AVERAGE(Q70:R70)</f>
        <v>#VALUE!</v>
      </c>
      <c r="U70" s="83" t="e">
        <f>_xll.xlBondYieldSensCustom(D70,E70,F70,G70,H70,I70,J70,B70,T70,$AM$2,$AN$2,$AO$2,$AP$2,$AQ$2,"y")</f>
        <v>#NUM!</v>
      </c>
      <c r="V70" s="23"/>
      <c r="W70" s="23" t="e">
        <f t="shared" ref="W70:W80" si="9">IF(ISNUMBER(V70),V70,T70)</f>
        <v>#VALUE!</v>
      </c>
      <c r="X70" s="22"/>
      <c r="Y70" s="22" t="e">
        <f t="shared" ref="Y70:Y80" si="10">IF(ISNUMBER(X70),X70,AH70)</f>
        <v>#NUM!</v>
      </c>
      <c r="Z70" s="23" t="e">
        <f>_xll.xlBondPriceCustom(D70,E70,F70,G70,H70,I70,J70,B70,Y70,$AM$2,$AN$2,$AO$2,$AP$2,$AQ$2)</f>
        <v>#NUM!</v>
      </c>
      <c r="AA70" s="20" t="e">
        <f t="array" ref="AA70:AG70">_xll.xlBondYieldSens(D70,E70,F70,G70,H70,I70,J70,B70,W70,$AA$5&amp;$AB$5&amp;$AC$5&amp;$AD$5&amp;$AE$5&amp;$AF$5&amp;$AG$5)</f>
        <v>#NUM!</v>
      </c>
      <c r="AB70" s="20" t="e">
        <v>#NUM!</v>
      </c>
      <c r="AC70" s="20" t="e">
        <v>#NUM!</v>
      </c>
      <c r="AD70" s="20" t="e">
        <v>#NUM!</v>
      </c>
      <c r="AE70" s="20" t="e">
        <v>#NUM!</v>
      </c>
      <c r="AF70" s="20" t="e">
        <v>#NUM!</v>
      </c>
      <c r="AG70" s="24" t="e">
        <v>#NUM!</v>
      </c>
      <c r="AH70" s="22" t="e">
        <f>_xll.xlBondYieldSensCustom(D70,E70,F70,G70,H70,I70,J70,B70,W70,$AM$2,$AN$2,$AO$2,$AP$2,$AQ$2,"y")</f>
        <v>#NUM!</v>
      </c>
      <c r="AI70" s="22" t="e">
        <f ca="1">IF(TRUE,_xll.xlShmInterpRateFwd("EONIA",_xll.xlDateSettle("target",$B$2,2),0,4,$F70),"")</f>
        <v>#NUM!</v>
      </c>
      <c r="AJ70" s="85" t="e">
        <f t="shared" ref="AJ70:AJ80" ca="1" si="11">$Y70-$AI70</f>
        <v>#NUM!</v>
      </c>
    </row>
    <row r="71" spans="1:36" ht="15.75" x14ac:dyDescent="0.25">
      <c r="A71" s="2"/>
      <c r="B71" s="19" t="e">
        <f>MAX(_xll.xlBondValueDate(D71,$B$2),I71)</f>
        <v>#NUM!</v>
      </c>
      <c r="C71" s="20" t="e">
        <v>#N/A</v>
      </c>
      <c r="D71" s="86" t="e">
        <f t="array" ref="D71:N71">_xll.BondInfo(C71,$D$5:$N$5)</f>
        <v>#VALUE!</v>
      </c>
      <c r="E71" s="20" t="e">
        <v>#VALUE!</v>
      </c>
      <c r="F71" s="87" t="e">
        <v>#VALUE!</v>
      </c>
      <c r="G71" s="19" t="e">
        <v>#VALUE!</v>
      </c>
      <c r="H71" s="19" t="e">
        <v>#VALUE!</v>
      </c>
      <c r="I71" s="19" t="e">
        <v>#VALUE!</v>
      </c>
      <c r="J71" s="20" t="e">
        <v>#VALUE!</v>
      </c>
      <c r="K71" s="20" t="e">
        <v>#VALUE!</v>
      </c>
      <c r="L71" s="20" t="e">
        <v>#VALUE!</v>
      </c>
      <c r="M71" s="20" t="e">
        <v>#VALUE!</v>
      </c>
      <c r="N71" s="20" t="e">
        <v>#VALUE!</v>
      </c>
      <c r="O71" s="21" t="e">
        <f>_xll.BondOutstanding(C71)</f>
        <v>#VALUE!</v>
      </c>
      <c r="P71" s="25" t="e">
        <f>_xll.xlBondYieldSensCustom(D71,E71,F71,G71,H71,I71,J71,B71,Q71,$AM$2,$AN$2,$AO$2,$AP$2,$AQ$2,"y")</f>
        <v>#NUM!</v>
      </c>
      <c r="Q71" s="26" t="e">
        <f>_xll.RtGet("IDN",$K71,IF(OR($D71="BTP,$E11=""CTZ"),Q$5,Q$4))</f>
        <v>#VALUE!</v>
      </c>
      <c r="R71" s="27" t="e">
        <f>_xll.RtGet("IDN",$K71,IF(OR($D71="BTP,$E11=""CTZ"),R$5,R$4))</f>
        <v>#VALUE!</v>
      </c>
      <c r="S71" s="28" t="e">
        <f>_xll.xlBondYieldSensCustom(D71,E71,F71,G71,H71,I71,J71,B71,R71,$AM$2,$AN$2,$AO$2,$AP$2,$AQ$2,"y")</f>
        <v>#NUM!</v>
      </c>
      <c r="T71" s="23" t="e">
        <f t="shared" si="8"/>
        <v>#VALUE!</v>
      </c>
      <c r="U71" s="83" t="e">
        <f>_xll.xlBondYieldSensCustom(D71,E71,F71,G71,H71,I71,J71,B71,T71,$AM$2,$AN$2,$AO$2,$AP$2,$AQ$2,"y")</f>
        <v>#NUM!</v>
      </c>
      <c r="V71" s="23"/>
      <c r="W71" s="23" t="e">
        <f t="shared" si="9"/>
        <v>#VALUE!</v>
      </c>
      <c r="X71" s="22"/>
      <c r="Y71" s="22" t="e">
        <f t="shared" si="10"/>
        <v>#NUM!</v>
      </c>
      <c r="Z71" s="23" t="e">
        <f>_xll.xlBondPriceCustom(D71,E71,F71,G71,H71,I71,J71,B71,Y71,$AM$2,$AN$2,$AO$2,$AP$2,$AQ$2)</f>
        <v>#NUM!</v>
      </c>
      <c r="AA71" s="20" t="e">
        <f t="array" ref="AA71:AG71">_xll.xlBondYieldSens(D71,E71,F71,G71,H71,I71,J71,B71,W71,$AA$5&amp;$AB$5&amp;$AC$5&amp;$AD$5&amp;$AE$5&amp;$AF$5&amp;$AG$5)</f>
        <v>#NUM!</v>
      </c>
      <c r="AB71" s="20" t="e">
        <v>#NUM!</v>
      </c>
      <c r="AC71" s="20" t="e">
        <v>#NUM!</v>
      </c>
      <c r="AD71" s="20" t="e">
        <v>#NUM!</v>
      </c>
      <c r="AE71" s="20" t="e">
        <v>#NUM!</v>
      </c>
      <c r="AF71" s="20" t="e">
        <v>#NUM!</v>
      </c>
      <c r="AG71" s="24" t="e">
        <v>#NUM!</v>
      </c>
      <c r="AH71" s="22" t="e">
        <f>_xll.xlBondYieldSensCustom(D71,E71,F71,G71,H71,I71,J71,B71,W71,$AM$2,$AN$2,$AO$2,$AP$2,$AQ$2,"y")</f>
        <v>#NUM!</v>
      </c>
      <c r="AI71" s="22" t="e">
        <f ca="1">IF(TRUE,_xll.xlShmInterpRateFwd("EONIA",_xll.xlDateSettle("target",$B$2,2),0,4,$F71),"")</f>
        <v>#NUM!</v>
      </c>
      <c r="AJ71" s="85" t="e">
        <f t="shared" ca="1" si="11"/>
        <v>#NUM!</v>
      </c>
    </row>
    <row r="72" spans="1:36" ht="15.75" x14ac:dyDescent="0.25">
      <c r="A72" s="2"/>
      <c r="B72" s="19" t="e">
        <f>MAX(_xll.xlBondValueDate(D72,$B$2),I72)</f>
        <v>#NUM!</v>
      </c>
      <c r="C72" s="20" t="e">
        <v>#N/A</v>
      </c>
      <c r="D72" s="86" t="e">
        <f t="array" ref="D72:N72">_xll.BondInfo(C72,$D$5:$N$5)</f>
        <v>#VALUE!</v>
      </c>
      <c r="E72" s="20" t="e">
        <v>#VALUE!</v>
      </c>
      <c r="F72" s="87" t="e">
        <v>#VALUE!</v>
      </c>
      <c r="G72" s="19" t="e">
        <v>#VALUE!</v>
      </c>
      <c r="H72" s="19" t="e">
        <v>#VALUE!</v>
      </c>
      <c r="I72" s="19" t="e">
        <v>#VALUE!</v>
      </c>
      <c r="J72" s="20" t="e">
        <v>#VALUE!</v>
      </c>
      <c r="K72" s="20" t="e">
        <v>#VALUE!</v>
      </c>
      <c r="L72" s="20" t="e">
        <v>#VALUE!</v>
      </c>
      <c r="M72" s="20" t="e">
        <v>#VALUE!</v>
      </c>
      <c r="N72" s="20" t="e">
        <v>#VALUE!</v>
      </c>
      <c r="O72" s="21" t="e">
        <f>_xll.BondOutstanding(C72)</f>
        <v>#VALUE!</v>
      </c>
      <c r="P72" s="25" t="e">
        <f>_xll.xlBondYieldSensCustom(D72,E72,F72,G72,H72,I72,J72,B72,Q72,$AM$2,$AN$2,$AO$2,$AP$2,$AQ$2,"y")</f>
        <v>#NUM!</v>
      </c>
      <c r="Q72" s="26" t="e">
        <f>_xll.RtGet("IDN",$K72,IF(OR($D72="BTP,$E11=""CTZ"),Q$5,Q$4))</f>
        <v>#VALUE!</v>
      </c>
      <c r="R72" s="27" t="e">
        <f>_xll.RtGet("IDN",$K72,IF(OR($D72="BTP,$E11=""CTZ"),R$5,R$4))</f>
        <v>#VALUE!</v>
      </c>
      <c r="S72" s="28" t="e">
        <f>_xll.xlBondYieldSensCustom(D72,E72,F72,G72,H72,I72,J72,B72,R72,$AM$2,$AN$2,$AO$2,$AP$2,$AQ$2,"y")</f>
        <v>#NUM!</v>
      </c>
      <c r="T72" s="23" t="e">
        <f t="shared" si="8"/>
        <v>#VALUE!</v>
      </c>
      <c r="U72" s="83" t="e">
        <f>_xll.xlBondYieldSensCustom(D72,E72,F72,G72,H72,I72,J72,B72,T72,$AM$2,$AN$2,$AO$2,$AP$2,$AQ$2,"y")</f>
        <v>#NUM!</v>
      </c>
      <c r="V72" s="23"/>
      <c r="W72" s="23" t="e">
        <f t="shared" si="9"/>
        <v>#VALUE!</v>
      </c>
      <c r="X72" s="22"/>
      <c r="Y72" s="22" t="e">
        <f t="shared" si="10"/>
        <v>#NUM!</v>
      </c>
      <c r="Z72" s="23" t="e">
        <f>_xll.xlBondPriceCustom(D72,E72,F72,G72,H72,I72,J72,B72,Y72,$AM$2,$AN$2,$AO$2,$AP$2,$AQ$2)</f>
        <v>#NUM!</v>
      </c>
      <c r="AA72" s="20" t="e">
        <f t="array" ref="AA72:AG72">_xll.xlBondYieldSens(D72,E72,F72,G72,H72,I72,J72,B72,W72,$AA$5&amp;$AB$5&amp;$AC$5&amp;$AD$5&amp;$AE$5&amp;$AF$5&amp;$AG$5)</f>
        <v>#NUM!</v>
      </c>
      <c r="AB72" s="20" t="e">
        <v>#NUM!</v>
      </c>
      <c r="AC72" s="20" t="e">
        <v>#NUM!</v>
      </c>
      <c r="AD72" s="20" t="e">
        <v>#NUM!</v>
      </c>
      <c r="AE72" s="20" t="e">
        <v>#NUM!</v>
      </c>
      <c r="AF72" s="20" t="e">
        <v>#NUM!</v>
      </c>
      <c r="AG72" s="24" t="e">
        <v>#NUM!</v>
      </c>
      <c r="AH72" s="22" t="e">
        <f>_xll.xlBondYieldSensCustom(D72,E72,F72,G72,H72,I72,J72,B72,W72,$AM$2,$AN$2,$AO$2,$AP$2,$AQ$2,"y")</f>
        <v>#NUM!</v>
      </c>
      <c r="AI72" s="22"/>
      <c r="AJ72" s="85" t="e">
        <f t="shared" si="11"/>
        <v>#NUM!</v>
      </c>
    </row>
    <row r="73" spans="1:36" ht="15.75" x14ac:dyDescent="0.25">
      <c r="A73" s="2"/>
      <c r="B73" s="19" t="e">
        <f>MAX(_xll.xlBondValueDate(D73,$B$2),I73)</f>
        <v>#NUM!</v>
      </c>
      <c r="C73" s="20" t="e">
        <v>#N/A</v>
      </c>
      <c r="D73" s="86" t="e">
        <f t="array" ref="D73:N73">_xll.BondInfo(C73,$D$5:$N$5)</f>
        <v>#VALUE!</v>
      </c>
      <c r="E73" s="20" t="e">
        <v>#VALUE!</v>
      </c>
      <c r="F73" s="87" t="e">
        <v>#VALUE!</v>
      </c>
      <c r="G73" s="19" t="e">
        <v>#VALUE!</v>
      </c>
      <c r="H73" s="19" t="e">
        <v>#VALUE!</v>
      </c>
      <c r="I73" s="19" t="e">
        <v>#VALUE!</v>
      </c>
      <c r="J73" s="20" t="e">
        <v>#VALUE!</v>
      </c>
      <c r="K73" s="20" t="e">
        <v>#VALUE!</v>
      </c>
      <c r="L73" s="20" t="e">
        <v>#VALUE!</v>
      </c>
      <c r="M73" s="20" t="e">
        <v>#VALUE!</v>
      </c>
      <c r="N73" s="20" t="e">
        <v>#VALUE!</v>
      </c>
      <c r="O73" s="21" t="e">
        <f>_xll.BondOutstanding(C73)</f>
        <v>#VALUE!</v>
      </c>
      <c r="P73" s="25" t="e">
        <f>_xll.xlBondYieldSensCustom(D73,E73,F73,G73,H73,I73,J73,B73,Q73,$AM$2,$AN$2,$AO$2,$AP$2,$AQ$2,"y")</f>
        <v>#NUM!</v>
      </c>
      <c r="Q73" s="26" t="e">
        <f>_xll.RtGet("IDN",$K73,IF(OR($D73="BTP,$E11=""CTZ"),Q$5,Q$4))</f>
        <v>#VALUE!</v>
      </c>
      <c r="R73" s="27" t="e">
        <f>_xll.RtGet("IDN",$K73,IF(OR($D73="BTP,$E11=""CTZ"),R$5,R$4))</f>
        <v>#VALUE!</v>
      </c>
      <c r="S73" s="28" t="e">
        <f>_xll.xlBondYieldSensCustom(D73,E73,F73,G73,H73,I73,J73,B73,R73,$AM$2,$AN$2,$AO$2,$AP$2,$AQ$2,"y")</f>
        <v>#NUM!</v>
      </c>
      <c r="T73" s="23" t="e">
        <f t="shared" si="8"/>
        <v>#VALUE!</v>
      </c>
      <c r="U73" s="83" t="e">
        <f>_xll.xlBondYieldSensCustom(D73,E73,F73,G73,H73,I73,J73,B73,T73,$AM$2,$AN$2,$AO$2,$AP$2,$AQ$2,"y")</f>
        <v>#NUM!</v>
      </c>
      <c r="V73" s="23"/>
      <c r="W73" s="23" t="e">
        <f t="shared" si="9"/>
        <v>#VALUE!</v>
      </c>
      <c r="X73" s="22"/>
      <c r="Y73" s="22" t="e">
        <f t="shared" si="10"/>
        <v>#NUM!</v>
      </c>
      <c r="Z73" s="23" t="e">
        <f>_xll.xlBondPriceCustom(D73,E73,F73,G73,H73,I73,J73,B73,Y73,$AM$2,$AN$2,$AO$2,$AP$2,$AQ$2)</f>
        <v>#NUM!</v>
      </c>
      <c r="AA73" s="20" t="e">
        <f t="array" ref="AA73:AG73">_xll.xlBondYieldSens(D73,E73,F73,G73,H73,I73,J73,B73,W73,$AA$5&amp;$AB$5&amp;$AC$5&amp;$AD$5&amp;$AE$5&amp;$AF$5&amp;$AG$5)</f>
        <v>#NUM!</v>
      </c>
      <c r="AB73" s="20" t="e">
        <v>#NUM!</v>
      </c>
      <c r="AC73" s="20" t="e">
        <v>#NUM!</v>
      </c>
      <c r="AD73" s="20" t="e">
        <v>#NUM!</v>
      </c>
      <c r="AE73" s="20" t="e">
        <v>#NUM!</v>
      </c>
      <c r="AF73" s="20" t="e">
        <v>#NUM!</v>
      </c>
      <c r="AG73" s="24" t="e">
        <v>#NUM!</v>
      </c>
      <c r="AH73" s="22" t="e">
        <f>_xll.xlBondYieldSensCustom(D73,E73,F73,G73,H73,I73,J73,B73,W73,$AM$2,$AN$2,$AO$2,$AP$2,$AQ$2,"y")</f>
        <v>#NUM!</v>
      </c>
      <c r="AI73" s="22"/>
      <c r="AJ73" s="85" t="e">
        <f t="shared" si="11"/>
        <v>#NUM!</v>
      </c>
    </row>
    <row r="74" spans="1:36" ht="15.75" x14ac:dyDescent="0.25">
      <c r="A74" s="2"/>
      <c r="B74" s="19" t="e">
        <f>MAX(_xll.xlBondValueDate(D74,$B$2),I74)</f>
        <v>#NUM!</v>
      </c>
      <c r="C74" s="20" t="e">
        <v>#N/A</v>
      </c>
      <c r="D74" s="86" t="e">
        <f t="array" ref="D74:N74">_xll.BondInfo(C74,$D$5:$N$5)</f>
        <v>#VALUE!</v>
      </c>
      <c r="E74" s="20" t="e">
        <v>#VALUE!</v>
      </c>
      <c r="F74" s="87" t="e">
        <v>#VALUE!</v>
      </c>
      <c r="G74" s="19" t="e">
        <v>#VALUE!</v>
      </c>
      <c r="H74" s="19" t="e">
        <v>#VALUE!</v>
      </c>
      <c r="I74" s="19" t="e">
        <v>#VALUE!</v>
      </c>
      <c r="J74" s="20" t="e">
        <v>#VALUE!</v>
      </c>
      <c r="K74" s="20" t="e">
        <v>#VALUE!</v>
      </c>
      <c r="L74" s="20" t="e">
        <v>#VALUE!</v>
      </c>
      <c r="M74" s="20" t="e">
        <v>#VALUE!</v>
      </c>
      <c r="N74" s="20" t="e">
        <v>#VALUE!</v>
      </c>
      <c r="O74" s="21" t="e">
        <f>_xll.BondOutstanding(C74)</f>
        <v>#VALUE!</v>
      </c>
      <c r="P74" s="25" t="e">
        <f>_xll.xlBondYieldSensCustom(D74,E74,F74,G74,H74,I74,J74,B74,Q74,$AM$2,$AN$2,$AO$2,$AP$2,$AQ$2,"y")</f>
        <v>#NUM!</v>
      </c>
      <c r="Q74" s="26" t="e">
        <f>_xll.RtGet("IDN",$K74,IF(OR($D74="BTP,$E11=""CTZ"),Q$5,Q$4))</f>
        <v>#VALUE!</v>
      </c>
      <c r="R74" s="27" t="e">
        <f>_xll.RtGet("IDN",$K74,IF(OR($D74="BTP,$E11=""CTZ"),R$5,R$4))</f>
        <v>#VALUE!</v>
      </c>
      <c r="S74" s="28" t="e">
        <f>_xll.xlBondYieldSensCustom(D74,E74,F74,G74,H74,I74,J74,B74,R74,$AM$2,$AN$2,$AO$2,$AP$2,$AQ$2,"y")</f>
        <v>#NUM!</v>
      </c>
      <c r="T74" s="23" t="e">
        <f t="shared" si="8"/>
        <v>#VALUE!</v>
      </c>
      <c r="U74" s="83" t="e">
        <f>_xll.xlBondYieldSensCustom(D74,E74,F74,G74,H74,I74,J74,B74,T74,$AM$2,$AN$2,$AO$2,$AP$2,$AQ$2,"y")</f>
        <v>#NUM!</v>
      </c>
      <c r="V74" s="23"/>
      <c r="W74" s="23" t="e">
        <f t="shared" si="9"/>
        <v>#VALUE!</v>
      </c>
      <c r="X74" s="22"/>
      <c r="Y74" s="22" t="e">
        <f t="shared" si="10"/>
        <v>#NUM!</v>
      </c>
      <c r="Z74" s="23" t="e">
        <f>_xll.xlBondPriceCustom(D74,E74,F74,G74,H74,I74,J74,B74,Y74,$AM$2,$AN$2,$AO$2,$AP$2,$AQ$2)</f>
        <v>#NUM!</v>
      </c>
      <c r="AA74" s="20" t="e">
        <f t="array" ref="AA74:AG74">_xll.xlBondYieldSens(D74,E74,F74,G74,H74,I74,J74,B74,W74,$AA$5&amp;$AB$5&amp;$AC$5&amp;$AD$5&amp;$AE$5&amp;$AF$5&amp;$AG$5)</f>
        <v>#NUM!</v>
      </c>
      <c r="AB74" s="20" t="e">
        <v>#NUM!</v>
      </c>
      <c r="AC74" s="20" t="e">
        <v>#NUM!</v>
      </c>
      <c r="AD74" s="20" t="e">
        <v>#NUM!</v>
      </c>
      <c r="AE74" s="20" t="e">
        <v>#NUM!</v>
      </c>
      <c r="AF74" s="20" t="e">
        <v>#NUM!</v>
      </c>
      <c r="AG74" s="24" t="e">
        <v>#NUM!</v>
      </c>
      <c r="AH74" s="22" t="e">
        <f>_xll.xlBondYieldSensCustom(D74,E74,F74,G74,H74,I74,J74,B74,W74,$AM$2,$AN$2,$AO$2,$AP$2,$AQ$2,"y")</f>
        <v>#NUM!</v>
      </c>
      <c r="AI74" s="22"/>
      <c r="AJ74" s="85" t="e">
        <f t="shared" si="11"/>
        <v>#NUM!</v>
      </c>
    </row>
    <row r="75" spans="1:36" ht="15.75" x14ac:dyDescent="0.25">
      <c r="A75" s="2"/>
      <c r="B75" s="19" t="e">
        <f>MAX(_xll.xlBondValueDate(D75,$B$2),I75)</f>
        <v>#NUM!</v>
      </c>
      <c r="C75" s="20" t="e">
        <v>#N/A</v>
      </c>
      <c r="D75" s="86" t="e">
        <f t="array" ref="D75:N75">_xll.BondInfo(C75,$D$5:$N$5)</f>
        <v>#VALUE!</v>
      </c>
      <c r="E75" s="20" t="e">
        <v>#VALUE!</v>
      </c>
      <c r="F75" s="87" t="e">
        <v>#VALUE!</v>
      </c>
      <c r="G75" s="19" t="e">
        <v>#VALUE!</v>
      </c>
      <c r="H75" s="19" t="e">
        <v>#VALUE!</v>
      </c>
      <c r="I75" s="19" t="e">
        <v>#VALUE!</v>
      </c>
      <c r="J75" s="20" t="e">
        <v>#VALUE!</v>
      </c>
      <c r="K75" s="20" t="e">
        <v>#VALUE!</v>
      </c>
      <c r="L75" s="20" t="e">
        <v>#VALUE!</v>
      </c>
      <c r="M75" s="20" t="e">
        <v>#VALUE!</v>
      </c>
      <c r="N75" s="20" t="e">
        <v>#VALUE!</v>
      </c>
      <c r="O75" s="21" t="e">
        <f>_xll.BondOutstanding(C75)</f>
        <v>#VALUE!</v>
      </c>
      <c r="P75" s="25" t="e">
        <f>_xll.xlBondYieldSensCustom(D75,E75,F75,G75,H75,I75,J75,B75,Q75,$AM$2,$AN$2,$AO$2,$AP$2,$AQ$2,"y")</f>
        <v>#NUM!</v>
      </c>
      <c r="Q75" s="26" t="e">
        <f>_xll.RtGet("IDN",$K75,IF(OR($D75="BTP,$E11=""CTZ"),Q$5,Q$4))</f>
        <v>#VALUE!</v>
      </c>
      <c r="R75" s="27" t="e">
        <f>_xll.RtGet("IDN",$K75,IF(OR($D75="BTP,$E11=""CTZ"),R$5,R$4))</f>
        <v>#VALUE!</v>
      </c>
      <c r="S75" s="28" t="e">
        <f>_xll.xlBondYieldSensCustom(D75,E75,F75,G75,H75,I75,J75,B75,R75,$AM$2,$AN$2,$AO$2,$AP$2,$AQ$2,"y")</f>
        <v>#NUM!</v>
      </c>
      <c r="T75" s="23" t="e">
        <f t="shared" si="8"/>
        <v>#VALUE!</v>
      </c>
      <c r="U75" s="83" t="e">
        <f>_xll.xlBondYieldSensCustom(D75,E75,F75,G75,H75,I75,J75,B75,T75,$AM$2,$AN$2,$AO$2,$AP$2,$AQ$2,"y")</f>
        <v>#NUM!</v>
      </c>
      <c r="V75" s="23"/>
      <c r="W75" s="23" t="e">
        <f t="shared" si="9"/>
        <v>#VALUE!</v>
      </c>
      <c r="X75" s="22"/>
      <c r="Y75" s="22" t="e">
        <f t="shared" si="10"/>
        <v>#NUM!</v>
      </c>
      <c r="Z75" s="23" t="e">
        <f>_xll.xlBondPriceCustom(D75,E75,F75,G75,H75,I75,J75,B75,Y75,$AM$2,$AN$2,$AO$2,$AP$2,$AQ$2)</f>
        <v>#NUM!</v>
      </c>
      <c r="AA75" s="20" t="e">
        <f t="array" ref="AA75:AG75">_xll.xlBondYieldSens(D75,E75,F75,G75,H75,I75,J75,B75,W75,$AA$5&amp;$AB$5&amp;$AC$5&amp;$AD$5&amp;$AE$5&amp;$AF$5&amp;$AG$5)</f>
        <v>#NUM!</v>
      </c>
      <c r="AB75" s="20" t="e">
        <v>#NUM!</v>
      </c>
      <c r="AC75" s="20" t="e">
        <v>#NUM!</v>
      </c>
      <c r="AD75" s="20" t="e">
        <v>#NUM!</v>
      </c>
      <c r="AE75" s="20" t="e">
        <v>#NUM!</v>
      </c>
      <c r="AF75" s="20" t="e">
        <v>#NUM!</v>
      </c>
      <c r="AG75" s="24" t="e">
        <v>#NUM!</v>
      </c>
      <c r="AH75" s="22" t="e">
        <f>_xll.xlBondYieldSensCustom(D75,E75,F75,G75,H75,I75,J75,B75,W75,$AM$2,$AN$2,$AO$2,$AP$2,$AQ$2,"y")</f>
        <v>#NUM!</v>
      </c>
      <c r="AI75" s="22"/>
      <c r="AJ75" s="85" t="e">
        <f t="shared" si="11"/>
        <v>#NUM!</v>
      </c>
    </row>
    <row r="76" spans="1:36" ht="15.75" x14ac:dyDescent="0.25">
      <c r="A76" s="2"/>
      <c r="B76" s="19" t="e">
        <f>MAX(_xll.xlBondValueDate(D76,$B$2),I76)</f>
        <v>#NUM!</v>
      </c>
      <c r="C76" s="20" t="e">
        <v>#N/A</v>
      </c>
      <c r="D76" s="86" t="e">
        <f t="array" ref="D76:N76">_xll.BondInfo(C76,$D$5:$N$5)</f>
        <v>#VALUE!</v>
      </c>
      <c r="E76" s="20" t="e">
        <v>#VALUE!</v>
      </c>
      <c r="F76" s="87" t="e">
        <v>#VALUE!</v>
      </c>
      <c r="G76" s="19" t="e">
        <v>#VALUE!</v>
      </c>
      <c r="H76" s="19" t="e">
        <v>#VALUE!</v>
      </c>
      <c r="I76" s="19" t="e">
        <v>#VALUE!</v>
      </c>
      <c r="J76" s="20" t="e">
        <v>#VALUE!</v>
      </c>
      <c r="K76" s="20" t="e">
        <v>#VALUE!</v>
      </c>
      <c r="L76" s="20" t="e">
        <v>#VALUE!</v>
      </c>
      <c r="M76" s="20" t="e">
        <v>#VALUE!</v>
      </c>
      <c r="N76" s="20" t="e">
        <v>#VALUE!</v>
      </c>
      <c r="O76" s="21" t="e">
        <f>_xll.BondOutstanding(C76)</f>
        <v>#VALUE!</v>
      </c>
      <c r="P76" s="25" t="e">
        <f>_xll.xlBondYieldSensCustom(D76,E76,F76,G76,H76,I76,J76,B76,Q76,$AM$2,$AN$2,$AO$2,$AP$2,$AQ$2,"y")</f>
        <v>#NUM!</v>
      </c>
      <c r="Q76" s="26" t="e">
        <f>_xll.RtGet("IDN",$K76,IF(OR($D76="BTP,$E11=""CTZ"),Q$5,Q$4))</f>
        <v>#VALUE!</v>
      </c>
      <c r="R76" s="27" t="e">
        <f>_xll.RtGet("IDN",$K76,IF(OR($D76="BTP,$E11=""CTZ"),R$5,R$4))</f>
        <v>#VALUE!</v>
      </c>
      <c r="S76" s="28" t="e">
        <f>_xll.xlBondYieldSensCustom(D76,E76,F76,G76,H76,I76,J76,B76,R76,$AM$2,$AN$2,$AO$2,$AP$2,$AQ$2,"y")</f>
        <v>#NUM!</v>
      </c>
      <c r="T76" s="23" t="e">
        <f t="shared" si="8"/>
        <v>#VALUE!</v>
      </c>
      <c r="U76" s="83" t="e">
        <f>_xll.xlBondYieldSensCustom(D76,E76,F76,G76,H76,I76,J76,B76,T76,$AM$2,$AN$2,$AO$2,$AP$2,$AQ$2,"y")</f>
        <v>#NUM!</v>
      </c>
      <c r="V76" s="23"/>
      <c r="W76" s="23" t="e">
        <f t="shared" si="9"/>
        <v>#VALUE!</v>
      </c>
      <c r="X76" s="22"/>
      <c r="Y76" s="22" t="e">
        <f t="shared" si="10"/>
        <v>#NUM!</v>
      </c>
      <c r="Z76" s="23" t="e">
        <f>_xll.xlBondPriceCustom(D76,E76,F76,G76,H76,I76,J76,B76,Y76,$AM$2,$AN$2,$AO$2,$AP$2,$AQ$2)</f>
        <v>#NUM!</v>
      </c>
      <c r="AA76" s="20" t="e">
        <f t="array" ref="AA76:AG76">_xll.xlBondYieldSens(D76,E76,F76,G76,H76,I76,J76,B76,W76,$AA$5&amp;$AB$5&amp;$AC$5&amp;$AD$5&amp;$AE$5&amp;$AF$5&amp;$AG$5)</f>
        <v>#NUM!</v>
      </c>
      <c r="AB76" s="20" t="e">
        <v>#NUM!</v>
      </c>
      <c r="AC76" s="20" t="e">
        <v>#NUM!</v>
      </c>
      <c r="AD76" s="20" t="e">
        <v>#NUM!</v>
      </c>
      <c r="AE76" s="20" t="e">
        <v>#NUM!</v>
      </c>
      <c r="AF76" s="20" t="e">
        <v>#NUM!</v>
      </c>
      <c r="AG76" s="24" t="e">
        <v>#NUM!</v>
      </c>
      <c r="AH76" s="22" t="e">
        <f>_xll.xlBondYieldSensCustom(D76,E76,F76,G76,H76,I76,J76,B76,W76,$AM$2,$AN$2,$AO$2,$AP$2,$AQ$2,"y")</f>
        <v>#NUM!</v>
      </c>
      <c r="AI76" s="22"/>
      <c r="AJ76" s="85" t="e">
        <f t="shared" si="11"/>
        <v>#NUM!</v>
      </c>
    </row>
    <row r="77" spans="1:36" ht="15.75" x14ac:dyDescent="0.25">
      <c r="A77" s="2"/>
      <c r="B77" s="19" t="e">
        <f>MAX(_xll.xlBondValueDate(D77,$B$2),I77)</f>
        <v>#NUM!</v>
      </c>
      <c r="C77" s="20" t="e">
        <v>#N/A</v>
      </c>
      <c r="D77" s="86" t="e">
        <f t="array" ref="D77:N77">_xll.BondInfo(C77,$D$5:$N$5)</f>
        <v>#VALUE!</v>
      </c>
      <c r="E77" s="20" t="e">
        <v>#VALUE!</v>
      </c>
      <c r="F77" s="87" t="e">
        <v>#VALUE!</v>
      </c>
      <c r="G77" s="19" t="e">
        <v>#VALUE!</v>
      </c>
      <c r="H77" s="19" t="e">
        <v>#VALUE!</v>
      </c>
      <c r="I77" s="19" t="e">
        <v>#VALUE!</v>
      </c>
      <c r="J77" s="20" t="e">
        <v>#VALUE!</v>
      </c>
      <c r="K77" s="20" t="e">
        <v>#VALUE!</v>
      </c>
      <c r="L77" s="20" t="e">
        <v>#VALUE!</v>
      </c>
      <c r="M77" s="20" t="e">
        <v>#VALUE!</v>
      </c>
      <c r="N77" s="20" t="e">
        <v>#VALUE!</v>
      </c>
      <c r="O77" s="21" t="e">
        <f>_xll.BondOutstanding(C77)</f>
        <v>#VALUE!</v>
      </c>
      <c r="P77" s="25" t="e">
        <f>_xll.xlBondYieldSensCustom(D77,E77,F77,G77,H77,I77,J77,B77,Q77,$AM$2,$AN$2,$AO$2,$AP$2,$AQ$2,"y")</f>
        <v>#NUM!</v>
      </c>
      <c r="Q77" s="26" t="e">
        <f>_xll.RtGet("IDN",$K77,IF(OR($D77="BTP,$E11=""CTZ"),Q$5,Q$4))</f>
        <v>#VALUE!</v>
      </c>
      <c r="R77" s="27" t="e">
        <f>_xll.RtGet("IDN",$K77,IF(OR($D77="BTP,$E11=""CTZ"),R$5,R$4))</f>
        <v>#VALUE!</v>
      </c>
      <c r="S77" s="28" t="e">
        <f>_xll.xlBondYieldSensCustom(D77,E77,F77,G77,H77,I77,J77,B77,R77,$AM$2,$AN$2,$AO$2,$AP$2,$AQ$2,"y")</f>
        <v>#NUM!</v>
      </c>
      <c r="T77" s="23" t="e">
        <f t="shared" si="8"/>
        <v>#VALUE!</v>
      </c>
      <c r="U77" s="83" t="e">
        <f>_xll.xlBondYieldSensCustom(D77,E77,F77,G77,H77,I77,J77,B77,T77,$AM$2,$AN$2,$AO$2,$AP$2,$AQ$2,"y")</f>
        <v>#NUM!</v>
      </c>
      <c r="V77" s="23"/>
      <c r="W77" s="23" t="e">
        <f t="shared" si="9"/>
        <v>#VALUE!</v>
      </c>
      <c r="X77" s="22"/>
      <c r="Y77" s="22" t="e">
        <f t="shared" si="10"/>
        <v>#NUM!</v>
      </c>
      <c r="Z77" s="23" t="e">
        <f>_xll.xlBondPriceCustom(D77,E77,F77,G77,H77,I77,J77,B77,Y77,$AM$2,$AN$2,$AO$2,$AP$2,$AQ$2)</f>
        <v>#NUM!</v>
      </c>
      <c r="AA77" s="20" t="e">
        <f t="array" ref="AA77:AG77">_xll.xlBondYieldSens(D77,E77,F77,G77,H77,I77,J77,B77,W77,$AA$5&amp;$AB$5&amp;$AC$5&amp;$AD$5&amp;$AE$5&amp;$AF$5&amp;$AG$5)</f>
        <v>#NUM!</v>
      </c>
      <c r="AB77" s="20" t="e">
        <v>#NUM!</v>
      </c>
      <c r="AC77" s="20" t="e">
        <v>#NUM!</v>
      </c>
      <c r="AD77" s="20" t="e">
        <v>#NUM!</v>
      </c>
      <c r="AE77" s="20" t="e">
        <v>#NUM!</v>
      </c>
      <c r="AF77" s="20" t="e">
        <v>#NUM!</v>
      </c>
      <c r="AG77" s="24" t="e">
        <v>#NUM!</v>
      </c>
      <c r="AH77" s="22" t="e">
        <f>_xll.xlBondYieldSensCustom(D77,E77,F77,G77,H77,I77,J77,B77,W77,$AM$2,$AN$2,$AO$2,$AP$2,$AQ$2,"y")</f>
        <v>#NUM!</v>
      </c>
      <c r="AI77" s="22"/>
      <c r="AJ77" s="85" t="e">
        <f t="shared" si="11"/>
        <v>#NUM!</v>
      </c>
    </row>
    <row r="78" spans="1:36" ht="15.75" x14ac:dyDescent="0.25">
      <c r="A78" s="2"/>
      <c r="B78" s="19" t="e">
        <f>MAX(_xll.xlBondValueDate(D78,$B$2),I78)</f>
        <v>#NUM!</v>
      </c>
      <c r="C78" s="20" t="e">
        <v>#N/A</v>
      </c>
      <c r="D78" s="86" t="e">
        <f t="array" ref="D78:N78">_xll.BondInfo(C78,$D$5:$N$5)</f>
        <v>#VALUE!</v>
      </c>
      <c r="E78" s="20" t="e">
        <v>#VALUE!</v>
      </c>
      <c r="F78" s="87" t="e">
        <v>#VALUE!</v>
      </c>
      <c r="G78" s="19" t="e">
        <v>#VALUE!</v>
      </c>
      <c r="H78" s="19" t="e">
        <v>#VALUE!</v>
      </c>
      <c r="I78" s="19" t="e">
        <v>#VALUE!</v>
      </c>
      <c r="J78" s="20" t="e">
        <v>#VALUE!</v>
      </c>
      <c r="K78" s="20" t="e">
        <v>#VALUE!</v>
      </c>
      <c r="L78" s="20" t="e">
        <v>#VALUE!</v>
      </c>
      <c r="M78" s="20" t="e">
        <v>#VALUE!</v>
      </c>
      <c r="N78" s="20" t="e">
        <v>#VALUE!</v>
      </c>
      <c r="O78" s="21" t="e">
        <f>_xll.BondOutstanding(C78)</f>
        <v>#VALUE!</v>
      </c>
      <c r="P78" s="25" t="e">
        <f>_xll.xlBondYieldSensCustom(D78,E78,F78,G78,H78,I78,J78,B78,Q78,$AM$2,$AN$2,$AO$2,$AP$2,$AQ$2,"y")</f>
        <v>#NUM!</v>
      </c>
      <c r="Q78" s="26" t="e">
        <f>_xll.RtGet("IDN",$K78,IF(OR($D78="BTP,$E11=""CTZ"),Q$5,Q$4))</f>
        <v>#VALUE!</v>
      </c>
      <c r="R78" s="27" t="e">
        <f>_xll.RtGet("IDN",$K78,IF(OR($D78="BTP,$E11=""CTZ"),R$5,R$4))</f>
        <v>#VALUE!</v>
      </c>
      <c r="S78" s="28" t="e">
        <f>_xll.xlBondYieldSensCustom(D78,E78,F78,G78,H78,I78,J78,B78,R78,$AM$2,$AN$2,$AO$2,$AP$2,$AQ$2,"y")</f>
        <v>#NUM!</v>
      </c>
      <c r="T78" s="23" t="e">
        <f t="shared" si="8"/>
        <v>#VALUE!</v>
      </c>
      <c r="U78" s="83" t="e">
        <f>_xll.xlBondYieldSensCustom(D78,E78,F78,G78,H78,I78,J78,B78,T78,$AM$2,$AN$2,$AO$2,$AP$2,$AQ$2,"y")</f>
        <v>#NUM!</v>
      </c>
      <c r="V78" s="23"/>
      <c r="W78" s="23" t="e">
        <f t="shared" si="9"/>
        <v>#VALUE!</v>
      </c>
      <c r="X78" s="22"/>
      <c r="Y78" s="22" t="e">
        <f t="shared" si="10"/>
        <v>#NUM!</v>
      </c>
      <c r="Z78" s="23" t="e">
        <f>_xll.xlBondPriceCustom(D78,E78,F78,G78,H78,I78,J78,B78,Y78,$AM$2,$AN$2,$AO$2,$AP$2,$AQ$2)</f>
        <v>#NUM!</v>
      </c>
      <c r="AA78" s="20" t="e">
        <f t="array" ref="AA78:AG78">_xll.xlBondYieldSens(D78,E78,F78,G78,H78,I78,J78,B78,W78,$AA$5&amp;$AB$5&amp;$AC$5&amp;$AD$5&amp;$AE$5&amp;$AF$5&amp;$AG$5)</f>
        <v>#NUM!</v>
      </c>
      <c r="AB78" s="20" t="e">
        <v>#NUM!</v>
      </c>
      <c r="AC78" s="20" t="e">
        <v>#NUM!</v>
      </c>
      <c r="AD78" s="20" t="e">
        <v>#NUM!</v>
      </c>
      <c r="AE78" s="20" t="e">
        <v>#NUM!</v>
      </c>
      <c r="AF78" s="20" t="e">
        <v>#NUM!</v>
      </c>
      <c r="AG78" s="24" t="e">
        <v>#NUM!</v>
      </c>
      <c r="AH78" s="22" t="e">
        <f>_xll.xlBondYieldSensCustom(D78,E78,F78,G78,H78,I78,J78,B78,W78,$AM$2,$AN$2,$AO$2,$AP$2,$AQ$2,"y")</f>
        <v>#NUM!</v>
      </c>
      <c r="AI78" s="22"/>
      <c r="AJ78" s="85" t="e">
        <f t="shared" si="11"/>
        <v>#NUM!</v>
      </c>
    </row>
    <row r="79" spans="1:36" ht="15.75" x14ac:dyDescent="0.25">
      <c r="A79" s="2"/>
      <c r="B79" s="19" t="e">
        <f>MAX(_xll.xlBondValueDate(D79,$B$2),I79)</f>
        <v>#NUM!</v>
      </c>
      <c r="C79" s="20" t="e">
        <v>#N/A</v>
      </c>
      <c r="D79" s="86" t="e">
        <f t="array" ref="D79:N79">_xll.BondInfo(C79,$D$5:$N$5)</f>
        <v>#VALUE!</v>
      </c>
      <c r="E79" s="20" t="e">
        <v>#VALUE!</v>
      </c>
      <c r="F79" s="87" t="e">
        <v>#VALUE!</v>
      </c>
      <c r="G79" s="19" t="e">
        <v>#VALUE!</v>
      </c>
      <c r="H79" s="19" t="e">
        <v>#VALUE!</v>
      </c>
      <c r="I79" s="19" t="e">
        <v>#VALUE!</v>
      </c>
      <c r="J79" s="20" t="e">
        <v>#VALUE!</v>
      </c>
      <c r="K79" s="20" t="e">
        <v>#VALUE!</v>
      </c>
      <c r="L79" s="20" t="e">
        <v>#VALUE!</v>
      </c>
      <c r="M79" s="20" t="e">
        <v>#VALUE!</v>
      </c>
      <c r="N79" s="20" t="e">
        <v>#VALUE!</v>
      </c>
      <c r="O79" s="21" t="e">
        <f>_xll.BondOutstanding(C79)</f>
        <v>#VALUE!</v>
      </c>
      <c r="P79" s="25" t="e">
        <f>_xll.xlBondYieldSensCustom(D79,E79,F79,G79,H79,I79,J79,B79,Q79,$AM$2,$AN$2,$AO$2,$AP$2,$AQ$2,"y")</f>
        <v>#NUM!</v>
      </c>
      <c r="Q79" s="26" t="e">
        <f>_xll.RtGet("IDN",$K79,IF(OR($D79="BTP,$E11=""CTZ"),Q$5,Q$4))</f>
        <v>#VALUE!</v>
      </c>
      <c r="R79" s="27" t="e">
        <f>_xll.RtGet("IDN",$K79,IF(OR($D79="BTP,$E11=""CTZ"),R$5,R$4))</f>
        <v>#VALUE!</v>
      </c>
      <c r="S79" s="28" t="e">
        <f>_xll.xlBondYieldSensCustom(D79,E79,F79,G79,H79,I79,J79,B79,R79,$AM$2,$AN$2,$AO$2,$AP$2,$AQ$2,"y")</f>
        <v>#NUM!</v>
      </c>
      <c r="T79" s="23" t="e">
        <f t="shared" si="8"/>
        <v>#VALUE!</v>
      </c>
      <c r="U79" s="83" t="e">
        <f>_xll.xlBondYieldSensCustom(D79,E79,F79,G79,H79,I79,J79,B79,T79,$AM$2,$AN$2,$AO$2,$AP$2,$AQ$2,"y")</f>
        <v>#NUM!</v>
      </c>
      <c r="V79" s="23"/>
      <c r="W79" s="23" t="e">
        <f t="shared" si="9"/>
        <v>#VALUE!</v>
      </c>
      <c r="X79" s="22"/>
      <c r="Y79" s="22" t="e">
        <f t="shared" si="10"/>
        <v>#NUM!</v>
      </c>
      <c r="Z79" s="23" t="e">
        <f>_xll.xlBondPriceCustom(D79,E79,F79,G79,H79,I79,J79,B79,Y79,$AM$2,$AN$2,$AO$2,$AP$2,$AQ$2)</f>
        <v>#NUM!</v>
      </c>
      <c r="AA79" s="20" t="e">
        <f t="array" ref="AA79:AG79">_xll.xlBondYieldSens(D79,E79,F79,G79,H79,I79,J79,B79,W79,$AA$5&amp;$AB$5&amp;$AC$5&amp;$AD$5&amp;$AE$5&amp;$AF$5&amp;$AG$5)</f>
        <v>#NUM!</v>
      </c>
      <c r="AB79" s="20" t="e">
        <v>#NUM!</v>
      </c>
      <c r="AC79" s="20" t="e">
        <v>#NUM!</v>
      </c>
      <c r="AD79" s="20" t="e">
        <v>#NUM!</v>
      </c>
      <c r="AE79" s="20" t="e">
        <v>#NUM!</v>
      </c>
      <c r="AF79" s="20" t="e">
        <v>#NUM!</v>
      </c>
      <c r="AG79" s="24" t="e">
        <v>#NUM!</v>
      </c>
      <c r="AH79" s="22" t="e">
        <f>_xll.xlBondYieldSensCustom(D79,E79,F79,G79,H79,I79,J79,B79,W79,$AM$2,$AN$2,$AO$2,$AP$2,$AQ$2,"y")</f>
        <v>#NUM!</v>
      </c>
      <c r="AI79" s="22"/>
      <c r="AJ79" s="85" t="e">
        <f t="shared" si="11"/>
        <v>#NUM!</v>
      </c>
    </row>
    <row r="80" spans="1:36" ht="15.75" x14ac:dyDescent="0.25">
      <c r="A80" s="2"/>
      <c r="B80" s="19" t="e">
        <f>MAX(_xll.xlBondValueDate(D80,$B$2),I80)</f>
        <v>#NUM!</v>
      </c>
      <c r="C80" s="20" t="e">
        <v>#N/A</v>
      </c>
      <c r="D80" s="86" t="e">
        <f t="array" ref="D80:N80">_xll.BondInfo(C80,$D$5:$N$5)</f>
        <v>#VALUE!</v>
      </c>
      <c r="E80" s="20" t="e">
        <v>#VALUE!</v>
      </c>
      <c r="F80" s="87" t="e">
        <v>#VALUE!</v>
      </c>
      <c r="G80" s="19" t="e">
        <v>#VALUE!</v>
      </c>
      <c r="H80" s="19" t="e">
        <v>#VALUE!</v>
      </c>
      <c r="I80" s="19" t="e">
        <v>#VALUE!</v>
      </c>
      <c r="J80" s="20" t="e">
        <v>#VALUE!</v>
      </c>
      <c r="K80" s="20" t="e">
        <v>#VALUE!</v>
      </c>
      <c r="L80" s="20" t="e">
        <v>#VALUE!</v>
      </c>
      <c r="M80" s="20" t="e">
        <v>#VALUE!</v>
      </c>
      <c r="N80" s="20" t="e">
        <v>#VALUE!</v>
      </c>
      <c r="O80" s="21" t="e">
        <f>_xll.BondOutstanding(C80)</f>
        <v>#VALUE!</v>
      </c>
      <c r="P80" s="25" t="e">
        <f>_xll.xlBondYieldSensCustom(D80,E80,F80,G80,H80,I80,J80,B80,Q80,$AM$2,$AN$2,$AO$2,$AP$2,$AQ$2,"y")</f>
        <v>#NUM!</v>
      </c>
      <c r="Q80" s="26" t="e">
        <f>_xll.RtGet("IDN",$K80,IF(OR($D80="BTP,$E11=""CTZ"),Q$5,Q$4))</f>
        <v>#VALUE!</v>
      </c>
      <c r="R80" s="27" t="e">
        <f>_xll.RtGet("IDN",$K80,IF(OR($D80="BTP,$E11=""CTZ"),R$5,R$4))</f>
        <v>#VALUE!</v>
      </c>
      <c r="S80" s="28" t="e">
        <f>_xll.xlBondYieldSensCustom(D80,E80,F80,G80,H80,I80,J80,B80,R80,$AM$2,$AN$2,$AO$2,$AP$2,$AQ$2,"y")</f>
        <v>#NUM!</v>
      </c>
      <c r="T80" s="23" t="e">
        <f t="shared" si="8"/>
        <v>#VALUE!</v>
      </c>
      <c r="U80" s="83" t="e">
        <f>_xll.xlBondYieldSensCustom(D80,E80,F80,G80,H80,I80,J80,B80,T80,$AM$2,$AN$2,$AO$2,$AP$2,$AQ$2,"y")</f>
        <v>#NUM!</v>
      </c>
      <c r="V80" s="23"/>
      <c r="W80" s="23" t="e">
        <f t="shared" si="9"/>
        <v>#VALUE!</v>
      </c>
      <c r="X80" s="22"/>
      <c r="Y80" s="22" t="e">
        <f t="shared" si="10"/>
        <v>#NUM!</v>
      </c>
      <c r="Z80" s="23" t="e">
        <f>_xll.xlBondPriceCustom(D80,E80,F80,G80,H80,I80,J80,B80,Y80,$AM$2,$AN$2,$AO$2,$AP$2,$AQ$2)</f>
        <v>#NUM!</v>
      </c>
      <c r="AA80" s="20" t="e">
        <f t="array" ref="AA80:AG80">_xll.xlBondYieldSens(D80,E80,F80,G80,H80,I80,J80,B80,W80,$AA$5&amp;$AB$5&amp;$AC$5&amp;$AD$5&amp;$AE$5&amp;$AF$5&amp;$AG$5)</f>
        <v>#NUM!</v>
      </c>
      <c r="AB80" s="20" t="e">
        <v>#NUM!</v>
      </c>
      <c r="AC80" s="20" t="e">
        <v>#NUM!</v>
      </c>
      <c r="AD80" s="20" t="e">
        <v>#NUM!</v>
      </c>
      <c r="AE80" s="20" t="e">
        <v>#NUM!</v>
      </c>
      <c r="AF80" s="20" t="e">
        <v>#NUM!</v>
      </c>
      <c r="AG80" s="24" t="e">
        <v>#NUM!</v>
      </c>
      <c r="AH80" s="22" t="e">
        <f>_xll.xlBondYieldSensCustom(D80,E80,F80,G80,H80,I80,J80,B80,W80,$AM$2,$AN$2,$AO$2,$AP$2,$AQ$2,"y")</f>
        <v>#NUM!</v>
      </c>
      <c r="AI80" s="22"/>
      <c r="AJ80" s="85" t="e">
        <f t="shared" si="11"/>
        <v>#NUM!</v>
      </c>
    </row>
  </sheetData>
  <phoneticPr fontId="0" type="noConversion"/>
  <conditionalFormatting sqref="A6:A80">
    <cfRule type="expression" dxfId="21" priority="1" stopIfTrue="1">
      <formula>$L6="Y"</formula>
    </cfRule>
    <cfRule type="expression" dxfId="20" priority="2" stopIfTrue="1">
      <formula>$D6=0</formula>
    </cfRule>
  </conditionalFormatting>
  <conditionalFormatting sqref="P6:AJ80 B6:N80">
    <cfRule type="expression" dxfId="19" priority="33" stopIfTrue="1">
      <formula>$N6="BTNS"</formula>
    </cfRule>
    <cfRule type="expression" dxfId="18" priority="34" stopIfTrue="1">
      <formula>$N6="BTF"</formula>
    </cfRule>
    <cfRule type="expression" dxfId="17" priority="35" stopIfTrue="1">
      <formula>$C6=0</formula>
    </cfRule>
  </conditionalFormatting>
  <dataValidations count="1">
    <dataValidation type="list" allowBlank="1" showInputMessage="1" showErrorMessage="1" sqref="D2">
      <formula1>BookList</formula1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EUR EONIA</vt:lpstr>
      <vt:lpstr>POS KEP</vt:lpstr>
      <vt:lpstr>NET POS</vt:lpstr>
      <vt:lpstr>PREZ MED</vt:lpstr>
      <vt:lpstr>ITA</vt:lpstr>
      <vt:lpstr>SPA</vt:lpstr>
      <vt:lpstr>GER</vt:lpstr>
      <vt:lpstr>FRA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Bugin</dc:creator>
  <cp:lastModifiedBy>Asaro Vincenzo</cp:lastModifiedBy>
  <cp:lastPrinted>2012-03-02T07:48:54Z</cp:lastPrinted>
  <dcterms:created xsi:type="dcterms:W3CDTF">2003-04-17T14:42:35Z</dcterms:created>
  <dcterms:modified xsi:type="dcterms:W3CDTF">2013-12-18T10:12:26Z</dcterms:modified>
</cp:coreProperties>
</file>